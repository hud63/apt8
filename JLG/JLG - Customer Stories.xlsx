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Config" sheetId="2" r:id="rId5"/>
    <sheet state="visible" name="Calculations" sheetId="3" r:id="rId6"/>
  </sheets>
  <definedNames/>
  <calcPr/>
</workbook>
</file>

<file path=xl/sharedStrings.xml><?xml version="1.0" encoding="utf-8"?>
<sst xmlns="http://schemas.openxmlformats.org/spreadsheetml/2006/main" count="310" uniqueCount="238">
  <si>
    <t>Display</t>
  </si>
  <si>
    <t>Workstream</t>
  </si>
  <si>
    <t>Service_Title</t>
  </si>
  <si>
    <t>Customer_Story</t>
  </si>
  <si>
    <t>Suggested_Path</t>
  </si>
  <si>
    <t>Assumptions</t>
  </si>
  <si>
    <t>Estimated_Low_Hours</t>
  </si>
  <si>
    <t>Estimated_High_Hours</t>
  </si>
  <si>
    <t>Contracted_Hours</t>
  </si>
  <si>
    <t>Requires_Clarification</t>
  </si>
  <si>
    <t>Function</t>
  </si>
  <si>
    <t>Library_ID</t>
  </si>
  <si>
    <t>Project_ID</t>
  </si>
  <si>
    <t>Internal_Notes</t>
  </si>
  <si>
    <t>Task_Link</t>
  </si>
  <si>
    <t>Now</t>
  </si>
  <si>
    <t>Mobilization</t>
  </si>
  <si>
    <t>Project Kickoff &amp; Team Alignment</t>
  </si>
  <si>
    <t>As the JLG team, we need to review all sales calls, technical diagrams, and documentation to ensure alignment before discovery begins.</t>
  </si>
  <si>
    <t>A8 will review sales call recordings, technical architecture diagrams from JLG, existing HubSpot portal, Dynamics 365 setup, and SAP Business One documentation to prepare for stakeholder interviews and create detailed interview agendas.</t>
  </si>
  <si>
    <t xml:space="preserve">- Aptitude 8 team will review JLG Demo recordings, intro call, and technical deep dive - JLG technical diagrams and data flow documentation available - Access to existing HubSpot portal (Library Journal, School Library Journal, Hornbook brands) </t>
  </si>
  <si>
    <t>Strategy</t>
  </si>
  <si>
    <t>Includes review of Gong recordings and Lucid diagrams</t>
  </si>
  <si>
    <t>Discovery</t>
  </si>
  <si>
    <t>Requirements Gathering - Sales &amp; CRM Operations</t>
  </si>
  <si>
    <t>As the JLG team, we need to understand how our current Dynamics 365 processes for new business and renewals will transition to HubSpot, including our complex school/district data model.</t>
  </si>
  <si>
    <t>A8 will conduct interviews with Scott Crawford and sales team to map current Dynamics 365 workflows, understand the many-to-many relationship requirements (contacts to schools to districts), renewal cohort processes, quote generation workflows, and self-service portal requirements.</t>
  </si>
  <si>
    <t>- Interviews with the sales team - Current process includes: renewal cohorts, auto-generated opportunities, manual quotes, web one-click quotes, self-service upsell portal - Complex data model: Districts &gt; Schools &gt; Contacts with many-to-many relationships</t>
  </si>
  <si>
    <t>Multiple sales processes to document: new business vs renewals</t>
  </si>
  <si>
    <t>Requirements Gathering - Marketing &amp; Marketo Migration</t>
  </si>
  <si>
    <t>As the JLG team, we need to understand our current Marketo setup, workflows, and journeys to plan the migration to HubSpot Marketing Hub.</t>
  </si>
  <si>
    <t>A8 will conduct interviews to document current Marketo implementation including workflows, lead scoring, landing pages, 5-6 detailed journeys, email templates, and segmentation strategy. Map out how 100K contacts are currently managed and what needs to migrate.</t>
  </si>
  <si>
    <t>- Interview with marketing - Marketo renewal is end of February (tight timeline) - Current Marketo setup includes: workflows, lead scoring, landing pages, 5-6 detailed journeys - 100K contacts in Marketo - Marketing migration is lower priority than CRM/SAP integration</t>
  </si>
  <si>
    <t>Requirements Gathering - Technical Architecture &amp; Data</t>
  </si>
  <si>
    <t>As the JLG team, we need to map our complex technical architecture including SAP Business One, Dynamics 365, Magento, and all data flows between systems.</t>
  </si>
  <si>
    <t>A8 will conduct technical interviews with the IT team to understand: SAP B1 custom subscription module, database views and connections, data transformation rules, current API integrations, Power BI reporting requirements, and the 30-person data team's daily operations (6-7K records moved daily).</t>
  </si>
  <si>
    <t xml:space="preserve">- Interviews with Data/Finance, IT team member(s)
- Ben's team: 30 people making changes to records daily
- Average 6-7K records moved between systems daily
- SAP Business One has custom subscription module (not accessible via standard API)
- Database views used for CRM to pull from SAP
- Current integrations: Dynamics &lt;&gt; SAP, Dynamics &lt;&gt; Magento, MDR enrichment tool
- SQL Server hosting: Azure (Dynamics), SMB hosting partner (SAP)
</t>
  </si>
  <si>
    <t>Solutions Engineering</t>
  </si>
  <si>
    <t>Critical path item - SAP integration is most complex element</t>
  </si>
  <si>
    <t>Requirements Gathering - Existing HubSpot Portal</t>
  </si>
  <si>
    <t>As the JLG team, we need to understand how the existing HubSpot portal is structured and what will change when JLG brand is added as the fourth brand.</t>
  </si>
  <si>
    <t>A8 will review existing HubSpot portal setup with team to understand: current data model, brand segmentation approach, Darwin subscription fulfillment integration, renewal processes, and any constraints or requirements for adding JLG as fourth brand.</t>
  </si>
  <si>
    <t>- Interview with team
- Three existing brands in HubSpot: Library Journal, School Library Journal, Hornbook
- Darwin subscription fulfillment platform currently integrated
- Different business model than JLG (less complex renewals)
- Portal will be "hijacked" to add JLG - need to understand impact
- 2 interviews expected</t>
  </si>
  <si>
    <t>Requirements Gathering - E-commerce &amp; Magento</t>
  </si>
  <si>
    <t>As the JLG team, we need to document our Magento e-commerce setup including subscription orders, book orders, loyalty programs, and how they integrate with CRM and SAP.</t>
  </si>
  <si>
    <t>A8 will interview team members to map: Magento subscription order flow, book order flow, loyalty program (4 tiers based on annual revenue), checkout process, and how website data flows to Dynamics and SAP. Also explore future Shopify Plus migration plans.</t>
  </si>
  <si>
    <t>- Interview with team- Magento handles both subscription orders and book orders differently - Subscription orders: Website &gt; CRM &gt; SAP - Book orders: Website &gt; SAP directly - 4-tier loyalty program based on annual revenue - Web one-click self-service renewal portal - RFP sent to CQL and others for potential Shopify Plus migration in 2026</t>
  </si>
  <si>
    <t>Requirements Gathering - Customer Service &amp; SAP Operations</t>
  </si>
  <si>
    <t>As the JLG team, we need to understand how customer service operations in SAP will interact with HubSpot CRM.</t>
  </si>
  <si>
    <t>A8 will interview customer service leads to understand: how customer service makes changes in SAP, what data needs to sync back to CRM, order management workflows, subscription management, and financial reporting needs.</t>
  </si>
  <si>
    <t xml:space="preserve">- Interview with CFO and customer service team member(s) - Most customer service work happens in SAP, not CRM - Customer service can make changes to accounts that sync back - SAP is source of truth for subscriptions and orders - Need to understand what CS needs to see/do in HubSpot </t>
  </si>
  <si>
    <t>User Stories Creation</t>
  </si>
  <si>
    <t>Technical User Stories - Data Model &amp; Integrations</t>
  </si>
  <si>
    <t>As the JLG team, we need detailed technical user stories covering the data model, SAP integration, Magento integration, and data migrations.</t>
  </si>
  <si>
    <t>Create comprehensive technical user stories for: custom objects (Schools, Districts, Subscriptions, Subscription Details), SAP Business One bi-directional integration, Magento integration, Dynamics data migration, Marketo asset migration.</t>
  </si>
  <si>
    <t>- Complex data model: Accounts, Contacts, Schools, Districts with many-to-many relationships - SAP Business One custom subscription module requires custom integration approach - Magento integration for subscription orders (bidirectional) - Multiple custom objects needed: Subscriptions, Subscription Detail, Suggested Products, Processing Cohort, Loyalty, Tax Exemption, One Click, Discount Pricing, Bids and Contracts - Data flows documented in JLG's technical diagrams</t>
  </si>
  <si>
    <t>Functional User Stories - Sales Processes</t>
  </si>
  <si>
    <t>As the JLG team, we need detailed functional user stories covering new business sales, renewal sales, quote generation, and upsell processes.</t>
  </si>
  <si>
    <t>Create functional user stories for: new business pipeline and workflow, renewal pipeline and cohort-based opportunity generation, manual quote creation, web one-click quote generation with self-service upsell, suggested products algorithm, discount pricing automation.</t>
  </si>
  <si>
    <t>- Two distinct sales processes: new business vs renewals - Renewal process: cohort-based, auto-generated opportunities, scheduler opens cohorts - Quote generation: manual PDF option OR dynamic URL for self-service - Self-service portal allows customer to upsell themselves - Suggested products based on district/school/state data and purchase patterns - 73 product categories (not individual books) - Discount pricing based on create date and seasonal factors</t>
  </si>
  <si>
    <t>Functional User Stories - Marketing &amp; Lead Management</t>
  </si>
  <si>
    <t>As the JLG team, we need functional user stories covering marketing automation, lead management, and cross-brand data sharing.</t>
  </si>
  <si>
    <t>Create functional user stories for: marketing automation workflows, lead scoring, landing pages, forms, email templates, brand segmentation, cross-sell/upsell opportunities between JLG and other brands, data sharing protocols.</t>
  </si>
  <si>
    <t>- Goal: reduce digital footprint and combine systems for cross-sell/upsell - Currently siloed - need shared data access - 5-6 detailed journeys to migrate from Marketo - Lead scoring in place - Four brands need segmentation but shared data visibility - No lead object currently used in Dynamics - accounts only</t>
  </si>
  <si>
    <t>Solution Design</t>
  </si>
  <si>
    <t>Technical Specifications - SAP Business One Integration</t>
  </si>
  <si>
    <t>As the JLG team, we need detailed technical specifications for how HubSpot will integrate bi-directionally with SAP Business One, including the custom subscription module.</t>
  </si>
  <si>
    <t>A8 will create comprehensive Technical Requirements Document (TRD) including: ERD for SAP-HubSpot data model, integration architecture (database view access vs API), sync frequency and triggers, data transformation rules, error handling, and testing approach. Work with SAP hosting partner (SMB) for vendor approval process.</t>
  </si>
  <si>
    <t>- SAP Business One hosted by third-party (SMB) on SQL Server - Custom subscription module not accessible via standard SAP API - Current approach: CRM pulls from database views, pushes via API - Data flows: Customers/Subscriptions (bidirectional), Products/Calculations, Primary Contact, Orders - 30-person data team moves 6-7K records daily - Need IT team involvement for database access and architecture decisions - Vendor security approval process required with SAP hosting partner - Power BI pulls from both Dynamics and SAP - need to understand reporting needs - Solution Engineering hours included</t>
  </si>
  <si>
    <t>Technical Specifications - Magento Integration</t>
  </si>
  <si>
    <t>As the JLG team, we need technical specifications for how HubSpot will integrate with Magento for subscription orders and loyalty data.</t>
  </si>
  <si>
    <t>A8 will create TRD for Magento integration including: subscription order sync (Magento &gt; HubSpot &gt; SAP), book order handling, loyalty tier sync, order data mapping, and integration method (likely custom given no in-house developers).</t>
  </si>
  <si>
    <t>- Magento hosted on Linux/MySQL on AWS - Bidirectional connection for subscription orders - Subscription orders must flow through CRM/HubSpot before SAP - Book orders go directly to SAP (may not need HubSpot integration) - 4-tier loyalty program based on annual revenue - Web one-click renewal process needs to integrate - No in-house developers - A8 must build integration - Potential Shopify Plus migration in late 2026 (may make this sunken cost) - Solution Engineering hours included</t>
  </si>
  <si>
    <t>Technical Specifications - Data Model &amp; Custom Objects</t>
  </si>
  <si>
    <t>As the JLG team, we need a detailed data model that supports our complex school/district relationships and subscription management.</t>
  </si>
  <si>
    <t>A8 will create ERD showing: Company (Districts), Custom Object (Schools), Contacts with many-to-many associations, Deals/Opportunities, Custom Objects (Subscriptions, Subscription Detail, Suggested Products, Processing Cohort, Loyalty, Tax Exemption, Bids and Contracts). Include association labels, required properties, and data flow diagrams.</t>
  </si>
  <si>
    <t>- Many-to-many relationship required: Contacts can be associated to multiple Schools, Schools associated to Districts - Notes flow up from School to District level - Deals stay at individual School level (don't roll up) - Custom objects needed from Dynamics: Subscriptions, Subscription Detail, Issue Table (Product Calculation), Loyalty, Suggested Products, Tax Exemption, Processing Cohort Opportunities, One Click, Discount Pricing, Bids and Contracts - No Lead object used - Accounts only - Email/call/meeting logging must work at School level - Solution Engineering hours included</t>
  </si>
  <si>
    <t>Technical Specifications - Dynamics 365 Data Migration</t>
  </si>
  <si>
    <t>As the JLG team, we need a detailed migration plan to move our Dynamics 365 data to HubSpot without disruption.</t>
  </si>
  <si>
    <t>A8 will create migration specification including: objects to migrate (Accounts, Contacts, Opportunities, Orders, all custom objects), data mapping document, data cleansing requirements, historical data retention rules, delta migration approach, cutover plan.</t>
  </si>
  <si>
    <t>- Dynamics 365 hosted on Azure SQL Server - 70 users currently in Dynamics - Migration objects: Contacts, Companies, Deals, Custom Objects (Schools, Districts, Subscriptions, etc.), Workflows, Sales automation, Lists - Historical activities and engagements to migrate - Need to define what constitutes "historical" for migration - MDR enrichment tool currently synced - needs to continue in HubSpot - Dynamics is month-to-month - flexible cutover timing - Solution Engineering hours included</t>
  </si>
  <si>
    <t>Technical Specifications - Marketo Asset Migration</t>
  </si>
  <si>
    <t>As the JLG team we need specifications for migrating our Marketo assets and automations to HubSpot Marketing Hub.</t>
  </si>
  <si>
    <t>A8 will create migration specification including: workflows/journey mapping, email template migration approach, landing page recreation strategy, form migration, list segmentation, lead scoring model transition, and contact migration plan (100K contacts).</t>
  </si>
  <si>
    <t>- 100K contacts in Marketo - 5-6 detailed journeys to recreate - Workflows with lead scoring - Landing pages (quantity TBD in discovery) - Email templates (quantity TBD) - Forms (quantity TBD) - Lists and segmentation rules - Note: Marketo renewal Feb 28 - timeline very tight, extension needed - May be Phase 2 after CRM/SAP integration per JLG's priorities - Solution Engineering hours included</t>
  </si>
  <si>
    <t>Functional Requirements - Sales Process Automation</t>
  </si>
  <si>
    <t>As the JLG team, we need detailed functional requirements for our new business and renewal sales processes in HubSpot.</t>
  </si>
  <si>
    <t>A8 will create FRD including: pipeline stage definitions for new business and renewals, automation workflows for cohort-based renewal opportunity generation, task assignment rules, notification triggers, required properties per stage, deal record layouts, and reporting requirements.</t>
  </si>
  <si>
    <t>- Two pipelines needed: New Business and Renewal - Renewal process: scheduler opens cohorts, auto-generates opportunities with quotes - Quote generation: manual PDF option OR dynamic URL self-service - Self-service portal allows customer to select upsells - Processing Cohort custom object manages renewal timing - Suggested Products algorithm recommends upsells based on district/school/state data - Discount Pricing automation based on timing and fulfillment status - 35-40 sales users need adoption</t>
  </si>
  <si>
    <t>Functional Requirements - Quote &amp; Subscription Management</t>
  </si>
  <si>
    <t>As the JLG team, we need functional requirements for quote generation, subscription management, and self-service renewal processes.</t>
  </si>
  <si>
    <t>A8 will create FRD for: quote creation workflows (manual vs automated), self-service renewal portal design, upsell functionality, subscription line items, discount application rules, approval processes (if needed), quote templates, and subscription detail tracking.</t>
  </si>
  <si>
    <t>- Multiple quote methods: manual PDF, automated web-based, self-service URL - Self-service portal: dynamic URL allows customer to upsell, modify subscription - Currently built on Dynamics 365 portal functionality - Need to determine if HubSpot quotes sufficient or if custom portal needed - Discount functionality: marketing team sets discounts, applied at quote generation - Subscription and Subscription Detail objects track products/categories - 73 product categories available - Suggested Products shows top 3 recommendations based on peer purchases</t>
  </si>
  <si>
    <t>Solution Architecture Document - Integration Strategy</t>
  </si>
  <si>
    <t>As the JLG team, we need a comprehensive architecture document showing how all systems will connect and work together.</t>
  </si>
  <si>
    <t>A8 will create Solution Architecture Document showing: high-level system design with HubSpot as central CRM, all integration points (SAP, Magento, MDR, Zoom, Power BI), data flow diagrams, integration methods and rationale, scalability considerations, risk assessments, and phasing recommendations.</t>
  </si>
  <si>
    <t>- HubSpot will replace Dynamics 365 as CRM - Integrations needed: SAP Business One (complex, custom), Magento (custom), MDR (enrichment), Zoom (calling), Power BI (reporting) - Current state: heavily customized Dynamics with many custom objects and automations - Goal: reduce cost, improve efficiency, enable cross-sell between brands - Shopify Plus potential future state - Phase 1: CRM + SAP integration - Phase 2: Marketing/Marketo migration - Phase 3: Magento integration (or wait for Shopify) - Solution Engineering hours included</t>
  </si>
  <si>
    <t>Implementation Plan &amp; Phasing Strategy</t>
  </si>
  <si>
    <t>As the JLG team, we need a detailed project plan with phases, timelines, and resource allocation.</t>
  </si>
  <si>
    <t>A8 will create implementation plan with: Phase 1 (CRM + SAP integration), Phase 2 (Marketing migration), Phase 3 (Magento integration), detailed timelines, resource needs, dependencies, critical path, risk mitigation, success metrics, and budget phasing.</t>
  </si>
  <si>
    <t>- Priority 1: CRM and SAP integration (biggest risk/reward per Jon) - Priority 2: Marketing/Marketo migration (lower priority per Jon, Feb 28 not feasible) - Priority 3: Magento integration (may defer if Shopify Plus decision made) - Dynamics is month-to-month (flexible) - Marketo renews end of Q1 (need extension) - Busy season: mid-late March (need to be operational by then ideally) - Budget constraints: Rick needs phased costs and ROI justification - 35-40 sales users need adoption and training</t>
  </si>
  <si>
    <t>Consulting</t>
  </si>
  <si>
    <t>Workshops</t>
  </si>
  <si>
    <t>Sales Process Workshop - New Business &amp; Renewals</t>
  </si>
  <si>
    <t>As the JLG team, we need workshops to define our future-state sales processes in HubSpot, including sequences, automation, and best practices.</t>
  </si>
  <si>
    <t>A8 will facilitate workshops to design: pipeline stages and automation, renewal cohort processes, email sequences for new business, task automation, notification preferences, reporting dashboards, and training needs. Build POC of renewal automation for validation.</t>
  </si>
  <si>
    <t>- Workshop sales team - Focus on new business pipeline and renewal pipeline separately - Renewal process is complex and automated - needs thorough workshop - Discuss: timing of cohort opening, quote generation approach, self-service vs rep-led - Define email sequences and cadences for new business - Determine success metrics and reporting needs - Build POC of renewal automation for leadership approval</t>
  </si>
  <si>
    <t>Quote &amp; Subscription Workshop</t>
  </si>
  <si>
    <t>As the JLG team, we need a workshop to define how quoting, discounting, and subscription management will work in HubSpot.</t>
  </si>
  <si>
    <t>A8 will facilitate workshop to design: quote generation workflows, self-service portal requirements, discount automation rules, subscription line item structure, suggested products display, and upsell process. Demo potential solutions and gather feedback.</t>
  </si>
  <si>
    <t>- Workshop with team - Define: Manual quote process vs self-service URL approach - Determine if HubSpot native quotes sufficient or custom portal needed - Design discount application rules (timing-based, fulfillment-based) - Map suggested products algorithm logic - Define upsell workflow in self-service scenario - Demo HubSpot quotes functionality - Demo potential custom portal options</t>
  </si>
  <si>
    <t>Data &amp; Integration Workshop</t>
  </si>
  <si>
    <t>As the JLG team, we need workshops to finalize data flows, integration architecture, and migration approach.</t>
  </si>
  <si>
    <t>A8 will facilitate technical workshops with IT team, and SAP vendor to finalize: database view access strategy, API integration methods, data transformation rules, sync frequency, error handling, migration cutover approach, and testing plan.</t>
  </si>
  <si>
    <t>- Workshop with team potentially SAP hosting partner representative - Review technical diagrams in detail - Define database view access for SAP reads - Determine API strategy for SAP writes - Map data transformations for each integration point - Discuss vendor security approval for SAP hosting partner - Define migration approach and cutover plan - Discuss Power BI reporting needs and how data will be available</t>
  </si>
  <si>
    <t>Marketing Automation Workshop</t>
  </si>
  <si>
    <t>As the JLG team, we need a workshop to define our marketing automation strategy in HubSpot and prioritize which Marketo assets to migrate.</t>
  </si>
  <si>
    <t>A8 will facilitate workshop to: audit Marketo assets, prioritize migration items, redesign workflows/journeys for HubSpot, define lead scoring model, plan landing pages and forms, discuss brand segmentation, and cross-sell automation opportunities.</t>
  </si>
  <si>
    <t xml:space="preserve">- Workshop with marketing team members - Audit existing Marketo setup: 5-6 journeys, workflows, lead scoring, templates - Prioritize what MUST migrate vs what can be retired - Redesign journeys for HubSpot (functionality differences) - Discuss lead scoring model transition - Plan for brand segmentation and cross-sell opportunities - Define Phase 2 timeline and success metrics </t>
  </si>
  <si>
    <t>Project Planning</t>
  </si>
  <si>
    <t>Overall Project Plan &amp; Timeline</t>
  </si>
  <si>
    <t>As the JLG team, we need a comprehensive project plan with all phases, dependencies, and milestones.</t>
  </si>
  <si>
    <t>A8 will create detailed project plan including: all workstreams, task dependencies, resource allocation (A8 and JLG team), milestone dates, critical path analysis, risk mitigation, communication plan, and success metrics. Gantt chart and weekly status reporting structure.</t>
  </si>
  <si>
    <t xml:space="preserve">- Project phases: Discovery, Design, Build </t>
  </si>
  <si>
    <t>Presentation</t>
  </si>
  <si>
    <t>Executive Presentation - Discovery Findings</t>
  </si>
  <si>
    <t>As the JLG team, and leadership, we need a presentation of discovery findings and recommendations.</t>
  </si>
  <si>
    <t>A8 will create and present executive-level presentation covering: current state assessment, key findings, recommended solution architecture, phasing strategy, timeline, budget estimates, risk assessment, and ROI projections. Present to leadership for approval to proceed.</t>
  </si>
  <si>
    <t>- Presentation - Deck should cover: current pain points, recommended HubSpot solution, integration strategy, phasing, timeline, detailed budget, ROI - Need to present cost comparison: current state (Marketo $20K/qtr, Dynamics $27K/qtr) vs HubSpot - Integration costs for SAP and Magento will be significant - Emphasize: cost savings, efficiency gains, cross-sell/upsell revenue potential - 1 presentation expected - Includes prep time for deck creation</t>
  </si>
  <si>
    <t>Solution Design Presentation - Detailed Walkthrough</t>
  </si>
  <si>
    <t>As the JLG team, we need a detailed presentation of the solution design and implementation plan.</t>
  </si>
  <si>
    <t>A8 will present detailed solution design including: technical architecture, data model, integration specifications, process flows, UI/UX designs, implementation plan, testing approach, training plan, and change management strategy. Gather feedback and obtain sign-off.</t>
  </si>
  <si>
    <t>- Presentation - Detailed walkthrough of all technical specifications and functional requirements - Review ERD, data flows, integration architecture, process maps - Demo POCs of key functionality (renewal automation, suggested products, etc.) - Review implementation timeline and dependencies - Obtain sign-off on solution before build begins - Includes prep time</t>
  </si>
  <si>
    <t>Implementation Support</t>
  </si>
  <si>
    <t>Implementation Handoff &amp; Team Onboarding</t>
  </si>
  <si>
    <t>As the JLG project team, we need Aptitude 8 strategy team to support the implementation team during transition and first month of build.</t>
  </si>
  <si>
    <t>A8 strategy team will: onboard implementation team on all requirements and design documents, attend first 4 weekly status meetings, be available for clarification questions, support scope management, and ensure smooth transition from design to build.</t>
  </si>
  <si>
    <t>- Strategy team will support implementation team - Handoff sessions to review all documentation - First month of weekly status meetings to support questions - Scope clarification and change request management - Support with client communication if issues arise - Does not include ongoing project management (separate line item)</t>
  </si>
  <si>
    <t>Configuration</t>
  </si>
  <si>
    <t>Value</t>
  </si>
  <si>
    <t>Description</t>
  </si>
  <si>
    <t>HubSpot Property</t>
  </si>
  <si>
    <t>GDrive + Deal Inputs</t>
  </si>
  <si>
    <t>Company Name</t>
  </si>
  <si>
    <t>Client company name for proposals</t>
  </si>
  <si>
    <t>Google Folder</t>
  </si>
  <si>
    <t>Needs to be manually input for the time being, will be set by the Pipedream automation</t>
  </si>
  <si>
    <t>Deal Record ID</t>
  </si>
  <si>
    <t>HubSpot deal record ID, needs to be manually input for the time being, will be set by the Pipedream automation</t>
  </si>
  <si>
    <t>Last Sync to HubSpot</t>
  </si>
  <si>
    <t>The last time the story doc was sync'd to the HubSpot deal record</t>
  </si>
  <si>
    <t>Solutions Architect</t>
  </si>
  <si>
    <t>SA assigned to this project</t>
  </si>
  <si>
    <t>Scoping Status</t>
  </si>
  <si>
    <t>Not Started</t>
  </si>
  <si>
    <t>scoping_status</t>
  </si>
  <si>
    <t>Project ID</t>
  </si>
  <si>
    <t>------</t>
  </si>
  <si>
    <t>TBD on usage to facilitate project creation</t>
  </si>
  <si>
    <t>Client HTML Page</t>
  </si>
  <si>
    <t>Client Page URL</t>
  </si>
  <si>
    <t>https://script.google.com/macros/s/AKfycbzGfZXXrB8GB7kt-FSeTA8sL0Rw3BzaXwifNA9CDpjsqe8NBn4EL159NLqLBYwGjqUw/exec?sheetId=1qgkUllcl5UxR4mhuejTzliVFPuVNmuP9ND02kUtrf_Y</t>
  </si>
  <si>
    <t>The URL of the page that will be shared in Trumpet</t>
  </si>
  <si>
    <t>customer_stories_client_url</t>
  </si>
  <si>
    <t>Last Client Page URL Generated</t>
  </si>
  <si>
    <t>The last time you created/updated a URL so we can understand deployment app versions</t>
  </si>
  <si>
    <t>Client Page Status</t>
  </si>
  <si>
    <t>Final Presentation</t>
  </si>
  <si>
    <t>Determines page status for the shared link</t>
  </si>
  <si>
    <t>NOW Project</t>
  </si>
  <si>
    <t>Hourly Project Rate</t>
  </si>
  <si>
    <t>Standard hourly rate for most services</t>
  </si>
  <si>
    <t>project_hourly_rate</t>
  </si>
  <si>
    <t>Project Management Factor</t>
  </si>
  <si>
    <t>Percentage markup for project management</t>
  </si>
  <si>
    <t>Project Management Content</t>
  </si>
  <si>
    <t xml:space="preserve">To support management and communication, a project manager and delivery lead will own all A8 tasks and clearly communicate needs.
- Visibility to budget spend will be provided during the duration of the project
- A8 will provide check-in agenda items and follow-ups
- JLG to communicate to A8's shared inbox for easier collaboration and timely responses
- JLG driven delay will result in additional PM time billed to manage timeline
</t>
  </si>
  <si>
    <t>Description text for the PM section. editable by you.</t>
  </si>
  <si>
    <t>SA Expected Start Date</t>
  </si>
  <si>
    <t>Project start date</t>
  </si>
  <si>
    <t>Total Project Months</t>
  </si>
  <si>
    <t>Expected project duration</t>
  </si>
  <si>
    <t>project_duration</t>
  </si>
  <si>
    <t>NEXT Support Retainer</t>
  </si>
  <si>
    <t>Post-Launch Hourly Rate</t>
  </si>
  <si>
    <t>Post-launch rate, a zero here will hide the workstream/section</t>
  </si>
  <si>
    <t>retainer_hourly_rate</t>
  </si>
  <si>
    <t>Post-Launch Hours Per Month</t>
  </si>
  <si>
    <t>Post-launch hours per month, a zero here will hide the workstream/section</t>
  </si>
  <si>
    <t>retainer_hours_per_month_sold</t>
  </si>
  <si>
    <t>Post-Launch # of Months</t>
  </si>
  <si>
    <t>Post-launch months, a zero here will hide the workstream/section</t>
  </si>
  <si>
    <t>retainer_months_sold</t>
  </si>
  <si>
    <t>Post-Launch Support Content</t>
  </si>
  <si>
    <t>Hours dedicated to post go-live support. These hours can be used for anything HubSpot related (reporting, training, iterations, additional asks, etc.)</t>
  </si>
  <si>
    <t>Description text for the post-launch section</t>
  </si>
  <si>
    <t>Additional Notes + Considerations</t>
  </si>
  <si>
    <t>Additional Notes</t>
  </si>
  <si>
    <t>- The assumptions content in this scope is based on information and discovery during the sales evaluation and is subject to change during the project if additional challenges or barriers are discovered.
- A8 is a Time &amp; Materials agency, we will provide transparent budget tracking throughout the project and change orders will require approvals. 
- We interchange between A8 and Aptitude 8 in this document.</t>
  </si>
  <si>
    <t>Description text for below the investment summaries, but above the later phase workstreams</t>
  </si>
  <si>
    <t>Calculated Project Details</t>
  </si>
  <si>
    <t>Total Service Hours Hours</t>
  </si>
  <si>
    <t>Total amount of Input rows</t>
  </si>
  <si>
    <t>Total Project Management Hours</t>
  </si>
  <si>
    <t>Based on PM % in Config Sheet</t>
  </si>
  <si>
    <t>Total Project Hours Sold</t>
  </si>
  <si>
    <t>Service + PM</t>
  </si>
  <si>
    <t>project_hours_sold</t>
  </si>
  <si>
    <t>Total Retainer Hours Sold</t>
  </si>
  <si>
    <t>Total Engagement Hours Sold</t>
  </si>
  <si>
    <t>This should match exactly to the investment block on the HTML Page</t>
  </si>
  <si>
    <t>sold_hours</t>
  </si>
  <si>
    <t>Deal Amount</t>
  </si>
  <si>
    <t>amount</t>
  </si>
  <si>
    <t>Expected End Date</t>
  </si>
  <si>
    <t>Expected Project Hours/Month</t>
  </si>
  <si>
    <t>Linear Expected Project Hours/Week</t>
  </si>
  <si>
    <t>Peak Project Expected Hours/Week</t>
  </si>
  <si>
    <t>Low Project Expected Hours/Week</t>
  </si>
  <si>
    <t>Dev Work Percentage</t>
  </si>
  <si>
    <t>dev_work_pct</t>
  </si>
  <si>
    <t>SE Work Percentage</t>
  </si>
  <si>
    <t>se_work_pct</t>
  </si>
  <si>
    <t>Calculated Function Summary</t>
  </si>
  <si>
    <t>Sum of Hours</t>
  </si>
  <si>
    <t>Percent of</t>
  </si>
  <si>
    <t>Development</t>
  </si>
  <si>
    <t>Project Management</t>
  </si>
  <si>
    <t>Sum of Function-Based Hours</t>
  </si>
  <si>
    <t>Calculated Ranges</t>
  </si>
  <si>
    <t>Low Hours</t>
  </si>
  <si>
    <t>High Hours</t>
  </si>
  <si>
    <t>Project Service Estimates:</t>
  </si>
  <si>
    <t>Project Management:</t>
  </si>
  <si>
    <t>Post-Project Support:</t>
  </si>
  <si>
    <t>Hour Estimates:</t>
  </si>
  <si>
    <t>Investment Ranges:</t>
  </si>
  <si>
    <t>SOW Summarized Line Items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</si>
</sst>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mm/dd/yyyy, h:mm:ss am/pm"/>
    <numFmt numFmtId="166" formatCode="M/d/yyyy H:mm:ss"/>
    <numFmt numFmtId="167" formatCode="m/d/yyyy"/>
    <numFmt numFmtId="168" formatCode="&quot;$&quot;#,##0.00"/>
  </numFmts>
  <fonts count="15">
    <font>
      <sz val="10.0"/>
      <color rgb="FF000000"/>
      <name val="Arial"/>
      <scheme val="minor"/>
    </font>
    <font>
      <b/>
      <color theme="1"/>
      <name val="Arial"/>
    </font>
    <font>
      <b/>
      <sz val="10.0"/>
      <color rgb="FF000000"/>
      <name val="Arial"/>
    </font>
    <font>
      <b/>
      <color rgb="FF000000"/>
      <name val="Arial"/>
    </font>
    <font>
      <color theme="1"/>
      <name val="Arial"/>
    </font>
    <font>
      <sz val="10.0"/>
      <color rgb="FF000000"/>
      <name val="Arial"/>
    </font>
    <font>
      <sz val="11.0"/>
      <color rgb="FF383A42"/>
      <name val="Jetbrains"/>
    </font>
    <font>
      <color theme="1"/>
      <name val="Arial"/>
      <scheme val="minor"/>
    </font>
    <font>
      <b/>
      <sz val="12.0"/>
      <color theme="1"/>
      <name val="Rubik"/>
    </font>
    <font>
      <b/>
      <color theme="1"/>
      <name val="Rubik"/>
    </font>
    <font>
      <i/>
      <color rgb="FF999999"/>
      <name val="Rubik"/>
    </font>
    <font>
      <color theme="1"/>
      <name val="Rubik"/>
    </font>
    <font>
      <color rgb="FFB7B7B7"/>
      <name val="Rubik"/>
    </font>
    <font>
      <u/>
      <color rgb="FF0000FF"/>
      <name val="Arial"/>
    </font>
    <font>
      <color rgb="FF999999"/>
      <name val="Rubik"/>
    </font>
  </fonts>
  <fills count="7">
    <fill>
      <patternFill patternType="none"/>
    </fill>
    <fill>
      <patternFill patternType="lightGray"/>
    </fill>
    <fill>
      <patternFill patternType="solid">
        <fgColor rgb="FFFBBC04"/>
        <bgColor rgb="FFFBBC04"/>
      </patternFill>
    </fill>
    <fill>
      <patternFill patternType="solid">
        <fgColor rgb="FFCCCCCC"/>
        <bgColor rgb="FFCCCCCC"/>
      </patternFill>
    </fill>
    <fill>
      <patternFill patternType="solid">
        <fgColor rgb="FFFFFFFF"/>
        <bgColor rgb="FFFFFFFF"/>
      </patternFill>
    </fill>
    <fill>
      <patternFill patternType="solid">
        <fgColor rgb="FFB7B7B7"/>
        <bgColor rgb="FFB7B7B7"/>
      </patternFill>
    </fill>
    <fill>
      <patternFill patternType="solid">
        <fgColor rgb="FFF3F3F3"/>
        <bgColor rgb="FFF3F3F3"/>
      </patternFill>
    </fill>
  </fills>
  <borders count="2">
    <border/>
    <border>
      <top style="medium">
        <color rgb="FF000000"/>
      </top>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2" numFmtId="0" xfId="0" applyAlignment="1" applyFont="1">
      <alignment shrinkToFit="0" vertical="center" wrapText="1"/>
    </xf>
    <xf borderId="0" fillId="2" fontId="1" numFmtId="1" xfId="0" applyAlignment="1" applyFont="1" applyNumberFormat="1">
      <alignment horizontal="center" shrinkToFit="0" vertical="center" wrapText="1"/>
    </xf>
    <xf borderId="0" fillId="3" fontId="3" numFmtId="49" xfId="0" applyAlignment="1" applyFill="1" applyFont="1" applyNumberFormat="1">
      <alignment horizontal="center" shrinkToFit="0" vertical="center" wrapText="1"/>
    </xf>
    <xf borderId="0" fillId="2" fontId="1" numFmtId="0" xfId="0" applyAlignment="1" applyFont="1">
      <alignment readingOrder="0" shrinkToFit="0" vertical="center" wrapText="1"/>
    </xf>
    <xf borderId="0" fillId="2" fontId="1" numFmtId="0" xfId="0" applyAlignment="1" applyFont="1">
      <alignment horizontal="left" shrinkToFit="0" vertical="center" wrapText="1"/>
    </xf>
    <xf borderId="0" fillId="3" fontId="3" numFmtId="0" xfId="0" applyAlignment="1" applyFont="1">
      <alignment shrinkToFit="0" vertical="center" wrapText="1"/>
    </xf>
    <xf borderId="0" fillId="3" fontId="3" numFmtId="0" xfId="0" applyAlignment="1" applyFont="1">
      <alignment horizontal="left" readingOrder="0" shrinkToFit="0" vertical="center" wrapText="1"/>
    </xf>
    <xf borderId="0" fillId="0" fontId="4" numFmtId="0" xfId="0" applyAlignment="1" applyFont="1">
      <alignment readingOrder="0" vertical="center"/>
    </xf>
    <xf borderId="0" fillId="4" fontId="2" numFmtId="0" xfId="0" applyAlignment="1" applyFill="1" applyFont="1">
      <alignment horizontal="left" readingOrder="0"/>
    </xf>
    <xf borderId="0" fillId="4" fontId="5" numFmtId="0" xfId="0" applyAlignment="1" applyFont="1">
      <alignment horizontal="left" readingOrder="0" shrinkToFit="0" wrapText="1"/>
    </xf>
    <xf borderId="0" fillId="0" fontId="4" numFmtId="1" xfId="0" applyAlignment="1" applyFont="1" applyNumberFormat="1">
      <alignment horizontal="center" readingOrder="0" vertical="center"/>
    </xf>
    <xf borderId="0" fillId="0" fontId="4" numFmtId="49" xfId="0" applyAlignment="1" applyFont="1" applyNumberFormat="1">
      <alignment horizontal="center" vertical="center"/>
    </xf>
    <xf borderId="0" fillId="0" fontId="4" numFmtId="0" xfId="0" applyAlignment="1" applyFont="1">
      <alignment horizontal="left" readingOrder="0" shrinkToFit="0" vertical="center" wrapText="1"/>
    </xf>
    <xf borderId="0" fillId="0" fontId="4" numFmtId="0" xfId="0" applyAlignment="1" applyFont="1">
      <alignment vertical="center"/>
    </xf>
    <xf borderId="0" fillId="0" fontId="4" numFmtId="0" xfId="0" applyAlignment="1" applyFont="1">
      <alignment horizontal="left" readingOrder="0" vertical="center"/>
    </xf>
    <xf borderId="0" fillId="4" fontId="6" numFmtId="0" xfId="0" applyAlignment="1" applyFont="1">
      <alignment horizontal="left" readingOrder="0"/>
    </xf>
    <xf borderId="0" fillId="0" fontId="7" numFmtId="0" xfId="0" applyAlignment="1" applyFont="1">
      <alignment readingOrder="0" vertical="center"/>
    </xf>
    <xf borderId="0" fillId="0" fontId="7" numFmtId="0" xfId="0" applyAlignment="1" applyFont="1">
      <alignment vertical="center"/>
    </xf>
    <xf borderId="0" fillId="0" fontId="7" numFmtId="0" xfId="0" applyAlignment="1" applyFon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horizontal="center" readingOrder="0" vertical="center"/>
    </xf>
    <xf borderId="0" fillId="0" fontId="5" numFmtId="0" xfId="0" applyAlignment="1" applyFont="1">
      <alignment readingOrder="0" shrinkToFit="0" vertical="center" wrapText="1"/>
    </xf>
    <xf borderId="0" fillId="0" fontId="4" numFmtId="0" xfId="0" applyAlignment="1" applyFont="1">
      <alignment horizontal="left" vertical="center"/>
    </xf>
    <xf borderId="0" fillId="0" fontId="7" numFmtId="0" xfId="0" applyAlignment="1" applyFont="1">
      <alignment shrinkToFit="0" vertical="center" wrapText="1"/>
    </xf>
    <xf borderId="0" fillId="0" fontId="2" numFmtId="0" xfId="0" applyAlignment="1" applyFont="1">
      <alignment readingOrder="0" shrinkToFit="0" vertical="center" wrapText="1"/>
    </xf>
    <xf borderId="0" fillId="0" fontId="7" numFmtId="0" xfId="0" applyAlignment="1" applyFont="1">
      <alignment readingOrder="0" shrinkToFit="0" vertical="center" wrapText="1"/>
    </xf>
    <xf borderId="0" fillId="0" fontId="2" numFmtId="0" xfId="0" applyAlignment="1" applyFont="1">
      <alignment shrinkToFit="0" vertical="center" wrapText="1"/>
    </xf>
    <xf borderId="0" fillId="0" fontId="5" numFmtId="0" xfId="0" applyAlignment="1" applyFont="1">
      <alignment shrinkToFit="0" vertical="center" wrapText="1"/>
    </xf>
    <xf borderId="0" fillId="0" fontId="7" numFmtId="0" xfId="0" applyAlignment="1" applyFont="1">
      <alignment horizontal="center" vertical="center"/>
    </xf>
    <xf borderId="0" fillId="0" fontId="7" numFmtId="0" xfId="0" applyAlignment="1" applyFont="1">
      <alignment horizontal="left" vertical="center"/>
    </xf>
    <xf borderId="0" fillId="0" fontId="7" numFmtId="49" xfId="0" applyAlignment="1" applyFont="1" applyNumberFormat="1">
      <alignment horizontal="center" vertical="center"/>
    </xf>
    <xf borderId="0" fillId="2" fontId="8" numFmtId="0" xfId="0" applyAlignment="1" applyFont="1">
      <alignment horizontal="center" vertical="bottom"/>
    </xf>
    <xf borderId="0" fillId="5" fontId="8" numFmtId="0" xfId="0" applyAlignment="1" applyFill="1" applyFont="1">
      <alignment horizontal="right" readingOrder="0" vertical="center"/>
    </xf>
    <xf borderId="0" fillId="5" fontId="4" numFmtId="164" xfId="0" applyAlignment="1" applyFont="1" applyNumberFormat="1">
      <alignment vertical="bottom"/>
    </xf>
    <xf borderId="0" fillId="5" fontId="4" numFmtId="0" xfId="0" applyAlignment="1" applyFont="1">
      <alignment vertical="bottom"/>
    </xf>
    <xf borderId="0" fillId="0" fontId="9" numFmtId="0" xfId="0" applyAlignment="1" applyFont="1">
      <alignment horizontal="right" vertical="center"/>
    </xf>
    <xf borderId="0" fillId="0" fontId="4" numFmtId="0" xfId="0" applyAlignment="1" applyFont="1">
      <alignment vertical="bottom"/>
    </xf>
    <xf borderId="0" fillId="0" fontId="10" numFmtId="0" xfId="0" applyAlignment="1" applyFont="1">
      <alignment shrinkToFit="0" vertical="bottom" wrapText="1"/>
    </xf>
    <xf borderId="0" fillId="0" fontId="4" numFmtId="0" xfId="0" applyAlignment="1" applyFont="1">
      <alignment vertical="bottom"/>
    </xf>
    <xf borderId="0" fillId="0" fontId="9" numFmtId="0" xfId="0" applyAlignment="1" applyFont="1">
      <alignment horizontal="right" vertical="center"/>
    </xf>
    <xf borderId="0" fillId="0" fontId="10" numFmtId="0" xfId="0" applyAlignment="1" applyFont="1">
      <alignment shrinkToFit="0" vertical="bottom" wrapText="1"/>
    </xf>
    <xf borderId="0" fillId="0" fontId="4" numFmtId="0" xfId="0" applyAlignment="1" applyFont="1">
      <alignment readingOrder="0" vertical="bottom"/>
    </xf>
    <xf borderId="0" fillId="0" fontId="4" numFmtId="165" xfId="0" applyAlignment="1" applyFont="1" applyNumberFormat="1">
      <alignment readingOrder="0" vertical="bottom"/>
    </xf>
    <xf borderId="0" fillId="0" fontId="9" numFmtId="0" xfId="0" applyAlignment="1" applyFont="1">
      <alignment horizontal="right"/>
    </xf>
    <xf borderId="0" fillId="0" fontId="4" numFmtId="165" xfId="0" applyFont="1" applyNumberFormat="1"/>
    <xf borderId="0" fillId="0" fontId="11" numFmtId="0" xfId="0" applyAlignment="1" applyFont="1">
      <alignment horizontal="center" readingOrder="0"/>
    </xf>
    <xf borderId="0" fillId="0" fontId="12" numFmtId="0" xfId="0" applyAlignment="1" applyFont="1">
      <alignment horizontal="right" vertical="bottom"/>
    </xf>
    <xf borderId="0" fillId="0" fontId="11" numFmtId="165" xfId="0" applyAlignment="1" applyFont="1" applyNumberFormat="1">
      <alignment horizontal="center"/>
    </xf>
    <xf borderId="0" fillId="0" fontId="4" numFmtId="0" xfId="0" applyAlignment="1" applyFont="1">
      <alignment vertical="center"/>
    </xf>
    <xf borderId="0" fillId="0" fontId="4" numFmtId="165" xfId="0" applyAlignment="1" applyFont="1" applyNumberFormat="1">
      <alignment vertical="bottom"/>
    </xf>
    <xf borderId="0" fillId="0" fontId="13" numFmtId="0" xfId="0" applyAlignment="1" applyFont="1">
      <alignment readingOrder="0" vertical="bottom"/>
    </xf>
    <xf borderId="0" fillId="0" fontId="12" numFmtId="0" xfId="0" applyAlignment="1" applyFont="1">
      <alignment horizontal="right" vertical="bottom"/>
    </xf>
    <xf borderId="0" fillId="0" fontId="4" numFmtId="166" xfId="0" applyAlignment="1" applyFont="1" applyNumberFormat="1">
      <alignment readingOrder="0" vertical="bottom"/>
    </xf>
    <xf borderId="0" fillId="5" fontId="8" numFmtId="0" xfId="0" applyAlignment="1" applyFont="1">
      <alignment horizontal="right" vertical="center"/>
    </xf>
    <xf borderId="0" fillId="0" fontId="11" numFmtId="164" xfId="0" applyAlignment="1" applyFont="1" applyNumberFormat="1">
      <alignment horizontal="right" readingOrder="0" vertical="bottom"/>
    </xf>
    <xf borderId="0" fillId="0" fontId="11" numFmtId="9" xfId="0" applyAlignment="1" applyFont="1" applyNumberFormat="1">
      <alignment horizontal="right" readingOrder="0" vertical="bottom"/>
    </xf>
    <xf borderId="0" fillId="0" fontId="11" numFmtId="0" xfId="0" applyAlignment="1" applyFont="1">
      <alignment readingOrder="0" shrinkToFit="0" wrapText="1"/>
    </xf>
    <xf borderId="0" fillId="0" fontId="10" numFmtId="0" xfId="0" applyAlignment="1" applyFont="1">
      <alignment shrinkToFit="0" wrapText="1"/>
    </xf>
    <xf borderId="0" fillId="0" fontId="4" numFmtId="0" xfId="0" applyFont="1"/>
    <xf borderId="0" fillId="0" fontId="11" numFmtId="167" xfId="0" applyAlignment="1" applyFont="1" applyNumberFormat="1">
      <alignment horizontal="right" readingOrder="0" vertical="bottom"/>
    </xf>
    <xf borderId="0" fillId="0" fontId="11" numFmtId="0" xfId="0" applyAlignment="1" applyFont="1">
      <alignment horizontal="right" readingOrder="0" vertical="bottom"/>
    </xf>
    <xf borderId="0" fillId="0" fontId="11" numFmtId="164" xfId="0" applyAlignment="1" applyFont="1" applyNumberFormat="1">
      <alignment horizontal="right" vertical="bottom"/>
    </xf>
    <xf borderId="0" fillId="0" fontId="11" numFmtId="0" xfId="0" applyAlignment="1" applyFont="1">
      <alignment horizontal="right" vertical="bottom"/>
    </xf>
    <xf borderId="0" fillId="0" fontId="11" numFmtId="0" xfId="0" applyAlignment="1" applyFont="1">
      <alignment shrinkToFit="0" wrapText="1"/>
    </xf>
    <xf borderId="0" fillId="0" fontId="10" numFmtId="0" xfId="0" applyAlignment="1" applyFont="1">
      <alignment shrinkToFit="0" wrapText="1"/>
    </xf>
    <xf borderId="0" fillId="5" fontId="8" numFmtId="0" xfId="0" applyAlignment="1" applyFont="1">
      <alignment vertical="center"/>
    </xf>
    <xf borderId="0" fillId="0" fontId="9" numFmtId="0" xfId="0" applyAlignment="1" applyFont="1">
      <alignment horizontal="right" shrinkToFit="0" vertical="center" wrapText="1"/>
    </xf>
    <xf borderId="0" fillId="0" fontId="11" numFmtId="0" xfId="0" applyAlignment="1" applyFont="1">
      <alignment shrinkToFit="0" vertical="bottom" wrapText="1"/>
    </xf>
    <xf borderId="0" fillId="2" fontId="11" numFmtId="0" xfId="0" applyAlignment="1" applyFont="1">
      <alignment vertical="bottom"/>
    </xf>
    <xf borderId="0" fillId="0" fontId="11" numFmtId="0" xfId="0" applyAlignment="1" applyFont="1">
      <alignment vertical="bottom"/>
    </xf>
    <xf borderId="1" fillId="3" fontId="8" numFmtId="0" xfId="0" applyAlignment="1" applyBorder="1" applyFont="1">
      <alignment vertical="bottom"/>
    </xf>
    <xf borderId="1" fillId="3" fontId="11" numFmtId="0" xfId="0" applyAlignment="1" applyBorder="1" applyFont="1">
      <alignment vertical="bottom"/>
    </xf>
    <xf borderId="0" fillId="0" fontId="9" numFmtId="0" xfId="0" applyAlignment="1" applyFont="1">
      <alignment horizontal="right" vertical="bottom"/>
    </xf>
    <xf borderId="0" fillId="0" fontId="11" numFmtId="0" xfId="0" applyAlignment="1" applyFont="1">
      <alignment horizontal="center" vertical="bottom"/>
    </xf>
    <xf borderId="0" fillId="0" fontId="11" numFmtId="0" xfId="0" applyAlignment="1" applyFont="1">
      <alignment vertical="bottom"/>
    </xf>
    <xf borderId="0" fillId="0" fontId="14" numFmtId="0" xfId="0" applyAlignment="1" applyFont="1">
      <alignment horizontal="right" vertical="bottom"/>
    </xf>
    <xf borderId="0" fillId="0" fontId="11" numFmtId="0" xfId="0" applyAlignment="1" applyFont="1">
      <alignment horizontal="center" vertical="bottom"/>
    </xf>
    <xf borderId="0" fillId="0" fontId="11" numFmtId="168" xfId="0" applyAlignment="1" applyFont="1" applyNumberFormat="1">
      <alignment horizontal="center" vertical="bottom"/>
    </xf>
    <xf borderId="0" fillId="0" fontId="11" numFmtId="14" xfId="0" applyAlignment="1" applyFont="1" applyNumberFormat="1">
      <alignment horizontal="center" vertical="bottom"/>
    </xf>
    <xf borderId="0" fillId="0" fontId="11" numFmtId="9" xfId="0" applyAlignment="1" applyFont="1" applyNumberFormat="1">
      <alignment horizontal="center" vertical="bottom"/>
    </xf>
    <xf borderId="0" fillId="6" fontId="11" numFmtId="0" xfId="0" applyAlignment="1" applyFill="1" applyFont="1">
      <alignment vertical="bottom"/>
    </xf>
    <xf borderId="0" fillId="6" fontId="9" numFmtId="0" xfId="0" applyAlignment="1" applyFont="1">
      <alignment horizontal="center" vertical="bottom"/>
    </xf>
    <xf borderId="0" fillId="0" fontId="11" numFmtId="1" xfId="0" applyAlignment="1" applyFont="1" applyNumberFormat="1">
      <alignment horizontal="center" vertical="bottom"/>
    </xf>
    <xf borderId="0" fillId="0" fontId="11" numFmtId="1" xfId="0" applyAlignment="1" applyFont="1" applyNumberFormat="1">
      <alignment vertical="bottom"/>
    </xf>
    <xf borderId="0" fillId="0" fontId="11" numFmtId="9" xfId="0" applyAlignment="1" applyFont="1" applyNumberFormat="1">
      <alignment vertical="bottom"/>
    </xf>
    <xf borderId="1" fillId="3" fontId="8" numFmtId="0" xfId="0" applyAlignment="1" applyBorder="1" applyFont="1">
      <alignment horizontal="center" shrinkToFit="0" vertical="bottom" wrapText="0"/>
    </xf>
    <xf borderId="1" fillId="3" fontId="8" numFmtId="0" xfId="0" applyAlignment="1" applyBorder="1" applyFont="1">
      <alignment horizontal="center" vertical="bottom"/>
    </xf>
    <xf borderId="0" fillId="0" fontId="11"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1" numFmtId="164" xfId="0" applyAlignment="1" applyFont="1" applyNumberFormat="1">
      <alignment horizontal="center" shrinkToFit="0" vertical="bottom" wrapText="0"/>
    </xf>
    <xf borderId="0" fillId="0" fontId="11" numFmtId="10" xfId="0" applyAlignment="1" applyFont="1" applyNumberFormat="1">
      <alignment vertical="bottom"/>
    </xf>
    <xf borderId="0" fillId="0" fontId="11" numFmtId="3" xfId="0" applyAlignment="1" applyFont="1" applyNumberFormat="1">
      <alignment vertical="bottom"/>
    </xf>
    <xf borderId="0" fillId="0" fontId="9" numFmtId="0" xfId="0" applyAlignment="1" applyFont="1">
      <alignment shrinkToFit="0" vertical="bottom" wrapText="0"/>
    </xf>
    <xf borderId="0" fillId="0" fontId="9" numFmtId="0" xfId="0" applyAlignment="1" applyFont="1">
      <alignment horizontal="center" shrinkToFit="0" vertical="bottom" wrapText="0"/>
    </xf>
    <xf borderId="0" fillId="0" fontId="9" numFmtId="164" xfId="0" applyAlignment="1" applyFont="1" applyNumberFormat="1">
      <alignment horizontal="center" vertical="bottom"/>
    </xf>
    <xf borderId="0" fillId="0" fontId="11" numFmtId="164" xfId="0" applyAlignment="1" applyFont="1" applyNumberFormat="1">
      <alignment horizontal="center" vertical="bottom"/>
    </xf>
    <xf borderId="0" fillId="0" fontId="11" numFmtId="164" xfId="0" applyAlignment="1" applyFont="1" applyNumberFormat="1">
      <alignment vertical="bottom"/>
    </xf>
  </cellXfs>
  <cellStyles count="1">
    <cellStyle xfId="0" name="Normal" builtinId="0"/>
  </cellStyles>
  <dxfs count="1">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cript.google.com/macros/s/AKfycbzGfZXXrB8GB7kt-FSeTA8sL0Rw3BzaXwifNA9CDpjsqe8NBn4EL159NLqLBYwGjqUw/exec?sheetId=1qgkUllcl5UxR4mhuejTzliVFPuVNmuP9ND02kUtrf_Y"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38"/>
    <col customWidth="1" min="3" max="3" width="23.88"/>
    <col customWidth="1" min="4" max="6" width="33.25"/>
    <col customWidth="1" min="7" max="9" width="10.38"/>
    <col customWidth="1" min="10" max="10" width="10.5"/>
    <col customWidth="1" min="11" max="11" width="15.75"/>
    <col customWidth="1" min="12" max="12" width="6.63"/>
    <col customWidth="1" min="13" max="13" width="7.38"/>
    <col customWidth="1" min="14" max="15" width="26.0"/>
    <col customWidth="1" min="16" max="16" width="20.13"/>
  </cols>
  <sheetData>
    <row r="1">
      <c r="A1" s="1" t="s">
        <v>0</v>
      </c>
      <c r="B1" s="2" t="s">
        <v>1</v>
      </c>
      <c r="C1" s="2" t="s">
        <v>2</v>
      </c>
      <c r="D1" s="2" t="s">
        <v>3</v>
      </c>
      <c r="E1" s="2" t="s">
        <v>4</v>
      </c>
      <c r="F1" s="2" t="s">
        <v>5</v>
      </c>
      <c r="G1" s="3" t="s">
        <v>6</v>
      </c>
      <c r="H1" s="3" t="s">
        <v>7</v>
      </c>
      <c r="I1" s="4" t="s">
        <v>8</v>
      </c>
      <c r="J1" s="5" t="s">
        <v>9</v>
      </c>
      <c r="K1" s="6" t="s">
        <v>10</v>
      </c>
      <c r="L1" s="7" t="s">
        <v>11</v>
      </c>
      <c r="M1" s="8" t="s">
        <v>12</v>
      </c>
      <c r="N1" s="5" t="s">
        <v>13</v>
      </c>
      <c r="O1" s="5" t="s">
        <v>14</v>
      </c>
      <c r="P1" s="5"/>
    </row>
    <row r="2">
      <c r="A2" s="9" t="s">
        <v>15</v>
      </c>
      <c r="B2" s="10" t="s">
        <v>16</v>
      </c>
      <c r="C2" s="11" t="s">
        <v>17</v>
      </c>
      <c r="D2" s="11" t="s">
        <v>18</v>
      </c>
      <c r="E2" s="11" t="s">
        <v>19</v>
      </c>
      <c r="F2" s="11" t="s">
        <v>20</v>
      </c>
      <c r="G2" s="12">
        <v>8.0</v>
      </c>
      <c r="H2" s="12">
        <v>10.0</v>
      </c>
      <c r="I2" s="13">
        <f t="shared" ref="I2:I108" si="1">IF(AND(G2&lt;&gt;"",H2&lt;&gt;""),ROUNDUP(AVERAGE(G2:H2),0),"")</f>
        <v>9</v>
      </c>
      <c r="J2" s="9" t="b">
        <v>0</v>
      </c>
      <c r="K2" s="14" t="s">
        <v>21</v>
      </c>
      <c r="L2" s="15"/>
      <c r="M2" s="16"/>
      <c r="N2" s="17" t="s">
        <v>22</v>
      </c>
      <c r="O2" s="18"/>
      <c r="P2" s="18"/>
    </row>
    <row r="3">
      <c r="A3" s="9" t="s">
        <v>15</v>
      </c>
      <c r="B3" s="10" t="s">
        <v>23</v>
      </c>
      <c r="C3" s="11" t="s">
        <v>24</v>
      </c>
      <c r="D3" s="11" t="s">
        <v>25</v>
      </c>
      <c r="E3" s="11" t="s">
        <v>26</v>
      </c>
      <c r="F3" s="11" t="s">
        <v>27</v>
      </c>
      <c r="G3" s="12">
        <v>9.0</v>
      </c>
      <c r="H3" s="12">
        <v>15.0</v>
      </c>
      <c r="I3" s="13">
        <f t="shared" si="1"/>
        <v>12</v>
      </c>
      <c r="J3" s="9" t="b">
        <v>0</v>
      </c>
      <c r="K3" s="14" t="s">
        <v>21</v>
      </c>
      <c r="L3" s="15"/>
      <c r="M3" s="16"/>
      <c r="N3" s="17" t="s">
        <v>28</v>
      </c>
      <c r="O3" s="19"/>
      <c r="P3" s="19"/>
    </row>
    <row r="4">
      <c r="A4" s="9" t="s">
        <v>15</v>
      </c>
      <c r="B4" s="10" t="s">
        <v>23</v>
      </c>
      <c r="C4" s="11" t="s">
        <v>29</v>
      </c>
      <c r="D4" s="11" t="s">
        <v>30</v>
      </c>
      <c r="E4" s="11" t="s">
        <v>31</v>
      </c>
      <c r="F4" s="11" t="s">
        <v>32</v>
      </c>
      <c r="G4" s="12">
        <v>6.0</v>
      </c>
      <c r="H4" s="12">
        <v>9.0</v>
      </c>
      <c r="I4" s="13">
        <f t="shared" si="1"/>
        <v>8</v>
      </c>
      <c r="J4" s="9" t="b">
        <v>0</v>
      </c>
      <c r="K4" s="14" t="s">
        <v>21</v>
      </c>
      <c r="L4" s="15"/>
      <c r="M4" s="16"/>
      <c r="N4" s="20"/>
      <c r="O4" s="19"/>
      <c r="P4" s="19"/>
    </row>
    <row r="5">
      <c r="A5" s="9" t="s">
        <v>15</v>
      </c>
      <c r="B5" s="10" t="s">
        <v>23</v>
      </c>
      <c r="C5" s="11" t="s">
        <v>33</v>
      </c>
      <c r="D5" s="11" t="s">
        <v>34</v>
      </c>
      <c r="E5" s="11" t="s">
        <v>35</v>
      </c>
      <c r="F5" s="21" t="s">
        <v>36</v>
      </c>
      <c r="G5" s="22">
        <v>9.0</v>
      </c>
      <c r="H5" s="22">
        <v>12.0</v>
      </c>
      <c r="I5" s="13">
        <f t="shared" si="1"/>
        <v>11</v>
      </c>
      <c r="J5" s="9" t="b">
        <v>0</v>
      </c>
      <c r="K5" s="14" t="s">
        <v>37</v>
      </c>
      <c r="L5" s="15"/>
      <c r="M5" s="16"/>
      <c r="N5" s="17" t="s">
        <v>38</v>
      </c>
      <c r="O5" s="19"/>
      <c r="P5" s="19"/>
    </row>
    <row r="6">
      <c r="A6" s="9" t="s">
        <v>15</v>
      </c>
      <c r="B6" s="10" t="s">
        <v>23</v>
      </c>
      <c r="C6" s="11" t="s">
        <v>39</v>
      </c>
      <c r="D6" s="11" t="s">
        <v>40</v>
      </c>
      <c r="E6" s="23" t="s">
        <v>41</v>
      </c>
      <c r="F6" s="23" t="s">
        <v>42</v>
      </c>
      <c r="G6" s="22">
        <v>6.0</v>
      </c>
      <c r="H6" s="22">
        <v>9.0</v>
      </c>
      <c r="I6" s="13">
        <f t="shared" si="1"/>
        <v>8</v>
      </c>
      <c r="J6" s="9" t="b">
        <v>0</v>
      </c>
      <c r="K6" s="14" t="s">
        <v>21</v>
      </c>
      <c r="L6" s="15"/>
      <c r="M6" s="24"/>
      <c r="N6" s="25"/>
      <c r="O6" s="19"/>
      <c r="P6" s="19"/>
    </row>
    <row r="7">
      <c r="A7" s="9" t="s">
        <v>15</v>
      </c>
      <c r="B7" s="10" t="s">
        <v>23</v>
      </c>
      <c r="C7" s="11" t="s">
        <v>43</v>
      </c>
      <c r="D7" s="11" t="s">
        <v>44</v>
      </c>
      <c r="E7" s="11" t="s">
        <v>45</v>
      </c>
      <c r="F7" s="11" t="s">
        <v>46</v>
      </c>
      <c r="G7" s="22">
        <v>6.0</v>
      </c>
      <c r="H7" s="22">
        <v>9.0</v>
      </c>
      <c r="I7" s="13">
        <f t="shared" si="1"/>
        <v>8</v>
      </c>
      <c r="J7" s="9" t="b">
        <v>0</v>
      </c>
      <c r="K7" s="14" t="s">
        <v>21</v>
      </c>
      <c r="L7" s="15"/>
      <c r="M7" s="24"/>
      <c r="N7" s="25"/>
      <c r="O7" s="19"/>
      <c r="P7" s="19"/>
    </row>
    <row r="8">
      <c r="A8" s="9" t="s">
        <v>15</v>
      </c>
      <c r="B8" s="26" t="s">
        <v>23</v>
      </c>
      <c r="C8" s="23" t="s">
        <v>47</v>
      </c>
      <c r="D8" s="23" t="s">
        <v>48</v>
      </c>
      <c r="E8" s="23" t="s">
        <v>49</v>
      </c>
      <c r="F8" s="11" t="s">
        <v>50</v>
      </c>
      <c r="G8" s="22">
        <v>6.0</v>
      </c>
      <c r="H8" s="22">
        <v>9.0</v>
      </c>
      <c r="I8" s="13">
        <f t="shared" si="1"/>
        <v>8</v>
      </c>
      <c r="J8" s="9" t="b">
        <v>0</v>
      </c>
      <c r="K8" s="14" t="s">
        <v>37</v>
      </c>
      <c r="L8" s="15"/>
      <c r="M8" s="24"/>
      <c r="N8" s="25"/>
      <c r="O8" s="19"/>
      <c r="P8" s="19"/>
    </row>
    <row r="9">
      <c r="A9" s="9" t="s">
        <v>15</v>
      </c>
      <c r="B9" s="26" t="s">
        <v>51</v>
      </c>
      <c r="C9" s="23" t="s">
        <v>52</v>
      </c>
      <c r="D9" s="23" t="s">
        <v>53</v>
      </c>
      <c r="E9" s="23" t="s">
        <v>54</v>
      </c>
      <c r="F9" s="11" t="s">
        <v>55</v>
      </c>
      <c r="G9" s="22">
        <v>8.0</v>
      </c>
      <c r="H9" s="22">
        <v>12.0</v>
      </c>
      <c r="I9" s="13">
        <f t="shared" si="1"/>
        <v>10</v>
      </c>
      <c r="J9" s="9" t="b">
        <v>0</v>
      </c>
      <c r="K9" s="14" t="s">
        <v>37</v>
      </c>
      <c r="L9" s="15"/>
      <c r="M9" s="24"/>
      <c r="N9" s="25"/>
      <c r="O9" s="19"/>
      <c r="P9" s="19"/>
    </row>
    <row r="10">
      <c r="A10" s="9" t="s">
        <v>15</v>
      </c>
      <c r="B10" s="26" t="s">
        <v>51</v>
      </c>
      <c r="C10" s="23" t="s">
        <v>56</v>
      </c>
      <c r="D10" s="23" t="s">
        <v>57</v>
      </c>
      <c r="E10" s="23" t="s">
        <v>58</v>
      </c>
      <c r="F10" s="11" t="s">
        <v>59</v>
      </c>
      <c r="G10" s="22">
        <v>8.0</v>
      </c>
      <c r="H10" s="22">
        <v>12.0</v>
      </c>
      <c r="I10" s="13">
        <f t="shared" si="1"/>
        <v>10</v>
      </c>
      <c r="J10" s="9" t="b">
        <v>0</v>
      </c>
      <c r="K10" s="14" t="s">
        <v>21</v>
      </c>
      <c r="L10" s="15"/>
      <c r="M10" s="24"/>
      <c r="N10" s="25"/>
      <c r="O10" s="19"/>
      <c r="P10" s="19"/>
    </row>
    <row r="11">
      <c r="A11" s="9" t="s">
        <v>15</v>
      </c>
      <c r="B11" s="26" t="s">
        <v>51</v>
      </c>
      <c r="C11" s="23" t="s">
        <v>60</v>
      </c>
      <c r="D11" s="23" t="s">
        <v>61</v>
      </c>
      <c r="E11" s="23" t="s">
        <v>62</v>
      </c>
      <c r="F11" s="11" t="s">
        <v>63</v>
      </c>
      <c r="G11" s="22">
        <v>8.0</v>
      </c>
      <c r="H11" s="22">
        <v>12.0</v>
      </c>
      <c r="I11" s="13">
        <f t="shared" si="1"/>
        <v>10</v>
      </c>
      <c r="J11" s="9" t="b">
        <v>0</v>
      </c>
      <c r="K11" s="14" t="s">
        <v>21</v>
      </c>
      <c r="L11" s="15"/>
      <c r="M11" s="24"/>
      <c r="N11" s="25"/>
      <c r="O11" s="19"/>
      <c r="P11" s="19"/>
    </row>
    <row r="12">
      <c r="A12" s="9" t="s">
        <v>15</v>
      </c>
      <c r="B12" s="26" t="s">
        <v>64</v>
      </c>
      <c r="C12" s="23" t="s">
        <v>65</v>
      </c>
      <c r="D12" s="23" t="s">
        <v>66</v>
      </c>
      <c r="E12" s="23" t="s">
        <v>67</v>
      </c>
      <c r="F12" s="11" t="s">
        <v>68</v>
      </c>
      <c r="G12" s="22">
        <v>15.0</v>
      </c>
      <c r="H12" s="22">
        <v>20.0</v>
      </c>
      <c r="I12" s="13">
        <f t="shared" si="1"/>
        <v>18</v>
      </c>
      <c r="J12" s="9" t="b">
        <v>0</v>
      </c>
      <c r="K12" s="14" t="s">
        <v>37</v>
      </c>
      <c r="L12" s="15"/>
      <c r="M12" s="24"/>
      <c r="N12" s="25"/>
      <c r="O12" s="19"/>
      <c r="P12" s="19"/>
    </row>
    <row r="13">
      <c r="A13" s="9" t="s">
        <v>15</v>
      </c>
      <c r="B13" s="26" t="s">
        <v>64</v>
      </c>
      <c r="C13" s="23" t="s">
        <v>69</v>
      </c>
      <c r="D13" s="23" t="s">
        <v>70</v>
      </c>
      <c r="E13" s="23" t="s">
        <v>71</v>
      </c>
      <c r="F13" s="11" t="s">
        <v>72</v>
      </c>
      <c r="G13" s="22">
        <v>15.0</v>
      </c>
      <c r="H13" s="22">
        <v>18.0</v>
      </c>
      <c r="I13" s="13">
        <f t="shared" si="1"/>
        <v>17</v>
      </c>
      <c r="J13" s="9" t="b">
        <v>0</v>
      </c>
      <c r="K13" s="14" t="s">
        <v>37</v>
      </c>
      <c r="L13" s="15"/>
      <c r="M13" s="24"/>
      <c r="N13" s="25"/>
      <c r="O13" s="19"/>
      <c r="P13" s="19"/>
    </row>
    <row r="14">
      <c r="A14" s="9" t="s">
        <v>15</v>
      </c>
      <c r="B14" s="26" t="s">
        <v>64</v>
      </c>
      <c r="C14" s="23" t="s">
        <v>73</v>
      </c>
      <c r="D14" s="23" t="s">
        <v>74</v>
      </c>
      <c r="E14" s="23" t="s">
        <v>75</v>
      </c>
      <c r="F14" s="11" t="s">
        <v>76</v>
      </c>
      <c r="G14" s="22">
        <v>15.0</v>
      </c>
      <c r="H14" s="22">
        <v>18.0</v>
      </c>
      <c r="I14" s="13">
        <f t="shared" si="1"/>
        <v>17</v>
      </c>
      <c r="J14" s="9" t="b">
        <v>0</v>
      </c>
      <c r="K14" s="14" t="s">
        <v>37</v>
      </c>
      <c r="L14" s="15"/>
      <c r="M14" s="24"/>
      <c r="N14" s="25"/>
      <c r="O14" s="19"/>
      <c r="P14" s="19"/>
    </row>
    <row r="15">
      <c r="A15" s="9" t="s">
        <v>15</v>
      </c>
      <c r="B15" s="26" t="s">
        <v>64</v>
      </c>
      <c r="C15" s="23" t="s">
        <v>77</v>
      </c>
      <c r="D15" s="23" t="s">
        <v>78</v>
      </c>
      <c r="E15" s="23" t="s">
        <v>79</v>
      </c>
      <c r="F15" s="11" t="s">
        <v>80</v>
      </c>
      <c r="G15" s="22">
        <v>15.0</v>
      </c>
      <c r="H15" s="22">
        <v>18.0</v>
      </c>
      <c r="I15" s="13">
        <f t="shared" si="1"/>
        <v>17</v>
      </c>
      <c r="J15" s="9" t="b">
        <v>0</v>
      </c>
      <c r="K15" s="14" t="s">
        <v>37</v>
      </c>
      <c r="L15" s="15"/>
      <c r="M15" s="24"/>
      <c r="N15" s="27"/>
      <c r="O15" s="19"/>
      <c r="P15" s="19"/>
    </row>
    <row r="16">
      <c r="A16" s="9" t="s">
        <v>15</v>
      </c>
      <c r="B16" s="26" t="s">
        <v>64</v>
      </c>
      <c r="C16" s="23" t="s">
        <v>81</v>
      </c>
      <c r="D16" s="23" t="s">
        <v>82</v>
      </c>
      <c r="E16" s="23" t="s">
        <v>83</v>
      </c>
      <c r="F16" s="11" t="s">
        <v>84</v>
      </c>
      <c r="G16" s="22">
        <v>12.0</v>
      </c>
      <c r="H16" s="22">
        <v>15.0</v>
      </c>
      <c r="I16" s="13">
        <f t="shared" si="1"/>
        <v>14</v>
      </c>
      <c r="J16" s="9" t="b">
        <v>0</v>
      </c>
      <c r="K16" s="14" t="s">
        <v>21</v>
      </c>
      <c r="L16" s="15"/>
      <c r="M16" s="24"/>
      <c r="N16" s="27"/>
      <c r="O16" s="19"/>
      <c r="P16" s="19"/>
    </row>
    <row r="17">
      <c r="A17" s="9" t="s">
        <v>15</v>
      </c>
      <c r="B17" s="26" t="s">
        <v>64</v>
      </c>
      <c r="C17" s="23" t="s">
        <v>85</v>
      </c>
      <c r="D17" s="23" t="s">
        <v>86</v>
      </c>
      <c r="E17" s="23" t="s">
        <v>87</v>
      </c>
      <c r="F17" s="11" t="s">
        <v>88</v>
      </c>
      <c r="G17" s="22">
        <v>12.0</v>
      </c>
      <c r="H17" s="22">
        <v>15.0</v>
      </c>
      <c r="I17" s="13">
        <f t="shared" si="1"/>
        <v>14</v>
      </c>
      <c r="J17" s="9" t="b">
        <v>0</v>
      </c>
      <c r="K17" s="14" t="s">
        <v>21</v>
      </c>
      <c r="L17" s="15"/>
      <c r="M17" s="24"/>
      <c r="N17" s="20"/>
      <c r="O17" s="19"/>
      <c r="P17" s="19"/>
    </row>
    <row r="18">
      <c r="A18" s="9" t="s">
        <v>15</v>
      </c>
      <c r="B18" s="26" t="s">
        <v>64</v>
      </c>
      <c r="C18" s="23" t="s">
        <v>89</v>
      </c>
      <c r="D18" s="23" t="s">
        <v>90</v>
      </c>
      <c r="E18" s="23" t="s">
        <v>91</v>
      </c>
      <c r="F18" s="11" t="s">
        <v>92</v>
      </c>
      <c r="G18" s="22">
        <v>12.0</v>
      </c>
      <c r="H18" s="22">
        <v>16.0</v>
      </c>
      <c r="I18" s="13">
        <f t="shared" si="1"/>
        <v>14</v>
      </c>
      <c r="J18" s="9" t="b">
        <v>0</v>
      </c>
      <c r="K18" s="14" t="s">
        <v>21</v>
      </c>
      <c r="L18" s="15"/>
      <c r="M18" s="24"/>
      <c r="N18" s="20"/>
      <c r="O18" s="19"/>
      <c r="P18" s="19"/>
    </row>
    <row r="19">
      <c r="A19" s="9" t="s">
        <v>15</v>
      </c>
      <c r="B19" s="26" t="s">
        <v>64</v>
      </c>
      <c r="C19" s="23" t="s">
        <v>93</v>
      </c>
      <c r="D19" s="23" t="s">
        <v>94</v>
      </c>
      <c r="E19" s="23" t="s">
        <v>95</v>
      </c>
      <c r="F19" s="11" t="s">
        <v>96</v>
      </c>
      <c r="G19" s="22">
        <v>12.0</v>
      </c>
      <c r="H19" s="22">
        <v>15.0</v>
      </c>
      <c r="I19" s="13">
        <f t="shared" si="1"/>
        <v>14</v>
      </c>
      <c r="J19" s="9" t="b">
        <v>0</v>
      </c>
      <c r="K19" s="14" t="s">
        <v>37</v>
      </c>
      <c r="L19" s="15"/>
      <c r="M19" s="24"/>
      <c r="N19" s="25"/>
      <c r="O19" s="19"/>
      <c r="P19" s="19"/>
    </row>
    <row r="20">
      <c r="A20" s="9" t="s">
        <v>15</v>
      </c>
      <c r="B20" s="26" t="s">
        <v>64</v>
      </c>
      <c r="C20" s="23" t="s">
        <v>97</v>
      </c>
      <c r="D20" s="23" t="s">
        <v>98</v>
      </c>
      <c r="E20" s="23" t="s">
        <v>99</v>
      </c>
      <c r="F20" s="11" t="s">
        <v>100</v>
      </c>
      <c r="G20" s="22">
        <v>15.0</v>
      </c>
      <c r="H20" s="22">
        <v>18.0</v>
      </c>
      <c r="I20" s="13">
        <f t="shared" si="1"/>
        <v>17</v>
      </c>
      <c r="J20" s="9" t="b">
        <v>0</v>
      </c>
      <c r="K20" s="14" t="s">
        <v>101</v>
      </c>
      <c r="L20" s="15"/>
      <c r="M20" s="24"/>
      <c r="N20" s="25"/>
      <c r="O20" s="19"/>
      <c r="P20" s="19"/>
    </row>
    <row r="21">
      <c r="A21" s="9" t="s">
        <v>15</v>
      </c>
      <c r="B21" s="26" t="s">
        <v>102</v>
      </c>
      <c r="C21" s="23" t="s">
        <v>103</v>
      </c>
      <c r="D21" s="23" t="s">
        <v>104</v>
      </c>
      <c r="E21" s="23" t="s">
        <v>105</v>
      </c>
      <c r="F21" s="11" t="s">
        <v>106</v>
      </c>
      <c r="G21" s="22">
        <v>12.0</v>
      </c>
      <c r="H21" s="22">
        <v>15.0</v>
      </c>
      <c r="I21" s="13">
        <f t="shared" si="1"/>
        <v>14</v>
      </c>
      <c r="J21" s="9" t="b">
        <v>0</v>
      </c>
      <c r="K21" s="14" t="s">
        <v>21</v>
      </c>
      <c r="L21" s="15"/>
      <c r="M21" s="24"/>
      <c r="N21" s="25"/>
      <c r="O21" s="19"/>
      <c r="P21" s="19"/>
    </row>
    <row r="22">
      <c r="A22" s="9" t="s">
        <v>15</v>
      </c>
      <c r="B22" s="26" t="s">
        <v>102</v>
      </c>
      <c r="C22" s="23" t="s">
        <v>107</v>
      </c>
      <c r="D22" s="23" t="s">
        <v>108</v>
      </c>
      <c r="E22" s="23" t="s">
        <v>109</v>
      </c>
      <c r="F22" s="11" t="s">
        <v>110</v>
      </c>
      <c r="G22" s="22">
        <v>8.0</v>
      </c>
      <c r="H22" s="22">
        <v>10.0</v>
      </c>
      <c r="I22" s="13">
        <f t="shared" si="1"/>
        <v>9</v>
      </c>
      <c r="J22" s="9" t="b">
        <v>0</v>
      </c>
      <c r="K22" s="14" t="s">
        <v>21</v>
      </c>
      <c r="L22" s="15"/>
      <c r="M22" s="24"/>
      <c r="N22" s="25"/>
      <c r="O22" s="19"/>
      <c r="P22" s="19"/>
    </row>
    <row r="23">
      <c r="A23" s="9" t="s">
        <v>15</v>
      </c>
      <c r="B23" s="26" t="s">
        <v>102</v>
      </c>
      <c r="C23" s="23" t="s">
        <v>111</v>
      </c>
      <c r="D23" s="23" t="s">
        <v>112</v>
      </c>
      <c r="E23" s="23" t="s">
        <v>113</v>
      </c>
      <c r="F23" s="11" t="s">
        <v>114</v>
      </c>
      <c r="G23" s="22">
        <v>10.0</v>
      </c>
      <c r="H23" s="22">
        <v>12.0</v>
      </c>
      <c r="I23" s="13">
        <f t="shared" si="1"/>
        <v>11</v>
      </c>
      <c r="J23" s="9" t="b">
        <v>0</v>
      </c>
      <c r="K23" s="14" t="s">
        <v>37</v>
      </c>
      <c r="L23" s="15"/>
      <c r="M23" s="24"/>
      <c r="N23" s="25"/>
      <c r="O23" s="19"/>
      <c r="P23" s="19"/>
    </row>
    <row r="24">
      <c r="A24" s="9" t="s">
        <v>15</v>
      </c>
      <c r="B24" s="26" t="s">
        <v>102</v>
      </c>
      <c r="C24" s="23" t="s">
        <v>115</v>
      </c>
      <c r="D24" s="23" t="s">
        <v>116</v>
      </c>
      <c r="E24" s="23" t="s">
        <v>117</v>
      </c>
      <c r="F24" s="11" t="s">
        <v>118</v>
      </c>
      <c r="G24" s="22">
        <v>8.0</v>
      </c>
      <c r="H24" s="22">
        <v>15.0</v>
      </c>
      <c r="I24" s="13">
        <f t="shared" si="1"/>
        <v>12</v>
      </c>
      <c r="J24" s="9" t="b">
        <v>0</v>
      </c>
      <c r="K24" s="14" t="s">
        <v>21</v>
      </c>
      <c r="L24" s="15"/>
      <c r="M24" s="24"/>
      <c r="N24" s="25"/>
      <c r="O24" s="19"/>
      <c r="P24" s="19"/>
    </row>
    <row r="25">
      <c r="A25" s="9" t="s">
        <v>15</v>
      </c>
      <c r="B25" s="26" t="s">
        <v>119</v>
      </c>
      <c r="C25" s="23" t="s">
        <v>120</v>
      </c>
      <c r="D25" s="23" t="s">
        <v>121</v>
      </c>
      <c r="E25" s="23" t="s">
        <v>122</v>
      </c>
      <c r="F25" s="11" t="s">
        <v>123</v>
      </c>
      <c r="G25" s="22">
        <v>18.0</v>
      </c>
      <c r="H25" s="22">
        <v>25.0</v>
      </c>
      <c r="I25" s="13">
        <f t="shared" si="1"/>
        <v>22</v>
      </c>
      <c r="J25" s="9" t="b">
        <v>0</v>
      </c>
      <c r="K25" s="14" t="s">
        <v>21</v>
      </c>
      <c r="L25" s="15"/>
      <c r="M25" s="24"/>
      <c r="N25" s="25"/>
      <c r="O25" s="19"/>
      <c r="P25" s="19"/>
    </row>
    <row r="26">
      <c r="A26" s="9" t="s">
        <v>15</v>
      </c>
      <c r="B26" s="26" t="s">
        <v>124</v>
      </c>
      <c r="C26" s="23" t="s">
        <v>125</v>
      </c>
      <c r="D26" s="23" t="s">
        <v>126</v>
      </c>
      <c r="E26" s="23" t="s">
        <v>127</v>
      </c>
      <c r="F26" s="11" t="s">
        <v>128</v>
      </c>
      <c r="G26" s="22">
        <v>15.0</v>
      </c>
      <c r="H26" s="22">
        <v>20.0</v>
      </c>
      <c r="I26" s="13">
        <f t="shared" si="1"/>
        <v>18</v>
      </c>
      <c r="J26" s="9" t="b">
        <v>0</v>
      </c>
      <c r="K26" s="14" t="s">
        <v>21</v>
      </c>
      <c r="L26" s="15"/>
      <c r="M26" s="24"/>
      <c r="N26" s="20"/>
      <c r="O26" s="19"/>
      <c r="P26" s="19"/>
    </row>
    <row r="27">
      <c r="A27" s="9"/>
      <c r="B27" s="26" t="s">
        <v>124</v>
      </c>
      <c r="C27" s="23" t="s">
        <v>129</v>
      </c>
      <c r="D27" s="23" t="s">
        <v>130</v>
      </c>
      <c r="E27" s="23" t="s">
        <v>131</v>
      </c>
      <c r="F27" s="11" t="s">
        <v>132</v>
      </c>
      <c r="G27" s="12">
        <v>12.0</v>
      </c>
      <c r="H27" s="12">
        <v>15.0</v>
      </c>
      <c r="I27" s="13">
        <f t="shared" si="1"/>
        <v>14</v>
      </c>
      <c r="J27" s="9" t="b">
        <v>0</v>
      </c>
      <c r="K27" s="14" t="s">
        <v>21</v>
      </c>
      <c r="L27" s="15"/>
      <c r="M27" s="24"/>
      <c r="N27" s="25"/>
      <c r="O27" s="19"/>
      <c r="P27" s="19"/>
    </row>
    <row r="28">
      <c r="A28" s="9"/>
      <c r="B28" s="26" t="s">
        <v>133</v>
      </c>
      <c r="C28" s="23" t="s">
        <v>134</v>
      </c>
      <c r="D28" s="23" t="s">
        <v>135</v>
      </c>
      <c r="E28" s="23" t="s">
        <v>136</v>
      </c>
      <c r="F28" s="11" t="s">
        <v>137</v>
      </c>
      <c r="G28" s="12">
        <v>10.0</v>
      </c>
      <c r="H28" s="12">
        <v>15.0</v>
      </c>
      <c r="I28" s="13">
        <f t="shared" si="1"/>
        <v>13</v>
      </c>
      <c r="J28" s="9" t="b">
        <v>0</v>
      </c>
      <c r="K28" s="14" t="s">
        <v>21</v>
      </c>
      <c r="L28" s="15"/>
      <c r="M28" s="24"/>
      <c r="N28" s="25"/>
      <c r="O28" s="19"/>
      <c r="P28" s="19"/>
    </row>
    <row r="29">
      <c r="A29" s="9"/>
      <c r="B29" s="28"/>
      <c r="C29" s="29"/>
      <c r="D29" s="29"/>
      <c r="E29" s="29"/>
      <c r="F29" s="29"/>
      <c r="G29" s="30"/>
      <c r="H29" s="30"/>
      <c r="I29" s="13" t="str">
        <f t="shared" si="1"/>
        <v/>
      </c>
      <c r="J29" s="9" t="b">
        <v>0</v>
      </c>
      <c r="K29" s="14"/>
      <c r="L29" s="19"/>
      <c r="M29" s="31"/>
      <c r="N29" s="25"/>
      <c r="O29" s="19"/>
      <c r="P29" s="19"/>
    </row>
    <row r="30">
      <c r="A30" s="9"/>
      <c r="B30" s="28"/>
      <c r="C30" s="29"/>
      <c r="D30" s="29"/>
      <c r="E30" s="29"/>
      <c r="F30" s="29"/>
      <c r="G30" s="30"/>
      <c r="H30" s="30"/>
      <c r="I30" s="13" t="str">
        <f t="shared" si="1"/>
        <v/>
      </c>
      <c r="J30" s="9" t="b">
        <v>0</v>
      </c>
      <c r="K30" s="14"/>
      <c r="L30" s="19"/>
      <c r="M30" s="31"/>
      <c r="N30" s="25"/>
      <c r="O30" s="19"/>
      <c r="P30" s="19"/>
    </row>
    <row r="31">
      <c r="A31" s="9"/>
      <c r="B31" s="28"/>
      <c r="C31" s="29"/>
      <c r="D31" s="29"/>
      <c r="E31" s="29"/>
      <c r="F31" s="29"/>
      <c r="G31" s="30"/>
      <c r="H31" s="30"/>
      <c r="I31" s="13" t="str">
        <f t="shared" si="1"/>
        <v/>
      </c>
      <c r="J31" s="9" t="b">
        <v>0</v>
      </c>
      <c r="K31" s="14"/>
      <c r="L31" s="19"/>
      <c r="M31" s="31"/>
      <c r="N31" s="25"/>
      <c r="O31" s="19"/>
      <c r="P31" s="19"/>
    </row>
    <row r="32">
      <c r="A32" s="9"/>
      <c r="B32" s="28"/>
      <c r="C32" s="29"/>
      <c r="D32" s="29"/>
      <c r="E32" s="29"/>
      <c r="F32" s="29"/>
      <c r="G32" s="30"/>
      <c r="H32" s="30"/>
      <c r="I32" s="13" t="str">
        <f t="shared" si="1"/>
        <v/>
      </c>
      <c r="J32" s="9" t="b">
        <v>0</v>
      </c>
      <c r="K32" s="14"/>
      <c r="L32" s="19"/>
      <c r="M32" s="31"/>
      <c r="N32" s="25"/>
      <c r="O32" s="19"/>
      <c r="P32" s="19"/>
    </row>
    <row r="33">
      <c r="A33" s="9"/>
      <c r="B33" s="28"/>
      <c r="C33" s="29"/>
      <c r="D33" s="29"/>
      <c r="E33" s="29"/>
      <c r="F33" s="29"/>
      <c r="G33" s="30"/>
      <c r="H33" s="30"/>
      <c r="I33" s="13" t="str">
        <f t="shared" si="1"/>
        <v/>
      </c>
      <c r="J33" s="9" t="b">
        <v>0</v>
      </c>
      <c r="K33" s="14"/>
      <c r="L33" s="19"/>
      <c r="M33" s="31"/>
      <c r="N33" s="25"/>
      <c r="O33" s="19"/>
      <c r="P33" s="19"/>
    </row>
    <row r="34">
      <c r="A34" s="9"/>
      <c r="B34" s="28"/>
      <c r="C34" s="29"/>
      <c r="D34" s="29"/>
      <c r="E34" s="29"/>
      <c r="F34" s="29"/>
      <c r="G34" s="30"/>
      <c r="H34" s="30"/>
      <c r="I34" s="13" t="str">
        <f t="shared" si="1"/>
        <v/>
      </c>
      <c r="J34" s="9" t="b">
        <v>0</v>
      </c>
      <c r="K34" s="14"/>
      <c r="L34" s="19"/>
      <c r="M34" s="31"/>
      <c r="N34" s="25"/>
      <c r="O34" s="19"/>
      <c r="P34" s="19"/>
    </row>
    <row r="35">
      <c r="A35" s="9"/>
      <c r="B35" s="28"/>
      <c r="C35" s="29"/>
      <c r="D35" s="29"/>
      <c r="E35" s="29"/>
      <c r="F35" s="29"/>
      <c r="G35" s="30"/>
      <c r="H35" s="30"/>
      <c r="I35" s="13" t="str">
        <f t="shared" si="1"/>
        <v/>
      </c>
      <c r="J35" s="9" t="b">
        <v>0</v>
      </c>
      <c r="K35" s="14"/>
      <c r="L35" s="19"/>
      <c r="M35" s="31"/>
      <c r="N35" s="25"/>
      <c r="O35" s="19"/>
      <c r="P35" s="19"/>
    </row>
    <row r="36">
      <c r="A36" s="9"/>
      <c r="B36" s="28"/>
      <c r="C36" s="29"/>
      <c r="D36" s="29"/>
      <c r="E36" s="29"/>
      <c r="F36" s="29"/>
      <c r="G36" s="30"/>
      <c r="H36" s="30"/>
      <c r="I36" s="13" t="str">
        <f t="shared" si="1"/>
        <v/>
      </c>
      <c r="J36" s="9" t="b">
        <v>0</v>
      </c>
      <c r="K36" s="14"/>
      <c r="L36" s="19"/>
      <c r="M36" s="31"/>
      <c r="N36" s="25"/>
      <c r="O36" s="19"/>
      <c r="P36" s="19"/>
    </row>
    <row r="37">
      <c r="A37" s="9"/>
      <c r="B37" s="28"/>
      <c r="C37" s="29"/>
      <c r="D37" s="29"/>
      <c r="E37" s="29"/>
      <c r="F37" s="29"/>
      <c r="G37" s="30"/>
      <c r="H37" s="30"/>
      <c r="I37" s="13" t="str">
        <f t="shared" si="1"/>
        <v/>
      </c>
      <c r="J37" s="9" t="b">
        <v>0</v>
      </c>
      <c r="K37" s="14"/>
      <c r="L37" s="19"/>
      <c r="M37" s="31"/>
      <c r="N37" s="25"/>
      <c r="O37" s="19"/>
      <c r="P37" s="19"/>
    </row>
    <row r="38">
      <c r="A38" s="9"/>
      <c r="B38" s="28"/>
      <c r="C38" s="29"/>
      <c r="D38" s="29"/>
      <c r="E38" s="29"/>
      <c r="F38" s="29"/>
      <c r="G38" s="30"/>
      <c r="H38" s="30"/>
      <c r="I38" s="13" t="str">
        <f t="shared" si="1"/>
        <v/>
      </c>
      <c r="J38" s="9" t="b">
        <v>0</v>
      </c>
      <c r="K38" s="14"/>
      <c r="L38" s="19"/>
      <c r="M38" s="31"/>
      <c r="N38" s="25"/>
      <c r="O38" s="19"/>
      <c r="P38" s="19"/>
    </row>
    <row r="39">
      <c r="A39" s="9"/>
      <c r="B39" s="28"/>
      <c r="C39" s="29"/>
      <c r="D39" s="29"/>
      <c r="E39" s="29"/>
      <c r="F39" s="29"/>
      <c r="G39" s="30"/>
      <c r="H39" s="30"/>
      <c r="I39" s="13" t="str">
        <f t="shared" si="1"/>
        <v/>
      </c>
      <c r="J39" s="9" t="b">
        <v>0</v>
      </c>
      <c r="K39" s="14"/>
      <c r="L39" s="19"/>
      <c r="M39" s="31"/>
      <c r="N39" s="25"/>
      <c r="O39" s="19"/>
      <c r="P39" s="19"/>
    </row>
    <row r="40">
      <c r="A40" s="9"/>
      <c r="B40" s="28"/>
      <c r="C40" s="29"/>
      <c r="D40" s="29"/>
      <c r="E40" s="29"/>
      <c r="F40" s="29"/>
      <c r="G40" s="30"/>
      <c r="H40" s="30"/>
      <c r="I40" s="13" t="str">
        <f t="shared" si="1"/>
        <v/>
      </c>
      <c r="J40" s="9" t="b">
        <v>0</v>
      </c>
      <c r="K40" s="14"/>
      <c r="L40" s="19"/>
      <c r="M40" s="31"/>
      <c r="N40" s="25"/>
      <c r="O40" s="19"/>
      <c r="P40" s="19"/>
    </row>
    <row r="41">
      <c r="A41" s="9"/>
      <c r="B41" s="28"/>
      <c r="C41" s="29"/>
      <c r="D41" s="29"/>
      <c r="E41" s="29"/>
      <c r="F41" s="29"/>
      <c r="G41" s="30"/>
      <c r="H41" s="30"/>
      <c r="I41" s="13" t="str">
        <f t="shared" si="1"/>
        <v/>
      </c>
      <c r="J41" s="9" t="b">
        <v>0</v>
      </c>
      <c r="K41" s="14"/>
      <c r="L41" s="19"/>
      <c r="M41" s="31"/>
      <c r="N41" s="25"/>
      <c r="O41" s="19"/>
      <c r="P41" s="19"/>
    </row>
    <row r="42">
      <c r="A42" s="9"/>
      <c r="B42" s="28"/>
      <c r="C42" s="29"/>
      <c r="D42" s="29"/>
      <c r="E42" s="29"/>
      <c r="F42" s="29"/>
      <c r="G42" s="30"/>
      <c r="H42" s="30"/>
      <c r="I42" s="13" t="str">
        <f t="shared" si="1"/>
        <v/>
      </c>
      <c r="J42" s="9" t="b">
        <v>0</v>
      </c>
      <c r="K42" s="14"/>
      <c r="L42" s="19"/>
      <c r="M42" s="31"/>
      <c r="N42" s="25"/>
      <c r="O42" s="19"/>
      <c r="P42" s="19"/>
    </row>
    <row r="43">
      <c r="A43" s="9"/>
      <c r="B43" s="28"/>
      <c r="C43" s="29"/>
      <c r="D43" s="29"/>
      <c r="E43" s="29"/>
      <c r="F43" s="29"/>
      <c r="G43" s="30"/>
      <c r="H43" s="30"/>
      <c r="I43" s="13" t="str">
        <f t="shared" si="1"/>
        <v/>
      </c>
      <c r="J43" s="9" t="b">
        <v>0</v>
      </c>
      <c r="K43" s="14"/>
      <c r="L43" s="19"/>
      <c r="M43" s="31"/>
      <c r="N43" s="25"/>
      <c r="O43" s="19"/>
      <c r="P43" s="19"/>
    </row>
    <row r="44">
      <c r="A44" s="9"/>
      <c r="B44" s="28"/>
      <c r="C44" s="29"/>
      <c r="D44" s="29"/>
      <c r="E44" s="29"/>
      <c r="F44" s="29"/>
      <c r="G44" s="30"/>
      <c r="H44" s="30"/>
      <c r="I44" s="13" t="str">
        <f t="shared" si="1"/>
        <v/>
      </c>
      <c r="J44" s="9" t="b">
        <v>0</v>
      </c>
      <c r="K44" s="14"/>
      <c r="L44" s="19"/>
      <c r="M44" s="31"/>
      <c r="N44" s="25"/>
      <c r="O44" s="19"/>
      <c r="P44" s="19"/>
    </row>
    <row r="45">
      <c r="A45" s="9"/>
      <c r="B45" s="28"/>
      <c r="C45" s="29"/>
      <c r="D45" s="29"/>
      <c r="E45" s="29"/>
      <c r="F45" s="29"/>
      <c r="G45" s="30"/>
      <c r="H45" s="30"/>
      <c r="I45" s="13" t="str">
        <f t="shared" si="1"/>
        <v/>
      </c>
      <c r="J45" s="9" t="b">
        <v>0</v>
      </c>
      <c r="K45" s="14"/>
      <c r="L45" s="19"/>
      <c r="M45" s="31"/>
      <c r="N45" s="25"/>
      <c r="O45" s="19"/>
      <c r="P45" s="19"/>
    </row>
    <row r="46">
      <c r="A46" s="9"/>
      <c r="B46" s="28"/>
      <c r="C46" s="29"/>
      <c r="D46" s="29"/>
      <c r="E46" s="29"/>
      <c r="F46" s="29"/>
      <c r="G46" s="30"/>
      <c r="H46" s="30"/>
      <c r="I46" s="13" t="str">
        <f t="shared" si="1"/>
        <v/>
      </c>
      <c r="J46" s="9" t="b">
        <v>0</v>
      </c>
      <c r="K46" s="14"/>
      <c r="L46" s="19"/>
      <c r="M46" s="31"/>
      <c r="N46" s="25"/>
      <c r="O46" s="19"/>
      <c r="P46" s="19"/>
    </row>
    <row r="47">
      <c r="A47" s="9"/>
      <c r="B47" s="28"/>
      <c r="C47" s="29"/>
      <c r="D47" s="29"/>
      <c r="E47" s="29"/>
      <c r="F47" s="29"/>
      <c r="G47" s="30"/>
      <c r="H47" s="30"/>
      <c r="I47" s="13" t="str">
        <f t="shared" si="1"/>
        <v/>
      </c>
      <c r="J47" s="9" t="b">
        <v>0</v>
      </c>
      <c r="K47" s="14"/>
      <c r="L47" s="19"/>
      <c r="M47" s="31"/>
      <c r="N47" s="25"/>
      <c r="O47" s="19"/>
      <c r="P47" s="19"/>
    </row>
    <row r="48">
      <c r="A48" s="9"/>
      <c r="B48" s="28"/>
      <c r="C48" s="29"/>
      <c r="D48" s="29"/>
      <c r="E48" s="29"/>
      <c r="F48" s="29"/>
      <c r="G48" s="30"/>
      <c r="H48" s="30"/>
      <c r="I48" s="13" t="str">
        <f t="shared" si="1"/>
        <v/>
      </c>
      <c r="J48" s="9" t="b">
        <v>0</v>
      </c>
      <c r="K48" s="14"/>
      <c r="L48" s="19"/>
      <c r="M48" s="31"/>
      <c r="N48" s="25"/>
      <c r="O48" s="19"/>
      <c r="P48" s="19"/>
    </row>
    <row r="49">
      <c r="A49" s="9"/>
      <c r="B49" s="28"/>
      <c r="C49" s="29"/>
      <c r="D49" s="29"/>
      <c r="E49" s="29"/>
      <c r="F49" s="29"/>
      <c r="G49" s="30"/>
      <c r="H49" s="30"/>
      <c r="I49" s="13" t="str">
        <f t="shared" si="1"/>
        <v/>
      </c>
      <c r="J49" s="9" t="b">
        <v>0</v>
      </c>
      <c r="K49" s="14"/>
      <c r="L49" s="19"/>
      <c r="M49" s="31"/>
      <c r="N49" s="25"/>
      <c r="O49" s="19"/>
      <c r="P49" s="19"/>
    </row>
    <row r="50">
      <c r="A50" s="9"/>
      <c r="B50" s="28"/>
      <c r="C50" s="29"/>
      <c r="D50" s="29"/>
      <c r="E50" s="29"/>
      <c r="F50" s="29"/>
      <c r="G50" s="30"/>
      <c r="H50" s="30"/>
      <c r="I50" s="13" t="str">
        <f t="shared" si="1"/>
        <v/>
      </c>
      <c r="J50" s="9" t="b">
        <v>0</v>
      </c>
      <c r="K50" s="14"/>
      <c r="L50" s="19"/>
      <c r="M50" s="31"/>
      <c r="N50" s="25"/>
      <c r="O50" s="19"/>
      <c r="P50" s="19"/>
    </row>
    <row r="51">
      <c r="A51" s="9"/>
      <c r="B51" s="28"/>
      <c r="C51" s="29"/>
      <c r="D51" s="29"/>
      <c r="E51" s="29"/>
      <c r="F51" s="29"/>
      <c r="G51" s="30"/>
      <c r="H51" s="30"/>
      <c r="I51" s="13" t="str">
        <f t="shared" si="1"/>
        <v/>
      </c>
      <c r="J51" s="9" t="b">
        <v>0</v>
      </c>
      <c r="K51" s="14"/>
      <c r="L51" s="19"/>
      <c r="M51" s="31"/>
      <c r="N51" s="25"/>
      <c r="O51" s="19"/>
      <c r="P51" s="19"/>
    </row>
    <row r="52">
      <c r="A52" s="9"/>
      <c r="B52" s="28"/>
      <c r="C52" s="29"/>
      <c r="D52" s="29"/>
      <c r="E52" s="29"/>
      <c r="F52" s="29"/>
      <c r="G52" s="30"/>
      <c r="H52" s="30"/>
      <c r="I52" s="13" t="str">
        <f t="shared" si="1"/>
        <v/>
      </c>
      <c r="J52" s="9" t="b">
        <v>0</v>
      </c>
      <c r="K52" s="14"/>
      <c r="L52" s="19"/>
      <c r="M52" s="31"/>
      <c r="N52" s="25"/>
      <c r="O52" s="19"/>
      <c r="P52" s="19"/>
    </row>
    <row r="53">
      <c r="A53" s="9"/>
      <c r="B53" s="28"/>
      <c r="C53" s="29"/>
      <c r="D53" s="29"/>
      <c r="E53" s="29"/>
      <c r="F53" s="29"/>
      <c r="G53" s="30"/>
      <c r="H53" s="30"/>
      <c r="I53" s="13" t="str">
        <f t="shared" si="1"/>
        <v/>
      </c>
      <c r="J53" s="9" t="b">
        <v>0</v>
      </c>
      <c r="K53" s="14"/>
      <c r="L53" s="19"/>
      <c r="M53" s="31"/>
      <c r="N53" s="25"/>
      <c r="O53" s="19"/>
      <c r="P53" s="19"/>
    </row>
    <row r="54">
      <c r="A54" s="9"/>
      <c r="B54" s="28"/>
      <c r="C54" s="29"/>
      <c r="D54" s="29"/>
      <c r="E54" s="29"/>
      <c r="F54" s="29"/>
      <c r="G54" s="30"/>
      <c r="H54" s="30"/>
      <c r="I54" s="13" t="str">
        <f t="shared" si="1"/>
        <v/>
      </c>
      <c r="J54" s="9" t="b">
        <v>0</v>
      </c>
      <c r="K54" s="14"/>
      <c r="L54" s="19"/>
      <c r="M54" s="31"/>
      <c r="N54" s="25"/>
      <c r="O54" s="19"/>
      <c r="P54" s="19"/>
    </row>
    <row r="55">
      <c r="A55" s="9"/>
      <c r="B55" s="28"/>
      <c r="C55" s="29"/>
      <c r="D55" s="29"/>
      <c r="E55" s="29"/>
      <c r="F55" s="29"/>
      <c r="G55" s="30"/>
      <c r="H55" s="30"/>
      <c r="I55" s="13" t="str">
        <f t="shared" si="1"/>
        <v/>
      </c>
      <c r="J55" s="9" t="b">
        <v>0</v>
      </c>
      <c r="K55" s="14"/>
      <c r="L55" s="19"/>
      <c r="M55" s="31"/>
      <c r="N55" s="25"/>
      <c r="O55" s="19"/>
      <c r="P55" s="19"/>
    </row>
    <row r="56">
      <c r="A56" s="9"/>
      <c r="B56" s="28"/>
      <c r="C56" s="29"/>
      <c r="D56" s="29"/>
      <c r="E56" s="29"/>
      <c r="F56" s="29"/>
      <c r="G56" s="30"/>
      <c r="H56" s="30"/>
      <c r="I56" s="13" t="str">
        <f t="shared" si="1"/>
        <v/>
      </c>
      <c r="J56" s="9" t="b">
        <v>0</v>
      </c>
      <c r="K56" s="14"/>
      <c r="L56" s="19"/>
      <c r="M56" s="31"/>
      <c r="N56" s="25"/>
      <c r="O56" s="19"/>
      <c r="P56" s="19"/>
    </row>
    <row r="57">
      <c r="A57" s="9"/>
      <c r="B57" s="28"/>
      <c r="C57" s="29"/>
      <c r="D57" s="29"/>
      <c r="E57" s="29"/>
      <c r="F57" s="29"/>
      <c r="G57" s="30"/>
      <c r="H57" s="30"/>
      <c r="I57" s="13" t="str">
        <f t="shared" si="1"/>
        <v/>
      </c>
      <c r="J57" s="9" t="b">
        <v>0</v>
      </c>
      <c r="K57" s="14"/>
      <c r="L57" s="19"/>
      <c r="M57" s="31"/>
      <c r="N57" s="25"/>
      <c r="O57" s="19"/>
      <c r="P57" s="19"/>
    </row>
    <row r="58">
      <c r="A58" s="9"/>
      <c r="B58" s="28"/>
      <c r="C58" s="29"/>
      <c r="D58" s="29"/>
      <c r="E58" s="29"/>
      <c r="F58" s="29"/>
      <c r="G58" s="30"/>
      <c r="H58" s="30"/>
      <c r="I58" s="13" t="str">
        <f t="shared" si="1"/>
        <v/>
      </c>
      <c r="J58" s="9" t="b">
        <v>0</v>
      </c>
      <c r="K58" s="14"/>
      <c r="L58" s="19"/>
      <c r="M58" s="31"/>
      <c r="N58" s="25"/>
      <c r="O58" s="19"/>
      <c r="P58" s="19"/>
    </row>
    <row r="59">
      <c r="A59" s="9"/>
      <c r="B59" s="28"/>
      <c r="C59" s="29"/>
      <c r="D59" s="29"/>
      <c r="E59" s="29"/>
      <c r="F59" s="29"/>
      <c r="G59" s="30"/>
      <c r="H59" s="30"/>
      <c r="I59" s="13" t="str">
        <f t="shared" si="1"/>
        <v/>
      </c>
      <c r="J59" s="9" t="b">
        <v>0</v>
      </c>
      <c r="K59" s="14"/>
      <c r="L59" s="19"/>
      <c r="M59" s="31"/>
      <c r="N59" s="25"/>
      <c r="O59" s="19"/>
      <c r="P59" s="19"/>
    </row>
    <row r="60">
      <c r="A60" s="9"/>
      <c r="B60" s="28"/>
      <c r="C60" s="29"/>
      <c r="D60" s="29"/>
      <c r="E60" s="29"/>
      <c r="F60" s="29"/>
      <c r="G60" s="30"/>
      <c r="H60" s="30"/>
      <c r="I60" s="13" t="str">
        <f t="shared" si="1"/>
        <v/>
      </c>
      <c r="J60" s="9" t="b">
        <v>0</v>
      </c>
      <c r="K60" s="14"/>
      <c r="L60" s="19"/>
      <c r="M60" s="31"/>
      <c r="N60" s="25"/>
      <c r="O60" s="19"/>
      <c r="P60" s="19"/>
    </row>
    <row r="61">
      <c r="A61" s="9"/>
      <c r="B61" s="28"/>
      <c r="C61" s="29"/>
      <c r="D61" s="29"/>
      <c r="E61" s="29"/>
      <c r="F61" s="29"/>
      <c r="G61" s="30"/>
      <c r="H61" s="30"/>
      <c r="I61" s="13" t="str">
        <f t="shared" si="1"/>
        <v/>
      </c>
      <c r="J61" s="9" t="b">
        <v>0</v>
      </c>
      <c r="K61" s="14"/>
      <c r="L61" s="19"/>
      <c r="M61" s="31"/>
      <c r="N61" s="25"/>
      <c r="O61" s="19"/>
      <c r="P61" s="19"/>
    </row>
    <row r="62">
      <c r="A62" s="9"/>
      <c r="B62" s="28"/>
      <c r="C62" s="29"/>
      <c r="D62" s="29"/>
      <c r="E62" s="29"/>
      <c r="F62" s="29"/>
      <c r="G62" s="30"/>
      <c r="H62" s="30"/>
      <c r="I62" s="13" t="str">
        <f t="shared" si="1"/>
        <v/>
      </c>
      <c r="J62" s="9" t="b">
        <v>0</v>
      </c>
      <c r="K62" s="14"/>
      <c r="L62" s="19"/>
      <c r="M62" s="31"/>
      <c r="N62" s="25"/>
      <c r="O62" s="19"/>
      <c r="P62" s="19"/>
    </row>
    <row r="63">
      <c r="A63" s="9"/>
      <c r="B63" s="28"/>
      <c r="C63" s="29"/>
      <c r="D63" s="29"/>
      <c r="E63" s="29"/>
      <c r="F63" s="29"/>
      <c r="G63" s="30"/>
      <c r="H63" s="30"/>
      <c r="I63" s="13" t="str">
        <f t="shared" si="1"/>
        <v/>
      </c>
      <c r="J63" s="9" t="b">
        <v>0</v>
      </c>
      <c r="K63" s="14"/>
      <c r="L63" s="19"/>
      <c r="M63" s="31"/>
      <c r="N63" s="25"/>
      <c r="O63" s="19"/>
      <c r="P63" s="19"/>
    </row>
    <row r="64">
      <c r="A64" s="9"/>
      <c r="B64" s="28"/>
      <c r="C64" s="29"/>
      <c r="D64" s="29"/>
      <c r="E64" s="29"/>
      <c r="F64" s="29"/>
      <c r="G64" s="30"/>
      <c r="H64" s="30"/>
      <c r="I64" s="13" t="str">
        <f t="shared" si="1"/>
        <v/>
      </c>
      <c r="J64" s="9" t="b">
        <v>0</v>
      </c>
      <c r="K64" s="14"/>
      <c r="L64" s="19"/>
      <c r="M64" s="31"/>
      <c r="N64" s="25"/>
      <c r="O64" s="19"/>
      <c r="P64" s="19"/>
    </row>
    <row r="65">
      <c r="A65" s="9"/>
      <c r="B65" s="28"/>
      <c r="C65" s="29"/>
      <c r="D65" s="29"/>
      <c r="E65" s="29"/>
      <c r="F65" s="29"/>
      <c r="G65" s="30"/>
      <c r="H65" s="30"/>
      <c r="I65" s="13" t="str">
        <f t="shared" si="1"/>
        <v/>
      </c>
      <c r="J65" s="9" t="b">
        <v>0</v>
      </c>
      <c r="K65" s="14"/>
      <c r="L65" s="19"/>
      <c r="M65" s="31"/>
      <c r="N65" s="25"/>
      <c r="O65" s="19"/>
      <c r="P65" s="19"/>
    </row>
    <row r="66">
      <c r="A66" s="9"/>
      <c r="B66" s="28"/>
      <c r="C66" s="29"/>
      <c r="D66" s="29"/>
      <c r="E66" s="29"/>
      <c r="F66" s="29"/>
      <c r="G66" s="30"/>
      <c r="H66" s="30"/>
      <c r="I66" s="13" t="str">
        <f t="shared" si="1"/>
        <v/>
      </c>
      <c r="J66" s="9" t="b">
        <v>0</v>
      </c>
      <c r="K66" s="14"/>
      <c r="L66" s="19"/>
      <c r="M66" s="31"/>
      <c r="N66" s="25"/>
      <c r="O66" s="19"/>
      <c r="P66" s="19"/>
    </row>
    <row r="67">
      <c r="A67" s="9"/>
      <c r="B67" s="28"/>
      <c r="C67" s="29"/>
      <c r="D67" s="29"/>
      <c r="E67" s="29"/>
      <c r="F67" s="29"/>
      <c r="G67" s="30"/>
      <c r="H67" s="30"/>
      <c r="I67" s="13" t="str">
        <f t="shared" si="1"/>
        <v/>
      </c>
      <c r="J67" s="9" t="b">
        <v>0</v>
      </c>
      <c r="K67" s="14"/>
      <c r="L67" s="19"/>
      <c r="M67" s="31"/>
      <c r="N67" s="25"/>
      <c r="O67" s="19"/>
      <c r="P67" s="19"/>
    </row>
    <row r="68">
      <c r="A68" s="9"/>
      <c r="B68" s="28"/>
      <c r="C68" s="29"/>
      <c r="D68" s="29"/>
      <c r="E68" s="29"/>
      <c r="F68" s="29"/>
      <c r="G68" s="30"/>
      <c r="H68" s="30"/>
      <c r="I68" s="13" t="str">
        <f t="shared" si="1"/>
        <v/>
      </c>
      <c r="J68" s="9" t="b">
        <v>0</v>
      </c>
      <c r="K68" s="14"/>
      <c r="L68" s="19"/>
      <c r="M68" s="31"/>
      <c r="N68" s="25"/>
      <c r="O68" s="19"/>
      <c r="P68" s="19"/>
    </row>
    <row r="69">
      <c r="A69" s="9"/>
      <c r="B69" s="28"/>
      <c r="C69" s="29"/>
      <c r="D69" s="29"/>
      <c r="E69" s="29"/>
      <c r="F69" s="29"/>
      <c r="G69" s="30"/>
      <c r="H69" s="30"/>
      <c r="I69" s="13" t="str">
        <f t="shared" si="1"/>
        <v/>
      </c>
      <c r="J69" s="9" t="b">
        <v>0</v>
      </c>
      <c r="K69" s="14"/>
      <c r="L69" s="19"/>
      <c r="M69" s="31"/>
      <c r="N69" s="25"/>
      <c r="O69" s="19"/>
      <c r="P69" s="19"/>
    </row>
    <row r="70">
      <c r="A70" s="9"/>
      <c r="B70" s="28"/>
      <c r="C70" s="29"/>
      <c r="D70" s="29"/>
      <c r="E70" s="29"/>
      <c r="F70" s="29"/>
      <c r="G70" s="30"/>
      <c r="H70" s="30"/>
      <c r="I70" s="13" t="str">
        <f t="shared" si="1"/>
        <v/>
      </c>
      <c r="J70" s="9" t="b">
        <v>0</v>
      </c>
      <c r="K70" s="14"/>
      <c r="L70" s="19"/>
      <c r="M70" s="31"/>
      <c r="N70" s="25"/>
      <c r="O70" s="19"/>
      <c r="P70" s="19"/>
    </row>
    <row r="71">
      <c r="A71" s="9"/>
      <c r="B71" s="28"/>
      <c r="C71" s="29"/>
      <c r="D71" s="29"/>
      <c r="E71" s="29"/>
      <c r="F71" s="29"/>
      <c r="G71" s="30"/>
      <c r="H71" s="30"/>
      <c r="I71" s="13" t="str">
        <f t="shared" si="1"/>
        <v/>
      </c>
      <c r="J71" s="9" t="b">
        <v>0</v>
      </c>
      <c r="K71" s="14"/>
      <c r="L71" s="19"/>
      <c r="M71" s="31"/>
      <c r="N71" s="25"/>
      <c r="O71" s="19"/>
      <c r="P71" s="19"/>
    </row>
    <row r="72">
      <c r="A72" s="9"/>
      <c r="B72" s="28"/>
      <c r="C72" s="29"/>
      <c r="D72" s="29"/>
      <c r="E72" s="29"/>
      <c r="F72" s="29"/>
      <c r="G72" s="30"/>
      <c r="H72" s="30"/>
      <c r="I72" s="13" t="str">
        <f t="shared" si="1"/>
        <v/>
      </c>
      <c r="J72" s="9" t="b">
        <v>0</v>
      </c>
      <c r="K72" s="14"/>
      <c r="L72" s="19"/>
      <c r="M72" s="31"/>
      <c r="N72" s="25"/>
      <c r="O72" s="19"/>
      <c r="P72" s="19"/>
    </row>
    <row r="73">
      <c r="A73" s="9"/>
      <c r="B73" s="28"/>
      <c r="C73" s="29"/>
      <c r="D73" s="29"/>
      <c r="E73" s="29"/>
      <c r="F73" s="29"/>
      <c r="G73" s="30"/>
      <c r="H73" s="30"/>
      <c r="I73" s="13" t="str">
        <f t="shared" si="1"/>
        <v/>
      </c>
      <c r="J73" s="9" t="b">
        <v>0</v>
      </c>
      <c r="K73" s="14"/>
      <c r="L73" s="19"/>
      <c r="M73" s="31"/>
      <c r="N73" s="25"/>
      <c r="O73" s="19"/>
      <c r="P73" s="19"/>
    </row>
    <row r="74">
      <c r="A74" s="9"/>
      <c r="B74" s="28"/>
      <c r="C74" s="29"/>
      <c r="D74" s="29"/>
      <c r="E74" s="29"/>
      <c r="F74" s="29"/>
      <c r="G74" s="30"/>
      <c r="H74" s="30"/>
      <c r="I74" s="13" t="str">
        <f t="shared" si="1"/>
        <v/>
      </c>
      <c r="J74" s="9" t="b">
        <v>0</v>
      </c>
      <c r="K74" s="14"/>
      <c r="L74" s="19"/>
      <c r="M74" s="31"/>
      <c r="N74" s="25"/>
      <c r="O74" s="19"/>
      <c r="P74" s="19"/>
    </row>
    <row r="75">
      <c r="A75" s="9"/>
      <c r="B75" s="28"/>
      <c r="C75" s="29"/>
      <c r="D75" s="29"/>
      <c r="E75" s="29"/>
      <c r="F75" s="29"/>
      <c r="G75" s="30"/>
      <c r="H75" s="30"/>
      <c r="I75" s="13" t="str">
        <f t="shared" si="1"/>
        <v/>
      </c>
      <c r="J75" s="9" t="b">
        <v>0</v>
      </c>
      <c r="K75" s="14"/>
      <c r="L75" s="19"/>
      <c r="M75" s="31"/>
      <c r="N75" s="25"/>
      <c r="O75" s="19"/>
      <c r="P75" s="19"/>
    </row>
    <row r="76">
      <c r="A76" s="9"/>
      <c r="B76" s="28"/>
      <c r="C76" s="29"/>
      <c r="D76" s="29"/>
      <c r="E76" s="29"/>
      <c r="F76" s="29"/>
      <c r="G76" s="30"/>
      <c r="H76" s="30"/>
      <c r="I76" s="13" t="str">
        <f t="shared" si="1"/>
        <v/>
      </c>
      <c r="J76" s="9" t="b">
        <v>0</v>
      </c>
      <c r="K76" s="14"/>
      <c r="L76" s="19"/>
      <c r="M76" s="31"/>
      <c r="N76" s="25"/>
      <c r="O76" s="19"/>
      <c r="P76" s="19"/>
    </row>
    <row r="77">
      <c r="A77" s="9"/>
      <c r="B77" s="28"/>
      <c r="C77" s="29"/>
      <c r="D77" s="29"/>
      <c r="E77" s="29"/>
      <c r="F77" s="29"/>
      <c r="G77" s="30"/>
      <c r="H77" s="30"/>
      <c r="I77" s="13" t="str">
        <f t="shared" si="1"/>
        <v/>
      </c>
      <c r="J77" s="9" t="b">
        <v>0</v>
      </c>
      <c r="K77" s="14"/>
      <c r="L77" s="19"/>
      <c r="M77" s="31"/>
      <c r="N77" s="25"/>
      <c r="O77" s="19"/>
      <c r="P77" s="19"/>
    </row>
    <row r="78">
      <c r="A78" s="9"/>
      <c r="B78" s="28"/>
      <c r="C78" s="29"/>
      <c r="D78" s="29"/>
      <c r="E78" s="29"/>
      <c r="F78" s="29"/>
      <c r="G78" s="30"/>
      <c r="H78" s="30"/>
      <c r="I78" s="13" t="str">
        <f t="shared" si="1"/>
        <v/>
      </c>
      <c r="J78" s="9" t="b">
        <v>0</v>
      </c>
      <c r="K78" s="14"/>
      <c r="L78" s="19"/>
      <c r="M78" s="31"/>
      <c r="N78" s="25"/>
      <c r="O78" s="19"/>
      <c r="P78" s="19"/>
    </row>
    <row r="79">
      <c r="A79" s="9"/>
      <c r="B79" s="28"/>
      <c r="C79" s="29"/>
      <c r="D79" s="29"/>
      <c r="E79" s="29"/>
      <c r="F79" s="29"/>
      <c r="G79" s="30"/>
      <c r="H79" s="30"/>
      <c r="I79" s="13" t="str">
        <f t="shared" si="1"/>
        <v/>
      </c>
      <c r="J79" s="9" t="b">
        <v>0</v>
      </c>
      <c r="K79" s="14"/>
      <c r="L79" s="19"/>
      <c r="M79" s="31"/>
      <c r="N79" s="25"/>
      <c r="O79" s="19"/>
      <c r="P79" s="19"/>
    </row>
    <row r="80">
      <c r="A80" s="9"/>
      <c r="B80" s="28"/>
      <c r="C80" s="29"/>
      <c r="D80" s="29"/>
      <c r="E80" s="29"/>
      <c r="F80" s="29"/>
      <c r="G80" s="30"/>
      <c r="H80" s="30"/>
      <c r="I80" s="13" t="str">
        <f t="shared" si="1"/>
        <v/>
      </c>
      <c r="J80" s="9" t="b">
        <v>0</v>
      </c>
      <c r="K80" s="14"/>
      <c r="L80" s="19"/>
      <c r="M80" s="31"/>
      <c r="N80" s="25"/>
      <c r="O80" s="19"/>
      <c r="P80" s="19"/>
    </row>
    <row r="81">
      <c r="A81" s="9"/>
      <c r="B81" s="28"/>
      <c r="C81" s="29"/>
      <c r="D81" s="29"/>
      <c r="E81" s="29"/>
      <c r="F81" s="29"/>
      <c r="G81" s="30"/>
      <c r="H81" s="30"/>
      <c r="I81" s="13" t="str">
        <f t="shared" si="1"/>
        <v/>
      </c>
      <c r="J81" s="9" t="b">
        <v>0</v>
      </c>
      <c r="K81" s="14"/>
      <c r="L81" s="19"/>
      <c r="M81" s="31"/>
      <c r="N81" s="25"/>
      <c r="O81" s="19"/>
      <c r="P81" s="19"/>
    </row>
    <row r="82">
      <c r="A82" s="9"/>
      <c r="B82" s="28"/>
      <c r="C82" s="29"/>
      <c r="D82" s="29"/>
      <c r="E82" s="29"/>
      <c r="F82" s="29"/>
      <c r="G82" s="30"/>
      <c r="H82" s="30"/>
      <c r="I82" s="13" t="str">
        <f t="shared" si="1"/>
        <v/>
      </c>
      <c r="J82" s="9" t="b">
        <v>0</v>
      </c>
      <c r="K82" s="14"/>
      <c r="L82" s="19"/>
      <c r="M82" s="31"/>
      <c r="N82" s="25"/>
      <c r="O82" s="19"/>
      <c r="P82" s="19"/>
    </row>
    <row r="83">
      <c r="A83" s="9"/>
      <c r="B83" s="28"/>
      <c r="C83" s="29"/>
      <c r="D83" s="29"/>
      <c r="E83" s="29"/>
      <c r="F83" s="29"/>
      <c r="G83" s="30"/>
      <c r="H83" s="30"/>
      <c r="I83" s="13" t="str">
        <f t="shared" si="1"/>
        <v/>
      </c>
      <c r="J83" s="9" t="b">
        <v>0</v>
      </c>
      <c r="K83" s="14"/>
      <c r="L83" s="19"/>
      <c r="M83" s="31"/>
      <c r="N83" s="25"/>
      <c r="O83" s="19"/>
      <c r="P83" s="19"/>
    </row>
    <row r="84">
      <c r="A84" s="9"/>
      <c r="B84" s="28"/>
      <c r="C84" s="29"/>
      <c r="D84" s="29"/>
      <c r="E84" s="29"/>
      <c r="F84" s="29"/>
      <c r="G84" s="30"/>
      <c r="H84" s="30"/>
      <c r="I84" s="13" t="str">
        <f t="shared" si="1"/>
        <v/>
      </c>
      <c r="J84" s="9" t="b">
        <v>0</v>
      </c>
      <c r="K84" s="14"/>
      <c r="L84" s="19"/>
      <c r="M84" s="31"/>
      <c r="N84" s="25"/>
      <c r="O84" s="19"/>
      <c r="P84" s="19"/>
    </row>
    <row r="85">
      <c r="A85" s="9"/>
      <c r="B85" s="28"/>
      <c r="C85" s="29"/>
      <c r="D85" s="29"/>
      <c r="E85" s="29"/>
      <c r="F85" s="29"/>
      <c r="G85" s="30"/>
      <c r="H85" s="30"/>
      <c r="I85" s="13" t="str">
        <f t="shared" si="1"/>
        <v/>
      </c>
      <c r="J85" s="9" t="b">
        <v>0</v>
      </c>
      <c r="K85" s="14"/>
      <c r="L85" s="19"/>
      <c r="M85" s="31"/>
      <c r="N85" s="25"/>
      <c r="O85" s="19"/>
      <c r="P85" s="19"/>
    </row>
    <row r="86">
      <c r="A86" s="9"/>
      <c r="B86" s="28"/>
      <c r="C86" s="29"/>
      <c r="D86" s="29"/>
      <c r="E86" s="29"/>
      <c r="F86" s="29"/>
      <c r="G86" s="30"/>
      <c r="H86" s="30"/>
      <c r="I86" s="13" t="str">
        <f t="shared" si="1"/>
        <v/>
      </c>
      <c r="J86" s="9" t="b">
        <v>0</v>
      </c>
      <c r="K86" s="14"/>
      <c r="L86" s="19"/>
      <c r="M86" s="31"/>
      <c r="N86" s="25"/>
      <c r="O86" s="19"/>
      <c r="P86" s="19"/>
    </row>
    <row r="87">
      <c r="A87" s="9"/>
      <c r="B87" s="28"/>
      <c r="C87" s="29"/>
      <c r="D87" s="29"/>
      <c r="E87" s="29"/>
      <c r="F87" s="29"/>
      <c r="G87" s="30"/>
      <c r="H87" s="30"/>
      <c r="I87" s="13" t="str">
        <f t="shared" si="1"/>
        <v/>
      </c>
      <c r="J87" s="9" t="b">
        <v>0</v>
      </c>
      <c r="K87" s="14"/>
      <c r="L87" s="19"/>
      <c r="M87" s="31"/>
      <c r="N87" s="25"/>
      <c r="O87" s="19"/>
      <c r="P87" s="19"/>
    </row>
    <row r="88">
      <c r="A88" s="9"/>
      <c r="B88" s="28"/>
      <c r="C88" s="29"/>
      <c r="D88" s="29"/>
      <c r="E88" s="29"/>
      <c r="F88" s="29"/>
      <c r="G88" s="30"/>
      <c r="H88" s="30"/>
      <c r="I88" s="13" t="str">
        <f t="shared" si="1"/>
        <v/>
      </c>
      <c r="J88" s="9" t="b">
        <v>0</v>
      </c>
      <c r="K88" s="14"/>
      <c r="L88" s="19"/>
      <c r="M88" s="31"/>
      <c r="N88" s="25"/>
      <c r="O88" s="19"/>
      <c r="P88" s="19"/>
    </row>
    <row r="89">
      <c r="A89" s="9"/>
      <c r="B89" s="28"/>
      <c r="C89" s="29"/>
      <c r="D89" s="29"/>
      <c r="E89" s="29"/>
      <c r="F89" s="29"/>
      <c r="G89" s="30"/>
      <c r="H89" s="30"/>
      <c r="I89" s="13" t="str">
        <f t="shared" si="1"/>
        <v/>
      </c>
      <c r="J89" s="9" t="b">
        <v>0</v>
      </c>
      <c r="K89" s="14"/>
      <c r="L89" s="19"/>
      <c r="M89" s="31"/>
      <c r="N89" s="25"/>
      <c r="O89" s="19"/>
      <c r="P89" s="19"/>
    </row>
    <row r="90">
      <c r="A90" s="9"/>
      <c r="B90" s="28"/>
      <c r="C90" s="29"/>
      <c r="D90" s="29"/>
      <c r="E90" s="29"/>
      <c r="F90" s="29"/>
      <c r="G90" s="30"/>
      <c r="H90" s="30"/>
      <c r="I90" s="13" t="str">
        <f t="shared" si="1"/>
        <v/>
      </c>
      <c r="J90" s="9" t="b">
        <v>0</v>
      </c>
      <c r="K90" s="14"/>
      <c r="L90" s="19"/>
      <c r="M90" s="31"/>
      <c r="N90" s="25"/>
      <c r="O90" s="19"/>
      <c r="P90" s="19"/>
    </row>
    <row r="91">
      <c r="A91" s="9"/>
      <c r="B91" s="28"/>
      <c r="C91" s="29"/>
      <c r="D91" s="29"/>
      <c r="E91" s="29"/>
      <c r="F91" s="29"/>
      <c r="G91" s="30"/>
      <c r="H91" s="30"/>
      <c r="I91" s="13" t="str">
        <f t="shared" si="1"/>
        <v/>
      </c>
      <c r="J91" s="9" t="b">
        <v>0</v>
      </c>
      <c r="K91" s="14"/>
      <c r="L91" s="19"/>
      <c r="M91" s="31"/>
      <c r="N91" s="25"/>
      <c r="O91" s="19"/>
      <c r="P91" s="19"/>
    </row>
    <row r="92">
      <c r="A92" s="9"/>
      <c r="B92" s="28"/>
      <c r="C92" s="29"/>
      <c r="D92" s="29"/>
      <c r="E92" s="29"/>
      <c r="F92" s="29"/>
      <c r="G92" s="30"/>
      <c r="H92" s="30"/>
      <c r="I92" s="13" t="str">
        <f t="shared" si="1"/>
        <v/>
      </c>
      <c r="J92" s="9" t="b">
        <v>0</v>
      </c>
      <c r="K92" s="14"/>
      <c r="L92" s="19"/>
      <c r="M92" s="31"/>
      <c r="N92" s="25"/>
      <c r="O92" s="19"/>
      <c r="P92" s="19"/>
    </row>
    <row r="93">
      <c r="A93" s="9"/>
      <c r="B93" s="28"/>
      <c r="C93" s="29"/>
      <c r="D93" s="29"/>
      <c r="E93" s="29"/>
      <c r="F93" s="29"/>
      <c r="G93" s="30"/>
      <c r="H93" s="30"/>
      <c r="I93" s="13" t="str">
        <f t="shared" si="1"/>
        <v/>
      </c>
      <c r="J93" s="9" t="b">
        <v>0</v>
      </c>
      <c r="K93" s="14"/>
      <c r="L93" s="19"/>
      <c r="M93" s="31"/>
      <c r="N93" s="25"/>
      <c r="O93" s="19"/>
      <c r="P93" s="19"/>
    </row>
    <row r="94">
      <c r="A94" s="9"/>
      <c r="B94" s="28"/>
      <c r="C94" s="29"/>
      <c r="D94" s="29"/>
      <c r="E94" s="29"/>
      <c r="F94" s="29"/>
      <c r="G94" s="30"/>
      <c r="H94" s="30"/>
      <c r="I94" s="13" t="str">
        <f t="shared" si="1"/>
        <v/>
      </c>
      <c r="J94" s="9" t="b">
        <v>0</v>
      </c>
      <c r="K94" s="14"/>
      <c r="L94" s="19"/>
      <c r="M94" s="31"/>
      <c r="N94" s="25"/>
      <c r="O94" s="19"/>
      <c r="P94" s="19"/>
    </row>
    <row r="95">
      <c r="A95" s="9"/>
      <c r="B95" s="28"/>
      <c r="C95" s="29"/>
      <c r="D95" s="29"/>
      <c r="E95" s="29"/>
      <c r="F95" s="29"/>
      <c r="G95" s="30"/>
      <c r="H95" s="30"/>
      <c r="I95" s="13" t="str">
        <f t="shared" si="1"/>
        <v/>
      </c>
      <c r="J95" s="9" t="b">
        <v>0</v>
      </c>
      <c r="K95" s="14"/>
      <c r="L95" s="19"/>
      <c r="M95" s="31"/>
      <c r="N95" s="25"/>
      <c r="O95" s="19"/>
      <c r="P95" s="19"/>
    </row>
    <row r="96">
      <c r="A96" s="9"/>
      <c r="B96" s="28"/>
      <c r="C96" s="29"/>
      <c r="D96" s="29"/>
      <c r="E96" s="29"/>
      <c r="F96" s="29"/>
      <c r="G96" s="30"/>
      <c r="H96" s="30"/>
      <c r="I96" s="13" t="str">
        <f t="shared" si="1"/>
        <v/>
      </c>
      <c r="J96" s="9" t="b">
        <v>0</v>
      </c>
      <c r="K96" s="14"/>
      <c r="L96" s="19"/>
      <c r="M96" s="31"/>
      <c r="N96" s="25"/>
      <c r="O96" s="19"/>
      <c r="P96" s="19"/>
    </row>
    <row r="97">
      <c r="A97" s="9"/>
      <c r="B97" s="28"/>
      <c r="C97" s="29"/>
      <c r="D97" s="29"/>
      <c r="E97" s="29"/>
      <c r="F97" s="29"/>
      <c r="G97" s="30"/>
      <c r="H97" s="30"/>
      <c r="I97" s="13" t="str">
        <f t="shared" si="1"/>
        <v/>
      </c>
      <c r="J97" s="9" t="b">
        <v>0</v>
      </c>
      <c r="K97" s="14"/>
      <c r="L97" s="19"/>
      <c r="M97" s="31"/>
      <c r="N97" s="25"/>
      <c r="O97" s="19"/>
      <c r="P97" s="19"/>
    </row>
    <row r="98">
      <c r="A98" s="9"/>
      <c r="B98" s="28"/>
      <c r="C98" s="29"/>
      <c r="D98" s="29"/>
      <c r="E98" s="29"/>
      <c r="F98" s="29"/>
      <c r="G98" s="30"/>
      <c r="H98" s="30"/>
      <c r="I98" s="13" t="str">
        <f t="shared" si="1"/>
        <v/>
      </c>
      <c r="J98" s="9" t="b">
        <v>0</v>
      </c>
      <c r="K98" s="14"/>
      <c r="L98" s="19"/>
      <c r="M98" s="31"/>
      <c r="N98" s="25"/>
      <c r="O98" s="19"/>
      <c r="P98" s="19"/>
    </row>
    <row r="99">
      <c r="A99" s="9"/>
      <c r="B99" s="28"/>
      <c r="C99" s="29"/>
      <c r="D99" s="29"/>
      <c r="E99" s="29"/>
      <c r="F99" s="29"/>
      <c r="G99" s="30"/>
      <c r="H99" s="30"/>
      <c r="I99" s="13" t="str">
        <f t="shared" si="1"/>
        <v/>
      </c>
      <c r="J99" s="9" t="b">
        <v>0</v>
      </c>
      <c r="K99" s="14"/>
      <c r="L99" s="19"/>
      <c r="M99" s="31"/>
      <c r="N99" s="25"/>
      <c r="O99" s="19"/>
      <c r="P99" s="19"/>
    </row>
    <row r="100">
      <c r="A100" s="9"/>
      <c r="B100" s="28"/>
      <c r="C100" s="29"/>
      <c r="D100" s="29"/>
      <c r="E100" s="29"/>
      <c r="F100" s="29"/>
      <c r="G100" s="30"/>
      <c r="H100" s="30"/>
      <c r="I100" s="13" t="str">
        <f t="shared" si="1"/>
        <v/>
      </c>
      <c r="J100" s="9" t="b">
        <v>0</v>
      </c>
      <c r="K100" s="14"/>
      <c r="L100" s="19"/>
      <c r="M100" s="31"/>
      <c r="N100" s="25"/>
      <c r="O100" s="19"/>
      <c r="P100" s="19"/>
    </row>
    <row r="101">
      <c r="A101" s="9"/>
      <c r="B101" s="28"/>
      <c r="C101" s="29"/>
      <c r="D101" s="29"/>
      <c r="E101" s="29"/>
      <c r="F101" s="29"/>
      <c r="G101" s="30"/>
      <c r="H101" s="30"/>
      <c r="I101" s="13" t="str">
        <f t="shared" si="1"/>
        <v/>
      </c>
      <c r="J101" s="9" t="b">
        <v>0</v>
      </c>
      <c r="K101" s="14"/>
      <c r="L101" s="19"/>
      <c r="M101" s="31"/>
      <c r="N101" s="25"/>
      <c r="O101" s="19"/>
      <c r="P101" s="19"/>
    </row>
    <row r="102">
      <c r="A102" s="9"/>
      <c r="B102" s="28"/>
      <c r="C102" s="29"/>
      <c r="D102" s="29"/>
      <c r="E102" s="29"/>
      <c r="F102" s="29"/>
      <c r="G102" s="30"/>
      <c r="H102" s="30"/>
      <c r="I102" s="13" t="str">
        <f t="shared" si="1"/>
        <v/>
      </c>
      <c r="J102" s="9" t="b">
        <v>0</v>
      </c>
      <c r="K102" s="14"/>
      <c r="L102" s="19"/>
      <c r="M102" s="31"/>
      <c r="N102" s="25"/>
      <c r="O102" s="19"/>
      <c r="P102" s="19"/>
    </row>
    <row r="103">
      <c r="A103" s="9"/>
      <c r="B103" s="28"/>
      <c r="C103" s="29"/>
      <c r="D103" s="29"/>
      <c r="E103" s="29"/>
      <c r="F103" s="29"/>
      <c r="G103" s="30"/>
      <c r="H103" s="30"/>
      <c r="I103" s="13" t="str">
        <f t="shared" si="1"/>
        <v/>
      </c>
      <c r="J103" s="9" t="b">
        <v>0</v>
      </c>
      <c r="K103" s="14"/>
      <c r="L103" s="19"/>
      <c r="M103" s="31"/>
      <c r="N103" s="25"/>
      <c r="O103" s="19"/>
      <c r="P103" s="19"/>
    </row>
    <row r="104">
      <c r="A104" s="9"/>
      <c r="B104" s="28"/>
      <c r="C104" s="29"/>
      <c r="D104" s="29"/>
      <c r="E104" s="29"/>
      <c r="F104" s="29"/>
      <c r="G104" s="30"/>
      <c r="H104" s="30"/>
      <c r="I104" s="13" t="str">
        <f t="shared" si="1"/>
        <v/>
      </c>
      <c r="J104" s="9" t="b">
        <v>0</v>
      </c>
      <c r="K104" s="14"/>
      <c r="L104" s="19"/>
      <c r="M104" s="31"/>
      <c r="N104" s="25"/>
      <c r="O104" s="19"/>
      <c r="P104" s="19"/>
    </row>
    <row r="105">
      <c r="A105" s="9"/>
      <c r="B105" s="28"/>
      <c r="C105" s="29"/>
      <c r="D105" s="29"/>
      <c r="E105" s="29"/>
      <c r="F105" s="29"/>
      <c r="G105" s="30"/>
      <c r="H105" s="30"/>
      <c r="I105" s="13" t="str">
        <f t="shared" si="1"/>
        <v/>
      </c>
      <c r="J105" s="9" t="b">
        <v>0</v>
      </c>
      <c r="K105" s="14"/>
      <c r="L105" s="19"/>
      <c r="M105" s="31"/>
      <c r="N105" s="25"/>
      <c r="O105" s="19"/>
      <c r="P105" s="19"/>
    </row>
    <row r="106">
      <c r="A106" s="9"/>
      <c r="B106" s="28"/>
      <c r="C106" s="29"/>
      <c r="D106" s="29"/>
      <c r="E106" s="29"/>
      <c r="F106" s="29"/>
      <c r="G106" s="30"/>
      <c r="H106" s="30"/>
      <c r="I106" s="13" t="str">
        <f t="shared" si="1"/>
        <v/>
      </c>
      <c r="J106" s="9" t="b">
        <v>0</v>
      </c>
      <c r="K106" s="14"/>
      <c r="L106" s="19"/>
      <c r="M106" s="31"/>
      <c r="N106" s="25"/>
      <c r="O106" s="19"/>
      <c r="P106" s="19"/>
    </row>
    <row r="107">
      <c r="A107" s="9"/>
      <c r="B107" s="28"/>
      <c r="C107" s="29"/>
      <c r="D107" s="29"/>
      <c r="E107" s="29"/>
      <c r="F107" s="29"/>
      <c r="G107" s="30"/>
      <c r="H107" s="30"/>
      <c r="I107" s="13" t="str">
        <f t="shared" si="1"/>
        <v/>
      </c>
      <c r="J107" s="9" t="b">
        <v>0</v>
      </c>
      <c r="K107" s="14"/>
      <c r="L107" s="19"/>
      <c r="M107" s="31"/>
      <c r="N107" s="25"/>
      <c r="O107" s="19"/>
      <c r="P107" s="19"/>
    </row>
    <row r="108">
      <c r="A108" s="9"/>
      <c r="B108" s="28"/>
      <c r="C108" s="29"/>
      <c r="D108" s="29"/>
      <c r="E108" s="29"/>
      <c r="F108" s="29"/>
      <c r="G108" s="30"/>
      <c r="H108" s="30"/>
      <c r="I108" s="13" t="str">
        <f t="shared" si="1"/>
        <v/>
      </c>
      <c r="J108" s="9" t="b">
        <v>0</v>
      </c>
      <c r="K108" s="14"/>
      <c r="L108" s="19"/>
      <c r="M108" s="31"/>
      <c r="N108" s="25"/>
      <c r="O108" s="19"/>
      <c r="P108" s="19"/>
    </row>
    <row r="109">
      <c r="A109" s="9"/>
      <c r="B109" s="28"/>
      <c r="C109" s="29"/>
      <c r="D109" s="29"/>
      <c r="E109" s="29"/>
      <c r="F109" s="29"/>
      <c r="G109" s="30"/>
      <c r="H109" s="30"/>
      <c r="I109" s="32"/>
      <c r="J109" s="9" t="b">
        <v>0</v>
      </c>
      <c r="K109" s="14"/>
      <c r="L109" s="19"/>
      <c r="M109" s="31"/>
      <c r="N109" s="25"/>
      <c r="O109" s="19"/>
      <c r="P109" s="19"/>
    </row>
    <row r="110">
      <c r="A110" s="9"/>
      <c r="B110" s="28"/>
      <c r="C110" s="29"/>
      <c r="D110" s="29"/>
      <c r="E110" s="29"/>
      <c r="F110" s="29"/>
      <c r="G110" s="30"/>
      <c r="H110" s="30"/>
      <c r="I110" s="32"/>
      <c r="J110" s="9" t="b">
        <v>0</v>
      </c>
      <c r="K110" s="14"/>
      <c r="L110" s="19"/>
      <c r="M110" s="31"/>
      <c r="N110" s="25"/>
      <c r="O110" s="19"/>
      <c r="P110" s="19"/>
    </row>
  </sheetData>
  <conditionalFormatting sqref="I1:I110">
    <cfRule type="containsBlanks" dxfId="0" priority="1">
      <formula>LEN(TRIM(I1))=0</formula>
    </cfRule>
  </conditionalFormatting>
  <dataValidations>
    <dataValidation type="list" allowBlank="1" showErrorMessage="1" sqref="A2:A110">
      <formula1>"Now,Later,Hide"</formula1>
    </dataValidation>
    <dataValidation type="list" allowBlank="1" showErrorMessage="1" sqref="K2:K110">
      <formula1>"Consulting,Development,Solutions Engineering,Strategy"</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9.0"/>
    <col customWidth="1" min="3" max="3" width="40.38"/>
    <col customWidth="1" min="4" max="4" width="20.0"/>
  </cols>
  <sheetData>
    <row r="1">
      <c r="A1" s="33" t="s">
        <v>138</v>
      </c>
      <c r="B1" s="33" t="s">
        <v>139</v>
      </c>
      <c r="C1" s="33" t="s">
        <v>140</v>
      </c>
      <c r="D1" s="33" t="s">
        <v>141</v>
      </c>
    </row>
    <row r="2">
      <c r="A2" s="34" t="s">
        <v>142</v>
      </c>
      <c r="B2" s="35"/>
      <c r="C2" s="36"/>
      <c r="D2" s="36"/>
    </row>
    <row r="3">
      <c r="A3" s="37" t="s">
        <v>143</v>
      </c>
      <c r="B3" s="38"/>
      <c r="C3" s="39" t="s">
        <v>144</v>
      </c>
      <c r="D3" s="40"/>
    </row>
    <row r="4">
      <c r="A4" s="41" t="s">
        <v>145</v>
      </c>
      <c r="B4" s="38"/>
      <c r="C4" s="42" t="s">
        <v>146</v>
      </c>
      <c r="D4" s="40"/>
    </row>
    <row r="5">
      <c r="A5" s="37" t="s">
        <v>147</v>
      </c>
      <c r="B5" s="43"/>
      <c r="C5" s="42" t="s">
        <v>148</v>
      </c>
      <c r="D5" s="40"/>
    </row>
    <row r="6">
      <c r="A6" s="41" t="s">
        <v>149</v>
      </c>
      <c r="B6" s="44"/>
      <c r="C6" s="42" t="s">
        <v>150</v>
      </c>
      <c r="D6" s="40"/>
    </row>
    <row r="7">
      <c r="A7" s="45" t="s">
        <v>151</v>
      </c>
      <c r="B7" s="46"/>
      <c r="C7" s="42" t="s">
        <v>152</v>
      </c>
      <c r="D7" s="40"/>
    </row>
    <row r="8">
      <c r="A8" s="45" t="s">
        <v>153</v>
      </c>
      <c r="B8" s="47" t="s">
        <v>154</v>
      </c>
      <c r="C8" s="38"/>
      <c r="D8" s="48" t="s">
        <v>155</v>
      </c>
    </row>
    <row r="9">
      <c r="A9" s="45" t="s">
        <v>156</v>
      </c>
      <c r="B9" s="49" t="s">
        <v>157</v>
      </c>
      <c r="C9" s="42" t="s">
        <v>158</v>
      </c>
      <c r="D9" s="40"/>
    </row>
    <row r="10">
      <c r="A10" s="50"/>
      <c r="B10" s="51"/>
      <c r="C10" s="38"/>
      <c r="D10" s="40"/>
    </row>
    <row r="11">
      <c r="A11" s="34" t="s">
        <v>159</v>
      </c>
      <c r="B11" s="35"/>
      <c r="C11" s="36"/>
      <c r="D11" s="36"/>
    </row>
    <row r="12">
      <c r="A12" s="41" t="s">
        <v>160</v>
      </c>
      <c r="B12" s="52" t="s">
        <v>161</v>
      </c>
      <c r="C12" s="42" t="s">
        <v>162</v>
      </c>
      <c r="D12" s="53" t="s">
        <v>163</v>
      </c>
    </row>
    <row r="13">
      <c r="A13" s="41" t="s">
        <v>164</v>
      </c>
      <c r="B13" s="54">
        <v>46006.46297046296</v>
      </c>
      <c r="C13" s="42" t="s">
        <v>165</v>
      </c>
      <c r="D13" s="40"/>
    </row>
    <row r="14">
      <c r="A14" s="41" t="s">
        <v>166</v>
      </c>
      <c r="B14" s="47" t="s">
        <v>167</v>
      </c>
      <c r="C14" s="42" t="s">
        <v>168</v>
      </c>
      <c r="D14" s="40"/>
    </row>
    <row r="15">
      <c r="A15" s="50"/>
      <c r="B15" s="38"/>
      <c r="C15" s="38"/>
      <c r="D15" s="38"/>
    </row>
    <row r="16">
      <c r="A16" s="55" t="s">
        <v>169</v>
      </c>
      <c r="B16" s="35"/>
      <c r="C16" s="36"/>
      <c r="D16" s="36"/>
    </row>
    <row r="17">
      <c r="A17" s="37" t="s">
        <v>170</v>
      </c>
      <c r="B17" s="56">
        <v>325.0</v>
      </c>
      <c r="C17" s="39" t="s">
        <v>171</v>
      </c>
      <c r="D17" s="53" t="s">
        <v>172</v>
      </c>
    </row>
    <row r="18">
      <c r="A18" s="37" t="s">
        <v>173</v>
      </c>
      <c r="B18" s="57">
        <v>0.2</v>
      </c>
      <c r="C18" s="39" t="s">
        <v>174</v>
      </c>
      <c r="D18" s="40"/>
    </row>
    <row r="19">
      <c r="A19" s="37" t="s">
        <v>175</v>
      </c>
      <c r="B19" s="58" t="s">
        <v>176</v>
      </c>
      <c r="C19" s="59" t="s">
        <v>177</v>
      </c>
      <c r="D19" s="60"/>
    </row>
    <row r="20">
      <c r="A20" s="41" t="s">
        <v>178</v>
      </c>
      <c r="B20" s="61">
        <v>45936.0</v>
      </c>
      <c r="C20" s="39" t="s">
        <v>179</v>
      </c>
      <c r="D20" s="40"/>
    </row>
    <row r="21">
      <c r="A21" s="41" t="s">
        <v>180</v>
      </c>
      <c r="B21" s="62">
        <v>3.0</v>
      </c>
      <c r="C21" s="39" t="s">
        <v>181</v>
      </c>
      <c r="D21" s="53" t="s">
        <v>182</v>
      </c>
    </row>
    <row r="22">
      <c r="A22" s="15"/>
      <c r="B22" s="40"/>
      <c r="C22" s="40"/>
      <c r="D22" s="40"/>
    </row>
    <row r="23">
      <c r="A23" s="55" t="s">
        <v>183</v>
      </c>
      <c r="B23" s="35"/>
      <c r="C23" s="36"/>
      <c r="D23" s="36"/>
    </row>
    <row r="24">
      <c r="A24" s="37" t="s">
        <v>184</v>
      </c>
      <c r="B24" s="63"/>
      <c r="C24" s="42" t="s">
        <v>185</v>
      </c>
      <c r="D24" s="53" t="s">
        <v>186</v>
      </c>
    </row>
    <row r="25">
      <c r="A25" s="37" t="s">
        <v>187</v>
      </c>
      <c r="B25" s="64"/>
      <c r="C25" s="42" t="s">
        <v>188</v>
      </c>
      <c r="D25" s="53" t="s">
        <v>189</v>
      </c>
    </row>
    <row r="26">
      <c r="A26" s="37" t="s">
        <v>190</v>
      </c>
      <c r="B26" s="62"/>
      <c r="C26" s="42" t="s">
        <v>191</v>
      </c>
      <c r="D26" s="53" t="s">
        <v>192</v>
      </c>
    </row>
    <row r="27">
      <c r="A27" s="37" t="s">
        <v>193</v>
      </c>
      <c r="B27" s="65" t="s">
        <v>194</v>
      </c>
      <c r="C27" s="66" t="s">
        <v>195</v>
      </c>
      <c r="D27" s="60"/>
    </row>
    <row r="28">
      <c r="A28" s="15"/>
      <c r="B28" s="40"/>
      <c r="C28" s="40"/>
      <c r="D28" s="40"/>
    </row>
    <row r="29">
      <c r="A29" s="15"/>
      <c r="B29" s="40"/>
      <c r="C29" s="40"/>
      <c r="D29" s="40"/>
    </row>
    <row r="30">
      <c r="A30" s="67" t="s">
        <v>196</v>
      </c>
      <c r="B30" s="35"/>
      <c r="C30" s="36"/>
      <c r="D30" s="36"/>
    </row>
    <row r="31">
      <c r="A31" s="68" t="s">
        <v>197</v>
      </c>
      <c r="B31" s="69" t="s">
        <v>198</v>
      </c>
      <c r="C31" s="59" t="s">
        <v>199</v>
      </c>
      <c r="D31" s="40"/>
    </row>
    <row r="32">
      <c r="A32" s="40"/>
      <c r="B32" s="40"/>
      <c r="C32" s="40"/>
      <c r="D32" s="40"/>
    </row>
  </sheetData>
  <dataValidations>
    <dataValidation type="list" allowBlank="1" showErrorMessage="1" sqref="B14">
      <formula1>"Draft,Hide Hours + Financials,Show Estimates + Ranges,Show Estimates + Ranges + Medians,Final Presentation,Archived"</formula1>
    </dataValidation>
    <dataValidation type="list" allowBlank="1" showErrorMessage="1" sqref="B8">
      <formula1>"Not Started,Technical Disco,SA Building,Scope Confirmation,Complete,Road Blocked,Rescoping"</formula1>
    </dataValidation>
  </dataValidations>
  <hyperlinks>
    <hyperlink r:id="rId1" ref="B1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4" width="25.75"/>
  </cols>
  <sheetData>
    <row r="1">
      <c r="A1" s="70"/>
      <c r="B1" s="70"/>
      <c r="C1" s="70"/>
      <c r="D1" s="33" t="s">
        <v>141</v>
      </c>
      <c r="E1" s="71"/>
      <c r="F1" s="71"/>
      <c r="G1" s="71"/>
      <c r="H1" s="71"/>
      <c r="I1" s="71"/>
      <c r="J1" s="71"/>
      <c r="K1" s="71"/>
      <c r="L1" s="71"/>
      <c r="M1" s="71"/>
      <c r="N1" s="71"/>
      <c r="O1" s="71"/>
      <c r="P1" s="71"/>
      <c r="Q1" s="71"/>
      <c r="R1" s="71"/>
      <c r="S1" s="71"/>
      <c r="T1" s="71"/>
      <c r="U1" s="71"/>
      <c r="V1" s="71"/>
      <c r="W1" s="71"/>
      <c r="X1" s="71"/>
      <c r="Y1" s="71"/>
      <c r="Z1" s="71"/>
    </row>
    <row r="2">
      <c r="A2" s="72" t="s">
        <v>200</v>
      </c>
      <c r="B2" s="73"/>
      <c r="C2" s="73"/>
      <c r="D2" s="73"/>
      <c r="E2" s="71"/>
      <c r="F2" s="71"/>
      <c r="G2" s="71"/>
      <c r="H2" s="71"/>
      <c r="I2" s="71"/>
      <c r="J2" s="71"/>
      <c r="K2" s="71"/>
      <c r="L2" s="71"/>
      <c r="M2" s="71"/>
      <c r="N2" s="71"/>
      <c r="O2" s="71"/>
      <c r="P2" s="71"/>
      <c r="Q2" s="71"/>
      <c r="R2" s="71"/>
      <c r="S2" s="71"/>
      <c r="T2" s="71"/>
      <c r="U2" s="71"/>
      <c r="V2" s="71"/>
      <c r="W2" s="71"/>
      <c r="X2" s="71"/>
      <c r="Y2" s="71"/>
      <c r="Z2" s="71"/>
    </row>
    <row r="3">
      <c r="A3" s="74" t="s">
        <v>201</v>
      </c>
      <c r="B3" s="75">
        <f>SUMIF(Input!A:A,"Now",Input!I:I)</f>
        <v>322</v>
      </c>
      <c r="C3" s="42" t="s">
        <v>202</v>
      </c>
      <c r="D3" s="76"/>
      <c r="E3" s="71"/>
      <c r="F3" s="71"/>
      <c r="G3" s="71"/>
      <c r="H3" s="71"/>
      <c r="I3" s="71"/>
      <c r="J3" s="71"/>
      <c r="K3" s="71"/>
      <c r="L3" s="71"/>
      <c r="M3" s="71"/>
      <c r="N3" s="71"/>
      <c r="O3" s="71"/>
      <c r="P3" s="71"/>
      <c r="Q3" s="71"/>
      <c r="R3" s="71"/>
      <c r="S3" s="71"/>
      <c r="T3" s="71"/>
      <c r="U3" s="71"/>
      <c r="V3" s="71"/>
      <c r="W3" s="71"/>
      <c r="X3" s="71"/>
      <c r="Y3" s="71"/>
      <c r="Z3" s="71"/>
    </row>
    <row r="4">
      <c r="A4" s="74" t="s">
        <v>203</v>
      </c>
      <c r="B4" s="75">
        <f>round(B3*Config!B18,0)</f>
        <v>64</v>
      </c>
      <c r="C4" s="42" t="s">
        <v>204</v>
      </c>
      <c r="D4" s="71"/>
      <c r="E4" s="71"/>
      <c r="F4" s="71"/>
      <c r="G4" s="71"/>
      <c r="H4" s="71"/>
      <c r="I4" s="71"/>
      <c r="J4" s="71"/>
      <c r="K4" s="71"/>
      <c r="L4" s="71"/>
      <c r="M4" s="71"/>
      <c r="N4" s="71"/>
      <c r="O4" s="71"/>
      <c r="P4" s="71"/>
      <c r="Q4" s="71"/>
      <c r="R4" s="71"/>
      <c r="S4" s="71"/>
      <c r="T4" s="71"/>
      <c r="U4" s="71"/>
      <c r="V4" s="71"/>
      <c r="W4" s="71"/>
      <c r="X4" s="71"/>
      <c r="Y4" s="71"/>
      <c r="Z4" s="71"/>
    </row>
    <row r="5">
      <c r="A5" s="74" t="s">
        <v>205</v>
      </c>
      <c r="B5" s="75">
        <f>sum(B3:B4)</f>
        <v>386</v>
      </c>
      <c r="C5" s="42" t="s">
        <v>206</v>
      </c>
      <c r="D5" s="77" t="s">
        <v>207</v>
      </c>
      <c r="E5" s="71"/>
      <c r="F5" s="71"/>
      <c r="G5" s="71"/>
      <c r="H5" s="71"/>
      <c r="I5" s="71"/>
      <c r="J5" s="71"/>
      <c r="K5" s="71"/>
      <c r="L5" s="71"/>
      <c r="M5" s="71"/>
      <c r="N5" s="71"/>
      <c r="O5" s="71"/>
      <c r="P5" s="71"/>
      <c r="Q5" s="71"/>
      <c r="R5" s="71"/>
      <c r="S5" s="71"/>
      <c r="T5" s="71"/>
      <c r="U5" s="71"/>
      <c r="V5" s="71"/>
      <c r="W5" s="71"/>
      <c r="X5" s="71"/>
      <c r="Y5" s="71"/>
      <c r="Z5" s="71"/>
    </row>
    <row r="6">
      <c r="A6" s="74" t="s">
        <v>208</v>
      </c>
      <c r="B6" s="75">
        <f>Config!B25 * Config!B26</f>
        <v>0</v>
      </c>
      <c r="C6" s="71"/>
      <c r="D6" s="71"/>
      <c r="E6" s="71"/>
      <c r="F6" s="71"/>
      <c r="G6" s="71"/>
      <c r="H6" s="71"/>
      <c r="I6" s="71"/>
      <c r="J6" s="71"/>
      <c r="K6" s="71"/>
      <c r="L6" s="71"/>
      <c r="M6" s="71"/>
      <c r="N6" s="71"/>
      <c r="O6" s="71"/>
      <c r="P6" s="71"/>
      <c r="Q6" s="71"/>
      <c r="R6" s="71"/>
      <c r="S6" s="71"/>
      <c r="T6" s="71"/>
      <c r="U6" s="71"/>
      <c r="V6" s="71"/>
      <c r="W6" s="71"/>
      <c r="X6" s="71"/>
      <c r="Y6" s="71"/>
      <c r="Z6" s="71"/>
    </row>
    <row r="7">
      <c r="A7" s="74" t="s">
        <v>209</v>
      </c>
      <c r="B7" s="78">
        <f>sum(B5:B6)</f>
        <v>386</v>
      </c>
      <c r="C7" s="42" t="s">
        <v>210</v>
      </c>
      <c r="D7" s="77" t="s">
        <v>211</v>
      </c>
      <c r="E7" s="71"/>
      <c r="F7" s="71"/>
      <c r="G7" s="71"/>
      <c r="H7" s="71"/>
      <c r="I7" s="71"/>
      <c r="J7" s="71"/>
      <c r="K7" s="71"/>
      <c r="L7" s="71"/>
      <c r="M7" s="71"/>
      <c r="N7" s="71"/>
      <c r="O7" s="71"/>
      <c r="P7" s="71"/>
      <c r="Q7" s="71"/>
      <c r="R7" s="71"/>
      <c r="S7" s="71"/>
      <c r="T7" s="71"/>
      <c r="U7" s="71"/>
      <c r="V7" s="71"/>
      <c r="W7" s="71"/>
      <c r="X7" s="71"/>
      <c r="Y7" s="71"/>
      <c r="Z7" s="71"/>
    </row>
    <row r="8">
      <c r="A8" s="74" t="s">
        <v>212</v>
      </c>
      <c r="B8" s="79">
        <f>(B5*Config!B17)+(B6*Config!B24)</f>
        <v>125450</v>
      </c>
      <c r="C8" s="42" t="s">
        <v>210</v>
      </c>
      <c r="D8" s="77" t="s">
        <v>213</v>
      </c>
      <c r="E8" s="71"/>
      <c r="F8" s="71"/>
      <c r="G8" s="71"/>
      <c r="H8" s="71"/>
      <c r="I8" s="71"/>
      <c r="J8" s="71"/>
      <c r="K8" s="71"/>
      <c r="L8" s="71"/>
      <c r="M8" s="71"/>
      <c r="N8" s="71"/>
      <c r="O8" s="71"/>
      <c r="P8" s="71"/>
      <c r="Q8" s="71"/>
      <c r="R8" s="71"/>
      <c r="S8" s="71"/>
      <c r="T8" s="71"/>
      <c r="U8" s="71"/>
      <c r="V8" s="71"/>
      <c r="W8" s="71"/>
      <c r="X8" s="71"/>
      <c r="Y8" s="71"/>
      <c r="Z8" s="71"/>
    </row>
    <row r="9">
      <c r="A9" s="74" t="s">
        <v>214</v>
      </c>
      <c r="B9" s="80">
        <f>EDATE(Config!B20, Config!B21)</f>
        <v>46028</v>
      </c>
      <c r="C9" s="71"/>
      <c r="D9" s="71"/>
      <c r="E9" s="71"/>
      <c r="F9" s="71"/>
      <c r="G9" s="71"/>
      <c r="H9" s="71"/>
      <c r="I9" s="71"/>
      <c r="J9" s="71"/>
      <c r="K9" s="71"/>
      <c r="L9" s="71"/>
      <c r="M9" s="71"/>
      <c r="N9" s="71"/>
      <c r="O9" s="71"/>
      <c r="P9" s="71"/>
      <c r="Q9" s="71"/>
      <c r="R9" s="71"/>
      <c r="S9" s="71"/>
      <c r="T9" s="71"/>
      <c r="U9" s="71"/>
      <c r="V9" s="71"/>
      <c r="W9" s="71"/>
      <c r="X9" s="71"/>
      <c r="Y9" s="71"/>
      <c r="Z9" s="71"/>
    </row>
    <row r="10">
      <c r="A10" s="74" t="s">
        <v>215</v>
      </c>
      <c r="B10" s="75">
        <f>roundup(B3/Config!B21,0)</f>
        <v>108</v>
      </c>
      <c r="C10" s="71"/>
      <c r="D10" s="71"/>
      <c r="E10" s="71"/>
      <c r="F10" s="71"/>
      <c r="G10" s="71"/>
      <c r="H10" s="71"/>
      <c r="I10" s="71"/>
      <c r="J10" s="71"/>
      <c r="K10" s="71"/>
      <c r="L10" s="71"/>
      <c r="M10" s="71"/>
      <c r="N10" s="71"/>
      <c r="O10" s="71"/>
      <c r="P10" s="71"/>
      <c r="Q10" s="71"/>
      <c r="R10" s="71"/>
      <c r="S10" s="71"/>
      <c r="T10" s="71"/>
      <c r="U10" s="71"/>
      <c r="V10" s="71"/>
      <c r="W10" s="71"/>
      <c r="X10" s="71"/>
      <c r="Y10" s="71"/>
      <c r="Z10" s="71"/>
    </row>
    <row r="11">
      <c r="A11" s="74" t="s">
        <v>216</v>
      </c>
      <c r="B11" s="75">
        <f>roundup(B10/4.3,0)</f>
        <v>26</v>
      </c>
      <c r="C11" s="71"/>
      <c r="D11" s="71"/>
      <c r="E11" s="71"/>
      <c r="F11" s="71"/>
      <c r="G11" s="71"/>
      <c r="H11" s="71"/>
      <c r="I11" s="71"/>
      <c r="J11" s="71"/>
      <c r="K11" s="71"/>
      <c r="L11" s="71"/>
      <c r="M11" s="71"/>
      <c r="N11" s="71"/>
      <c r="O11" s="71"/>
      <c r="P11" s="71"/>
      <c r="Q11" s="71"/>
      <c r="R11" s="71"/>
      <c r="S11" s="71"/>
      <c r="T11" s="71"/>
      <c r="U11" s="71"/>
      <c r="V11" s="71"/>
      <c r="W11" s="71"/>
      <c r="X11" s="71"/>
      <c r="Y11" s="71"/>
      <c r="Z11" s="71"/>
    </row>
    <row r="12">
      <c r="A12" s="74" t="s">
        <v>217</v>
      </c>
      <c r="B12" s="75">
        <f>B11*1.2</f>
        <v>31.2</v>
      </c>
      <c r="C12" s="76"/>
      <c r="D12" s="76"/>
      <c r="E12" s="71"/>
      <c r="F12" s="71"/>
      <c r="G12" s="71"/>
      <c r="H12" s="71"/>
      <c r="I12" s="71"/>
      <c r="J12" s="71"/>
      <c r="K12" s="71"/>
      <c r="L12" s="71"/>
      <c r="M12" s="71"/>
      <c r="N12" s="71"/>
      <c r="O12" s="71"/>
      <c r="P12" s="71"/>
      <c r="Q12" s="71"/>
      <c r="R12" s="71"/>
      <c r="S12" s="71"/>
      <c r="T12" s="71"/>
      <c r="U12" s="71"/>
      <c r="V12" s="71"/>
      <c r="W12" s="71"/>
      <c r="X12" s="71"/>
      <c r="Y12" s="71"/>
      <c r="Z12" s="71"/>
    </row>
    <row r="13">
      <c r="A13" s="74" t="s">
        <v>218</v>
      </c>
      <c r="B13" s="75">
        <f>B11*0.5</f>
        <v>13</v>
      </c>
      <c r="C13" s="76"/>
      <c r="D13" s="76"/>
      <c r="E13" s="71"/>
      <c r="F13" s="71"/>
      <c r="G13" s="71"/>
      <c r="H13" s="71"/>
      <c r="I13" s="71"/>
      <c r="J13" s="71"/>
      <c r="K13" s="71"/>
      <c r="L13" s="71"/>
      <c r="M13" s="71"/>
      <c r="N13" s="71"/>
      <c r="O13" s="71"/>
      <c r="P13" s="71"/>
      <c r="Q13" s="71"/>
      <c r="R13" s="71"/>
      <c r="S13" s="71"/>
      <c r="T13" s="71"/>
      <c r="U13" s="71"/>
      <c r="V13" s="71"/>
      <c r="W13" s="71"/>
      <c r="X13" s="71"/>
      <c r="Y13" s="71"/>
      <c r="Z13" s="71"/>
    </row>
    <row r="14">
      <c r="A14" s="74" t="s">
        <v>219</v>
      </c>
      <c r="B14" s="81">
        <f>C21</f>
        <v>0</v>
      </c>
      <c r="C14" s="76"/>
      <c r="D14" s="77" t="s">
        <v>220</v>
      </c>
      <c r="E14" s="71"/>
      <c r="F14" s="71"/>
      <c r="G14" s="71"/>
      <c r="H14" s="71"/>
      <c r="I14" s="71"/>
      <c r="J14" s="71"/>
      <c r="K14" s="71"/>
      <c r="L14" s="71"/>
      <c r="M14" s="71"/>
      <c r="N14" s="71"/>
      <c r="O14" s="71"/>
      <c r="P14" s="71"/>
      <c r="Q14" s="71"/>
      <c r="R14" s="71"/>
      <c r="S14" s="71"/>
      <c r="T14" s="71"/>
      <c r="U14" s="71"/>
      <c r="V14" s="71"/>
      <c r="W14" s="71"/>
      <c r="X14" s="71"/>
      <c r="Y14" s="71"/>
      <c r="Z14" s="71"/>
    </row>
    <row r="15">
      <c r="A15" s="74" t="s">
        <v>221</v>
      </c>
      <c r="B15" s="81">
        <f>C23</f>
        <v>0.3186528497</v>
      </c>
      <c r="C15" s="76"/>
      <c r="D15" s="77" t="s">
        <v>222</v>
      </c>
      <c r="E15" s="71"/>
      <c r="F15" s="71"/>
      <c r="G15" s="71"/>
      <c r="H15" s="71"/>
      <c r="I15" s="71"/>
      <c r="J15" s="71"/>
      <c r="K15" s="71"/>
      <c r="L15" s="71"/>
      <c r="M15" s="71"/>
      <c r="N15" s="71"/>
      <c r="O15" s="71"/>
      <c r="P15" s="71"/>
      <c r="Q15" s="71"/>
      <c r="R15" s="71"/>
      <c r="S15" s="71"/>
      <c r="T15" s="71"/>
      <c r="U15" s="71"/>
      <c r="V15" s="71"/>
      <c r="W15" s="71"/>
      <c r="X15" s="71"/>
      <c r="Y15" s="71"/>
      <c r="Z15" s="71"/>
    </row>
    <row r="16">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c r="A18" s="72" t="s">
        <v>223</v>
      </c>
      <c r="B18" s="73"/>
      <c r="C18" s="73"/>
      <c r="D18" s="73"/>
      <c r="E18" s="71"/>
      <c r="F18" s="71"/>
      <c r="G18" s="71"/>
      <c r="H18" s="71"/>
      <c r="I18" s="71"/>
      <c r="J18" s="71"/>
      <c r="K18" s="71"/>
      <c r="L18" s="71"/>
      <c r="M18" s="71"/>
      <c r="N18" s="71"/>
      <c r="O18" s="71"/>
      <c r="P18" s="71"/>
      <c r="Q18" s="71"/>
      <c r="R18" s="71"/>
      <c r="S18" s="71"/>
      <c r="T18" s="71"/>
      <c r="U18" s="71"/>
      <c r="V18" s="71"/>
      <c r="W18" s="71"/>
      <c r="X18" s="71"/>
      <c r="Y18" s="71"/>
      <c r="Z18" s="71"/>
    </row>
    <row r="19">
      <c r="A19" s="82"/>
      <c r="B19" s="83" t="s">
        <v>224</v>
      </c>
      <c r="C19" s="83" t="s">
        <v>225</v>
      </c>
      <c r="D19" s="71"/>
      <c r="E19" s="71"/>
      <c r="F19" s="71"/>
      <c r="G19" s="71"/>
      <c r="H19" s="71"/>
      <c r="I19" s="71"/>
      <c r="J19" s="71"/>
      <c r="K19" s="71"/>
      <c r="L19" s="71"/>
      <c r="M19" s="71"/>
      <c r="N19" s="71"/>
      <c r="O19" s="71"/>
      <c r="P19" s="71"/>
      <c r="Q19" s="71"/>
      <c r="R19" s="71"/>
      <c r="S19" s="71"/>
      <c r="T19" s="71"/>
      <c r="U19" s="71"/>
      <c r="V19" s="71"/>
      <c r="W19" s="71"/>
      <c r="X19" s="71"/>
      <c r="Y19" s="71"/>
      <c r="Z19" s="71"/>
    </row>
    <row r="20">
      <c r="A20" s="74" t="s">
        <v>101</v>
      </c>
      <c r="B20" s="84">
        <f>SUMIFS(Input!I:I,Input!K:K,"Consulting",Input!A:A,"Now")</f>
        <v>17</v>
      </c>
      <c r="C20" s="81">
        <f>B20/B26</f>
        <v>0.04404145078</v>
      </c>
      <c r="D20" s="76"/>
      <c r="E20" s="76"/>
      <c r="F20" s="71"/>
      <c r="G20" s="71"/>
      <c r="H20" s="71"/>
      <c r="I20" s="71"/>
      <c r="J20" s="71"/>
      <c r="K20" s="71"/>
      <c r="L20" s="71"/>
      <c r="M20" s="71"/>
      <c r="N20" s="71"/>
      <c r="O20" s="71"/>
      <c r="P20" s="71"/>
      <c r="Q20" s="71"/>
      <c r="R20" s="71"/>
      <c r="S20" s="71"/>
      <c r="T20" s="71"/>
      <c r="U20" s="71"/>
      <c r="V20" s="71"/>
      <c r="W20" s="71"/>
      <c r="X20" s="71"/>
      <c r="Y20" s="71"/>
      <c r="Z20" s="71"/>
    </row>
    <row r="21">
      <c r="A21" s="74" t="s">
        <v>226</v>
      </c>
      <c r="B21" s="84">
        <f>SUMIFS(Input!I:I,Input!K:K,"Development",Input!A:A,"Now")</f>
        <v>0</v>
      </c>
      <c r="C21" s="81">
        <f>B21/B26</f>
        <v>0</v>
      </c>
      <c r="D21" s="76"/>
      <c r="E21" s="71"/>
      <c r="F21" s="71"/>
      <c r="G21" s="71"/>
      <c r="H21" s="71"/>
      <c r="I21" s="71"/>
      <c r="J21" s="71"/>
      <c r="K21" s="71"/>
      <c r="L21" s="71"/>
      <c r="M21" s="71"/>
      <c r="N21" s="71"/>
      <c r="O21" s="71"/>
      <c r="P21" s="71"/>
      <c r="Q21" s="71"/>
      <c r="R21" s="71"/>
      <c r="S21" s="71"/>
      <c r="T21" s="71"/>
      <c r="U21" s="71"/>
      <c r="V21" s="71"/>
      <c r="W21" s="71"/>
      <c r="X21" s="71"/>
      <c r="Y21" s="71"/>
      <c r="Z21" s="71"/>
    </row>
    <row r="22">
      <c r="A22" s="74" t="s">
        <v>227</v>
      </c>
      <c r="B22" s="84">
        <f>B4</f>
        <v>64</v>
      </c>
      <c r="C22" s="81">
        <f>B22/B26</f>
        <v>0.1658031088</v>
      </c>
      <c r="D22" s="76"/>
      <c r="E22" s="71"/>
      <c r="F22" s="71"/>
      <c r="G22" s="71"/>
      <c r="H22" s="71"/>
      <c r="I22" s="71"/>
      <c r="J22" s="71"/>
      <c r="K22" s="71"/>
      <c r="L22" s="71"/>
      <c r="M22" s="71"/>
      <c r="N22" s="71"/>
      <c r="O22" s="71"/>
      <c r="P22" s="71"/>
      <c r="Q22" s="71"/>
      <c r="R22" s="71"/>
      <c r="S22" s="71"/>
      <c r="T22" s="71"/>
      <c r="U22" s="71"/>
      <c r="V22" s="71"/>
      <c r="W22" s="71"/>
      <c r="X22" s="71"/>
      <c r="Y22" s="71"/>
      <c r="Z22" s="71"/>
    </row>
    <row r="23">
      <c r="A23" s="74" t="s">
        <v>37</v>
      </c>
      <c r="B23" s="84">
        <f>SUMIFS(Input!I:I,Input!K:K,"Solutions Engineering",Input!A:A,"Now")</f>
        <v>123</v>
      </c>
      <c r="C23" s="81">
        <f>B23/B26</f>
        <v>0.3186528497</v>
      </c>
      <c r="D23" s="76"/>
      <c r="E23" s="71"/>
      <c r="F23" s="71"/>
      <c r="G23" s="71"/>
      <c r="H23" s="71"/>
      <c r="I23" s="71"/>
      <c r="J23" s="71"/>
      <c r="K23" s="71"/>
      <c r="L23" s="71"/>
      <c r="M23" s="71"/>
      <c r="N23" s="71"/>
      <c r="O23" s="71"/>
      <c r="P23" s="71"/>
      <c r="Q23" s="71"/>
      <c r="R23" s="71"/>
      <c r="S23" s="71"/>
      <c r="T23" s="71"/>
      <c r="U23" s="71"/>
      <c r="V23" s="71"/>
      <c r="W23" s="71"/>
      <c r="X23" s="71"/>
      <c r="Y23" s="71"/>
      <c r="Z23" s="71"/>
    </row>
    <row r="24">
      <c r="A24" s="74" t="s">
        <v>21</v>
      </c>
      <c r="B24" s="84">
        <f>SUMIFS(Input!I:I,Input!K:K,"Strategy",Input!A:A,"Now")</f>
        <v>182</v>
      </c>
      <c r="C24" s="81">
        <f>B24/B26</f>
        <v>0.4715025907</v>
      </c>
      <c r="D24" s="76"/>
      <c r="E24" s="71"/>
      <c r="F24" s="71"/>
      <c r="G24" s="71"/>
      <c r="H24" s="71"/>
      <c r="I24" s="71"/>
      <c r="J24" s="71"/>
      <c r="K24" s="71"/>
      <c r="L24" s="71"/>
      <c r="M24" s="71"/>
      <c r="N24" s="71"/>
      <c r="O24" s="71"/>
      <c r="P24" s="71"/>
      <c r="Q24" s="71"/>
      <c r="R24" s="71"/>
      <c r="S24" s="71"/>
      <c r="T24" s="71"/>
      <c r="U24" s="71"/>
      <c r="V24" s="71"/>
      <c r="W24" s="71"/>
      <c r="X24" s="71"/>
      <c r="Y24" s="71"/>
      <c r="Z24" s="71"/>
    </row>
    <row r="25">
      <c r="A25" s="71"/>
      <c r="B25" s="85"/>
      <c r="C25" s="86"/>
      <c r="D25" s="71"/>
      <c r="E25" s="71"/>
      <c r="F25" s="71"/>
      <c r="G25" s="71"/>
      <c r="H25" s="71"/>
      <c r="I25" s="71"/>
      <c r="J25" s="71"/>
      <c r="K25" s="71"/>
      <c r="L25" s="71"/>
      <c r="M25" s="71"/>
      <c r="N25" s="71"/>
      <c r="O25" s="71"/>
      <c r="P25" s="71"/>
      <c r="Q25" s="71"/>
      <c r="R25" s="71"/>
      <c r="S25" s="71"/>
      <c r="T25" s="71"/>
      <c r="U25" s="71"/>
      <c r="V25" s="71"/>
      <c r="W25" s="71"/>
      <c r="X25" s="71"/>
      <c r="Y25" s="71"/>
      <c r="Z25" s="71"/>
    </row>
    <row r="26">
      <c r="A26" s="74" t="s">
        <v>228</v>
      </c>
      <c r="B26" s="84">
        <f t="shared" ref="B26:C26" si="1">sum(B20:B24)</f>
        <v>386</v>
      </c>
      <c r="C26" s="81">
        <f t="shared" si="1"/>
        <v>1</v>
      </c>
      <c r="D26" s="76"/>
      <c r="E26" s="71"/>
      <c r="F26" s="71"/>
      <c r="G26" s="71"/>
      <c r="H26" s="71"/>
      <c r="I26" s="71"/>
      <c r="J26" s="71"/>
      <c r="K26" s="71"/>
      <c r="L26" s="71"/>
      <c r="M26" s="71"/>
      <c r="N26" s="71"/>
      <c r="O26" s="71"/>
      <c r="P26" s="71"/>
      <c r="Q26" s="71"/>
      <c r="R26" s="71"/>
      <c r="S26" s="71"/>
      <c r="T26" s="71"/>
      <c r="U26" s="71"/>
      <c r="V26" s="71"/>
      <c r="W26" s="71"/>
      <c r="X26" s="71"/>
      <c r="Y26" s="71"/>
      <c r="Z26" s="71"/>
    </row>
    <row r="27">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c r="A29" s="72" t="s">
        <v>229</v>
      </c>
      <c r="B29" s="87" t="s">
        <v>230</v>
      </c>
      <c r="C29" s="88" t="s">
        <v>231</v>
      </c>
      <c r="D29" s="73"/>
      <c r="E29" s="71"/>
      <c r="F29" s="71"/>
      <c r="G29" s="71"/>
      <c r="H29" s="71"/>
      <c r="I29" s="71"/>
      <c r="J29" s="71"/>
      <c r="K29" s="71"/>
      <c r="L29" s="71"/>
      <c r="M29" s="71"/>
      <c r="N29" s="71"/>
      <c r="O29" s="71"/>
      <c r="P29" s="71"/>
      <c r="Q29" s="71"/>
      <c r="R29" s="71"/>
      <c r="S29" s="71"/>
      <c r="T29" s="71"/>
      <c r="U29" s="71"/>
      <c r="V29" s="71"/>
      <c r="W29" s="71"/>
      <c r="X29" s="71"/>
      <c r="Y29" s="71"/>
      <c r="Z29" s="71"/>
    </row>
    <row r="30">
      <c r="A30" s="74" t="s">
        <v>232</v>
      </c>
      <c r="B30" s="89">
        <f>SUMIF(Input!A:A,"Now",Input!G:G)</f>
        <v>268</v>
      </c>
      <c r="C30" s="89">
        <f>SUMIF(Input!A:A,"Now",Input!H:H)</f>
        <v>359</v>
      </c>
      <c r="D30" s="76"/>
      <c r="E30" s="71"/>
      <c r="F30" s="71"/>
      <c r="G30" s="71"/>
      <c r="H30" s="71"/>
      <c r="I30" s="71"/>
      <c r="J30" s="71"/>
      <c r="K30" s="71"/>
      <c r="L30" s="71"/>
      <c r="M30" s="71"/>
      <c r="N30" s="71"/>
      <c r="O30" s="71"/>
      <c r="P30" s="71"/>
      <c r="Q30" s="71"/>
      <c r="R30" s="71"/>
      <c r="S30" s="71"/>
      <c r="T30" s="71"/>
      <c r="U30" s="71"/>
      <c r="V30" s="71"/>
      <c r="W30" s="71"/>
      <c r="X30" s="71"/>
      <c r="Y30" s="71"/>
      <c r="Z30" s="71"/>
    </row>
    <row r="31">
      <c r="A31" s="74" t="s">
        <v>233</v>
      </c>
      <c r="B31" s="90">
        <f>round(B30*Config!B18,0)</f>
        <v>54</v>
      </c>
      <c r="C31" s="90">
        <f>round(C30*Config!B18,0)</f>
        <v>72</v>
      </c>
      <c r="D31" s="71"/>
      <c r="E31" s="71"/>
      <c r="F31" s="71"/>
      <c r="G31" s="71"/>
      <c r="H31" s="71"/>
      <c r="I31" s="71"/>
      <c r="J31" s="71"/>
      <c r="K31" s="71"/>
      <c r="L31" s="71"/>
      <c r="M31" s="71"/>
      <c r="N31" s="71"/>
      <c r="O31" s="71"/>
      <c r="P31" s="71"/>
      <c r="Q31" s="71"/>
      <c r="R31" s="71"/>
      <c r="S31" s="71"/>
      <c r="T31" s="71"/>
      <c r="U31" s="71"/>
      <c r="V31" s="71"/>
      <c r="W31" s="71"/>
      <c r="X31" s="71"/>
      <c r="Y31" s="71"/>
      <c r="Z31" s="71"/>
    </row>
    <row r="32">
      <c r="A32" s="74" t="s">
        <v>234</v>
      </c>
      <c r="B32" s="89">
        <f>B6</f>
        <v>0</v>
      </c>
      <c r="C32" s="89">
        <f>B6</f>
        <v>0</v>
      </c>
      <c r="D32" s="71"/>
      <c r="E32" s="71"/>
      <c r="F32" s="71"/>
      <c r="G32" s="71"/>
      <c r="H32" s="71"/>
      <c r="I32" s="71"/>
      <c r="J32" s="71"/>
      <c r="K32" s="71"/>
      <c r="L32" s="71"/>
      <c r="M32" s="71"/>
      <c r="N32" s="71"/>
      <c r="O32" s="71"/>
      <c r="P32" s="71"/>
      <c r="Q32" s="71"/>
      <c r="R32" s="71"/>
      <c r="S32" s="71"/>
      <c r="T32" s="71"/>
      <c r="U32" s="71"/>
      <c r="V32" s="71"/>
      <c r="W32" s="71"/>
      <c r="X32" s="71"/>
      <c r="Y32" s="71"/>
      <c r="Z32" s="71"/>
    </row>
    <row r="33">
      <c r="A33" s="74" t="s">
        <v>235</v>
      </c>
      <c r="B33" s="89">
        <f t="shared" ref="B33:C33" si="2">SUM(B30:B32)</f>
        <v>322</v>
      </c>
      <c r="C33" s="75">
        <f t="shared" si="2"/>
        <v>431</v>
      </c>
      <c r="D33" s="76"/>
      <c r="E33" s="71"/>
      <c r="F33" s="71"/>
      <c r="G33" s="71"/>
      <c r="H33" s="71"/>
      <c r="I33" s="71"/>
      <c r="J33" s="71"/>
      <c r="K33" s="71"/>
      <c r="L33" s="71"/>
      <c r="M33" s="71"/>
      <c r="N33" s="71"/>
      <c r="O33" s="71"/>
      <c r="P33" s="71"/>
      <c r="Q33" s="71"/>
      <c r="R33" s="71"/>
      <c r="S33" s="71"/>
      <c r="T33" s="71"/>
      <c r="U33" s="71"/>
      <c r="V33" s="71"/>
      <c r="W33" s="71"/>
      <c r="X33" s="71"/>
      <c r="Y33" s="71"/>
      <c r="Z33" s="71"/>
    </row>
    <row r="34">
      <c r="A34" s="74" t="s">
        <v>236</v>
      </c>
      <c r="B34" s="91">
        <f>(sum(B30:B31)*Config!B17)+(B32*Config!B24)</f>
        <v>104650</v>
      </c>
      <c r="C34" s="91">
        <f>(sum(C30:C31)*Config!B17)+(C32*Config!B24)</f>
        <v>140075</v>
      </c>
      <c r="D34" s="71"/>
      <c r="E34" s="92"/>
      <c r="F34" s="71"/>
      <c r="G34" s="71"/>
      <c r="H34" s="71"/>
      <c r="I34" s="71"/>
      <c r="J34" s="71"/>
      <c r="K34" s="71"/>
      <c r="L34" s="71"/>
      <c r="M34" s="71"/>
      <c r="N34" s="71"/>
      <c r="O34" s="71"/>
      <c r="P34" s="71"/>
      <c r="Q34" s="71"/>
      <c r="R34" s="71"/>
      <c r="S34" s="71"/>
      <c r="T34" s="71"/>
      <c r="U34" s="71"/>
      <c r="V34" s="71"/>
      <c r="W34" s="71"/>
      <c r="X34" s="71"/>
      <c r="Y34" s="71"/>
      <c r="Z34" s="71"/>
    </row>
    <row r="35">
      <c r="A35" s="71"/>
      <c r="B35" s="93"/>
      <c r="C35" s="93"/>
      <c r="D35" s="71"/>
      <c r="E35" s="92"/>
      <c r="F35" s="71"/>
      <c r="G35" s="71"/>
      <c r="H35" s="71"/>
      <c r="I35" s="71"/>
      <c r="J35" s="71"/>
      <c r="K35" s="71"/>
      <c r="L35" s="71"/>
      <c r="M35" s="71"/>
      <c r="N35" s="71"/>
      <c r="O35" s="71"/>
      <c r="P35" s="71"/>
      <c r="Q35" s="71"/>
      <c r="R35" s="71"/>
      <c r="S35" s="71"/>
      <c r="T35" s="71"/>
      <c r="U35" s="71"/>
      <c r="V35" s="71"/>
      <c r="W35" s="71"/>
      <c r="X35" s="71"/>
      <c r="Y35" s="71"/>
      <c r="Z35" s="71"/>
    </row>
    <row r="36">
      <c r="A36" s="72" t="s">
        <v>237</v>
      </c>
      <c r="B36" s="73"/>
      <c r="C36" s="73"/>
      <c r="D36" s="73"/>
      <c r="E36" s="71"/>
      <c r="F36" s="71"/>
      <c r="G36" s="71"/>
      <c r="H36" s="71"/>
      <c r="I36" s="71"/>
      <c r="J36" s="71"/>
      <c r="K36" s="71"/>
      <c r="L36" s="71"/>
      <c r="M36" s="71"/>
      <c r="N36" s="71"/>
      <c r="O36" s="71"/>
      <c r="P36" s="71"/>
      <c r="Q36" s="71"/>
      <c r="R36" s="71"/>
      <c r="S36" s="71"/>
      <c r="T36" s="71"/>
      <c r="U36" s="71"/>
      <c r="V36" s="71"/>
      <c r="W36" s="71"/>
      <c r="X36" s="71"/>
      <c r="Y36" s="71"/>
      <c r="Z36" s="71"/>
    </row>
    <row r="37">
      <c r="A37" s="94" t="str">
        <f>IFERROR(__xludf.DUMMYFUNCTION("VSTACK(
  QUERY(Input!A:I,""SELECT B, SUM(I), SUM(I)*""&amp;Config!B17&amp;"" WHERE B IS NOT NULL AND A = 'Now' GROUP BY B LABEL B 'Workstream', SUM(I) 'Total Hours', SUM(I)*""&amp;Config!B17&amp;"" 'Total Investment'"",1),
  {""Project Management"", ROUND(SUMPRODUCT(QUE"&amp;"RY(Input!A:I,""SELECT SUM(I) WHERE B IS NOT NULL AND A = 'Now' GROUP BY B LABEL SUM(I) ''"",0))*Config!B18,0), ROUND(SUMPRODUCT(QUERY(Input!A:I,""SELECT SUM(I) WHERE B IS NOT NULL AND A = 'Now' GROUP BY B LABEL SUM(I) ''"",0))*Config!B18,0)*Config!B17},
 "&amp;" {""Post-Launch Support"", Config!B25*Config!B26, Config!B25*Config!B26*Config!B24}
)"),"Workstream")</f>
        <v>Workstream</v>
      </c>
      <c r="B37" s="95" t="str">
        <f>IFERROR(__xludf.DUMMYFUNCTION("""COMPUTED_VALUE"""),"Total Hours")</f>
        <v>Total Hours</v>
      </c>
      <c r="C37" s="96" t="str">
        <f>IFERROR(__xludf.DUMMYFUNCTION("""COMPUTED_VALUE"""),"Total Investment")</f>
        <v>Total Investment</v>
      </c>
      <c r="D37" s="76"/>
      <c r="E37" s="71"/>
      <c r="F37" s="71"/>
      <c r="G37" s="71"/>
      <c r="H37" s="71"/>
      <c r="I37" s="71"/>
      <c r="J37" s="71"/>
      <c r="K37" s="71"/>
      <c r="L37" s="71"/>
      <c r="M37" s="71"/>
      <c r="N37" s="71"/>
      <c r="O37" s="71"/>
      <c r="P37" s="71"/>
      <c r="Q37" s="71"/>
      <c r="R37" s="71"/>
      <c r="S37" s="71"/>
      <c r="T37" s="71"/>
      <c r="U37" s="71"/>
      <c r="V37" s="71"/>
      <c r="W37" s="71"/>
      <c r="X37" s="71"/>
      <c r="Y37" s="71"/>
      <c r="Z37" s="71"/>
    </row>
    <row r="38">
      <c r="A38" s="71" t="str">
        <f>IFERROR(__xludf.DUMMYFUNCTION("""COMPUTED_VALUE"""),"Discovery")</f>
        <v>Discovery</v>
      </c>
      <c r="B38" s="75">
        <f>IFERROR(__xludf.DUMMYFUNCTION("""COMPUTED_VALUE"""),55.0)</f>
        <v>55</v>
      </c>
      <c r="C38" s="97">
        <f>IFERROR(__xludf.DUMMYFUNCTION("""COMPUTED_VALUE"""),17875.0)</f>
        <v>17875</v>
      </c>
      <c r="D38" s="71"/>
      <c r="E38" s="71"/>
      <c r="F38" s="71"/>
      <c r="G38" s="71"/>
      <c r="H38" s="71"/>
      <c r="I38" s="71"/>
      <c r="J38" s="71"/>
      <c r="K38" s="71"/>
      <c r="L38" s="71"/>
      <c r="M38" s="71"/>
      <c r="N38" s="71"/>
      <c r="O38" s="71"/>
      <c r="P38" s="71"/>
      <c r="Q38" s="71"/>
      <c r="R38" s="71"/>
      <c r="S38" s="71"/>
      <c r="T38" s="71"/>
      <c r="U38" s="71"/>
      <c r="V38" s="71"/>
      <c r="W38" s="71"/>
      <c r="X38" s="71"/>
      <c r="Y38" s="71"/>
      <c r="Z38" s="71"/>
    </row>
    <row r="39">
      <c r="A39" s="71" t="str">
        <f>IFERROR(__xludf.DUMMYFUNCTION("""COMPUTED_VALUE"""),"Mobilization")</f>
        <v>Mobilization</v>
      </c>
      <c r="B39" s="75">
        <f>IFERROR(__xludf.DUMMYFUNCTION("""COMPUTED_VALUE"""),9.0)</f>
        <v>9</v>
      </c>
      <c r="C39" s="97">
        <f>IFERROR(__xludf.DUMMYFUNCTION("""COMPUTED_VALUE"""),2925.0)</f>
        <v>2925</v>
      </c>
      <c r="D39" s="71"/>
      <c r="E39" s="71"/>
      <c r="F39" s="71"/>
      <c r="G39" s="71"/>
      <c r="H39" s="71"/>
      <c r="I39" s="71"/>
      <c r="J39" s="71"/>
      <c r="K39" s="71"/>
      <c r="L39" s="71"/>
      <c r="M39" s="71"/>
      <c r="N39" s="71"/>
      <c r="O39" s="71"/>
      <c r="P39" s="71"/>
      <c r="Q39" s="71"/>
      <c r="R39" s="71"/>
      <c r="S39" s="71"/>
      <c r="T39" s="71"/>
      <c r="U39" s="71"/>
      <c r="V39" s="71"/>
      <c r="W39" s="71"/>
      <c r="X39" s="71"/>
      <c r="Y39" s="71"/>
      <c r="Z39" s="71"/>
    </row>
    <row r="40">
      <c r="A40" s="71" t="str">
        <f>IFERROR(__xludf.DUMMYFUNCTION("""COMPUTED_VALUE"""),"Presentation")</f>
        <v>Presentation</v>
      </c>
      <c r="B40" s="75">
        <f>IFERROR(__xludf.DUMMYFUNCTION("""COMPUTED_VALUE"""),18.0)</f>
        <v>18</v>
      </c>
      <c r="C40" s="97">
        <f>IFERROR(__xludf.DUMMYFUNCTION("""COMPUTED_VALUE"""),5850.0)</f>
        <v>5850</v>
      </c>
      <c r="D40" s="71"/>
      <c r="E40" s="71"/>
      <c r="F40" s="71"/>
      <c r="G40" s="71"/>
      <c r="H40" s="71"/>
      <c r="I40" s="71"/>
      <c r="J40" s="71"/>
      <c r="K40" s="71"/>
      <c r="L40" s="71"/>
      <c r="M40" s="71"/>
      <c r="N40" s="71"/>
      <c r="O40" s="71"/>
      <c r="P40" s="71"/>
      <c r="Q40" s="71"/>
      <c r="R40" s="71"/>
      <c r="S40" s="71"/>
      <c r="T40" s="71"/>
      <c r="U40" s="71"/>
      <c r="V40" s="71"/>
      <c r="W40" s="71"/>
      <c r="X40" s="71"/>
      <c r="Y40" s="71"/>
      <c r="Z40" s="71"/>
    </row>
    <row r="41">
      <c r="A41" s="71" t="str">
        <f>IFERROR(__xludf.DUMMYFUNCTION("""COMPUTED_VALUE"""),"Project Planning")</f>
        <v>Project Planning</v>
      </c>
      <c r="B41" s="75">
        <f>IFERROR(__xludf.DUMMYFUNCTION("""COMPUTED_VALUE"""),22.0)</f>
        <v>22</v>
      </c>
      <c r="C41" s="97">
        <f>IFERROR(__xludf.DUMMYFUNCTION("""COMPUTED_VALUE"""),7150.0)</f>
        <v>7150</v>
      </c>
      <c r="D41" s="71"/>
      <c r="E41" s="71"/>
      <c r="F41" s="71"/>
      <c r="G41" s="71"/>
      <c r="H41" s="71"/>
      <c r="I41" s="71"/>
      <c r="J41" s="71"/>
      <c r="K41" s="71"/>
      <c r="L41" s="71"/>
      <c r="M41" s="71"/>
      <c r="N41" s="71"/>
      <c r="O41" s="71"/>
      <c r="P41" s="71"/>
      <c r="Q41" s="71"/>
      <c r="R41" s="71"/>
      <c r="S41" s="71"/>
      <c r="T41" s="71"/>
      <c r="U41" s="71"/>
      <c r="V41" s="71"/>
      <c r="W41" s="71"/>
      <c r="X41" s="71"/>
      <c r="Y41" s="71"/>
      <c r="Z41" s="71"/>
    </row>
    <row r="42">
      <c r="A42" s="71" t="str">
        <f>IFERROR(__xludf.DUMMYFUNCTION("""COMPUTED_VALUE"""),"Solution Design")</f>
        <v>Solution Design</v>
      </c>
      <c r="B42" s="75">
        <f>IFERROR(__xludf.DUMMYFUNCTION("""COMPUTED_VALUE"""),142.0)</f>
        <v>142</v>
      </c>
      <c r="C42" s="97">
        <f>IFERROR(__xludf.DUMMYFUNCTION("""COMPUTED_VALUE"""),46150.0)</f>
        <v>46150</v>
      </c>
      <c r="D42" s="71"/>
      <c r="E42" s="71"/>
      <c r="F42" s="71"/>
      <c r="G42" s="71"/>
      <c r="H42" s="71"/>
      <c r="I42" s="71"/>
      <c r="J42" s="71"/>
      <c r="K42" s="71"/>
      <c r="L42" s="71"/>
      <c r="M42" s="71"/>
      <c r="N42" s="71"/>
      <c r="O42" s="71"/>
      <c r="P42" s="71"/>
      <c r="Q42" s="71"/>
      <c r="R42" s="71"/>
      <c r="S42" s="71"/>
      <c r="T42" s="71"/>
      <c r="U42" s="71"/>
      <c r="V42" s="71"/>
      <c r="W42" s="71"/>
      <c r="X42" s="71"/>
      <c r="Y42" s="71"/>
      <c r="Z42" s="71"/>
    </row>
    <row r="43">
      <c r="A43" s="71" t="str">
        <f>IFERROR(__xludf.DUMMYFUNCTION("""COMPUTED_VALUE"""),"User Stories Creation")</f>
        <v>User Stories Creation</v>
      </c>
      <c r="B43" s="75">
        <f>IFERROR(__xludf.DUMMYFUNCTION("""COMPUTED_VALUE"""),30.0)</f>
        <v>30</v>
      </c>
      <c r="C43" s="97">
        <f>IFERROR(__xludf.DUMMYFUNCTION("""COMPUTED_VALUE"""),9750.0)</f>
        <v>9750</v>
      </c>
      <c r="D43" s="71"/>
      <c r="E43" s="71"/>
      <c r="F43" s="71"/>
      <c r="G43" s="71"/>
      <c r="H43" s="71"/>
      <c r="I43" s="71"/>
      <c r="J43" s="71"/>
      <c r="K43" s="71"/>
      <c r="L43" s="71"/>
      <c r="M43" s="71"/>
      <c r="N43" s="71"/>
      <c r="O43" s="71"/>
      <c r="P43" s="71"/>
      <c r="Q43" s="71"/>
      <c r="R43" s="71"/>
      <c r="S43" s="71"/>
      <c r="T43" s="71"/>
      <c r="U43" s="71"/>
      <c r="V43" s="71"/>
      <c r="W43" s="71"/>
      <c r="X43" s="71"/>
      <c r="Y43" s="71"/>
      <c r="Z43" s="71"/>
    </row>
    <row r="44">
      <c r="A44" s="71" t="str">
        <f>IFERROR(__xludf.DUMMYFUNCTION("""COMPUTED_VALUE"""),"Workshops")</f>
        <v>Workshops</v>
      </c>
      <c r="B44" s="75">
        <f>IFERROR(__xludf.DUMMYFUNCTION("""COMPUTED_VALUE"""),46.0)</f>
        <v>46</v>
      </c>
      <c r="C44" s="97">
        <f>IFERROR(__xludf.DUMMYFUNCTION("""COMPUTED_VALUE"""),14950.0)</f>
        <v>14950</v>
      </c>
      <c r="D44" s="71"/>
      <c r="E44" s="71"/>
      <c r="F44" s="71"/>
      <c r="G44" s="71"/>
      <c r="H44" s="71"/>
      <c r="I44" s="71"/>
      <c r="J44" s="71"/>
      <c r="K44" s="71"/>
      <c r="L44" s="71"/>
      <c r="M44" s="71"/>
      <c r="N44" s="71"/>
      <c r="O44" s="71"/>
      <c r="P44" s="71"/>
      <c r="Q44" s="71"/>
      <c r="R44" s="71"/>
      <c r="S44" s="71"/>
      <c r="T44" s="71"/>
      <c r="U44" s="71"/>
      <c r="V44" s="71"/>
      <c r="W44" s="71"/>
      <c r="X44" s="71"/>
      <c r="Y44" s="71"/>
      <c r="Z44" s="71"/>
    </row>
    <row r="45">
      <c r="A45" s="71" t="str">
        <f>IFERROR(__xludf.DUMMYFUNCTION("""COMPUTED_VALUE"""),"Project Management")</f>
        <v>Project Management</v>
      </c>
      <c r="B45" s="75">
        <f>IFERROR(__xludf.DUMMYFUNCTION("""COMPUTED_VALUE"""),64.0)</f>
        <v>64</v>
      </c>
      <c r="C45" s="97">
        <f>IFERROR(__xludf.DUMMYFUNCTION("""COMPUTED_VALUE"""),20800.0)</f>
        <v>20800</v>
      </c>
      <c r="D45" s="71"/>
      <c r="E45" s="71"/>
      <c r="F45" s="71"/>
      <c r="G45" s="71"/>
      <c r="H45" s="71"/>
      <c r="I45" s="71"/>
      <c r="J45" s="71"/>
      <c r="K45" s="71"/>
      <c r="L45" s="71"/>
      <c r="M45" s="71"/>
      <c r="N45" s="71"/>
      <c r="O45" s="71"/>
      <c r="P45" s="71"/>
      <c r="Q45" s="71"/>
      <c r="R45" s="71"/>
      <c r="S45" s="71"/>
      <c r="T45" s="71"/>
      <c r="U45" s="71"/>
      <c r="V45" s="71"/>
      <c r="W45" s="71"/>
      <c r="X45" s="71"/>
      <c r="Y45" s="71"/>
      <c r="Z45" s="71"/>
    </row>
    <row r="46">
      <c r="A46" s="71" t="str">
        <f>IFERROR(__xludf.DUMMYFUNCTION("""COMPUTED_VALUE"""),"Post-Launch Support")</f>
        <v>Post-Launch Support</v>
      </c>
      <c r="B46" s="75">
        <f>IFERROR(__xludf.DUMMYFUNCTION("""COMPUTED_VALUE"""),0.0)</f>
        <v>0</v>
      </c>
      <c r="C46" s="97">
        <f>IFERROR(__xludf.DUMMYFUNCTION("""COMPUTED_VALUE"""),0.0)</f>
        <v>0</v>
      </c>
      <c r="D46" s="71"/>
      <c r="E46" s="71"/>
      <c r="F46" s="71"/>
      <c r="G46" s="71"/>
      <c r="H46" s="71"/>
      <c r="I46" s="71"/>
      <c r="J46" s="71"/>
      <c r="K46" s="71"/>
      <c r="L46" s="71"/>
      <c r="M46" s="71"/>
      <c r="N46" s="71"/>
      <c r="O46" s="71"/>
      <c r="P46" s="71"/>
      <c r="Q46" s="71"/>
      <c r="R46" s="71"/>
      <c r="S46" s="71"/>
      <c r="T46" s="71"/>
      <c r="U46" s="71"/>
      <c r="V46" s="71"/>
      <c r="W46" s="71"/>
      <c r="X46" s="71"/>
      <c r="Y46" s="71"/>
      <c r="Z46" s="71"/>
    </row>
    <row r="47">
      <c r="A47" s="71"/>
      <c r="B47" s="75"/>
      <c r="C47" s="97"/>
      <c r="D47" s="71"/>
      <c r="E47" s="71"/>
      <c r="F47" s="71"/>
      <c r="G47" s="71"/>
      <c r="H47" s="71"/>
      <c r="I47" s="71"/>
      <c r="J47" s="71"/>
      <c r="K47" s="71"/>
      <c r="L47" s="71"/>
      <c r="M47" s="71"/>
      <c r="N47" s="71"/>
      <c r="O47" s="71"/>
      <c r="P47" s="71"/>
      <c r="Q47" s="71"/>
      <c r="R47" s="71"/>
      <c r="S47" s="71"/>
      <c r="T47" s="71"/>
      <c r="U47" s="71"/>
      <c r="V47" s="71"/>
      <c r="W47" s="71"/>
      <c r="X47" s="71"/>
      <c r="Y47" s="71"/>
      <c r="Z47" s="71"/>
    </row>
    <row r="48">
      <c r="A48" s="71"/>
      <c r="B48" s="75"/>
      <c r="C48" s="97"/>
      <c r="D48" s="71"/>
      <c r="E48" s="71"/>
      <c r="F48" s="71"/>
      <c r="G48" s="71"/>
      <c r="H48" s="71"/>
      <c r="I48" s="71"/>
      <c r="J48" s="71"/>
      <c r="K48" s="71"/>
      <c r="L48" s="71"/>
      <c r="M48" s="71"/>
      <c r="N48" s="71"/>
      <c r="O48" s="71"/>
      <c r="P48" s="71"/>
      <c r="Q48" s="71"/>
      <c r="R48" s="71"/>
      <c r="S48" s="71"/>
      <c r="T48" s="71"/>
      <c r="U48" s="71"/>
      <c r="V48" s="71"/>
      <c r="W48" s="71"/>
      <c r="X48" s="71"/>
      <c r="Y48" s="71"/>
      <c r="Z48" s="71"/>
    </row>
    <row r="49">
      <c r="A49" s="71"/>
      <c r="B49" s="71"/>
      <c r="C49" s="98"/>
      <c r="D49" s="71"/>
      <c r="E49" s="71"/>
      <c r="F49" s="71"/>
      <c r="G49" s="71"/>
      <c r="H49" s="71"/>
      <c r="I49" s="71"/>
      <c r="J49" s="71"/>
      <c r="K49" s="71"/>
      <c r="L49" s="71"/>
      <c r="M49" s="71"/>
      <c r="N49" s="71"/>
      <c r="O49" s="71"/>
      <c r="P49" s="71"/>
      <c r="Q49" s="71"/>
      <c r="R49" s="71"/>
      <c r="S49" s="71"/>
      <c r="T49" s="71"/>
      <c r="U49" s="71"/>
      <c r="V49" s="71"/>
      <c r="W49" s="71"/>
      <c r="X49" s="71"/>
      <c r="Y49" s="71"/>
      <c r="Z49" s="71"/>
    </row>
    <row r="50">
      <c r="A50" s="71"/>
      <c r="B50" s="71"/>
      <c r="C50" s="98"/>
      <c r="D50" s="71"/>
      <c r="E50" s="71"/>
      <c r="F50" s="71"/>
      <c r="G50" s="71"/>
      <c r="H50" s="71"/>
      <c r="I50" s="71"/>
      <c r="J50" s="71"/>
      <c r="K50" s="71"/>
      <c r="L50" s="71"/>
      <c r="M50" s="71"/>
      <c r="N50" s="71"/>
      <c r="O50" s="71"/>
      <c r="P50" s="71"/>
      <c r="Q50" s="71"/>
      <c r="R50" s="71"/>
      <c r="S50" s="71"/>
      <c r="T50" s="71"/>
      <c r="U50" s="71"/>
      <c r="V50" s="71"/>
      <c r="W50" s="71"/>
      <c r="X50" s="71"/>
      <c r="Y50" s="71"/>
      <c r="Z50" s="71"/>
    </row>
    <row r="51">
      <c r="A51" s="71"/>
      <c r="B51" s="71"/>
      <c r="C51" s="98"/>
      <c r="D51" s="71"/>
      <c r="E51" s="71"/>
      <c r="F51" s="71"/>
      <c r="G51" s="71"/>
      <c r="H51" s="71"/>
      <c r="I51" s="71"/>
      <c r="J51" s="71"/>
      <c r="K51" s="71"/>
      <c r="L51" s="71"/>
      <c r="M51" s="71"/>
      <c r="N51" s="71"/>
      <c r="O51" s="71"/>
      <c r="P51" s="71"/>
      <c r="Q51" s="71"/>
      <c r="R51" s="71"/>
      <c r="S51" s="71"/>
      <c r="T51" s="71"/>
      <c r="U51" s="71"/>
      <c r="V51" s="71"/>
      <c r="W51" s="71"/>
      <c r="X51" s="71"/>
      <c r="Y51" s="71"/>
      <c r="Z51" s="71"/>
    </row>
    <row r="52">
      <c r="A52" s="71"/>
      <c r="B52" s="71"/>
      <c r="C52" s="98"/>
      <c r="D52" s="71"/>
      <c r="E52" s="71"/>
      <c r="F52" s="71"/>
      <c r="G52" s="71"/>
      <c r="H52" s="71"/>
      <c r="I52" s="71"/>
      <c r="J52" s="71"/>
      <c r="K52" s="71"/>
      <c r="L52" s="71"/>
      <c r="M52" s="71"/>
      <c r="N52" s="71"/>
      <c r="O52" s="71"/>
      <c r="P52" s="71"/>
      <c r="Q52" s="71"/>
      <c r="R52" s="71"/>
      <c r="S52" s="71"/>
      <c r="T52" s="71"/>
      <c r="U52" s="71"/>
      <c r="V52" s="71"/>
      <c r="W52" s="71"/>
      <c r="X52" s="71"/>
      <c r="Y52" s="71"/>
      <c r="Z52" s="71"/>
    </row>
    <row r="53">
      <c r="A53" s="71"/>
      <c r="B53" s="71"/>
      <c r="C53" s="98"/>
      <c r="D53" s="71"/>
      <c r="E53" s="71"/>
      <c r="F53" s="71"/>
      <c r="G53" s="71"/>
      <c r="H53" s="71"/>
      <c r="I53" s="71"/>
      <c r="J53" s="71"/>
      <c r="K53" s="71"/>
      <c r="L53" s="71"/>
      <c r="M53" s="71"/>
      <c r="N53" s="71"/>
      <c r="O53" s="71"/>
      <c r="P53" s="71"/>
      <c r="Q53" s="71"/>
      <c r="R53" s="71"/>
      <c r="S53" s="71"/>
      <c r="T53" s="71"/>
      <c r="U53" s="71"/>
      <c r="V53" s="71"/>
      <c r="W53" s="71"/>
      <c r="X53" s="71"/>
      <c r="Y53" s="71"/>
      <c r="Z53" s="71"/>
    </row>
    <row r="54">
      <c r="A54" s="71"/>
      <c r="B54" s="71"/>
      <c r="C54" s="98"/>
      <c r="D54" s="71"/>
      <c r="E54" s="71"/>
      <c r="F54" s="71"/>
      <c r="G54" s="71"/>
      <c r="H54" s="71"/>
      <c r="I54" s="71"/>
      <c r="J54" s="71"/>
      <c r="K54" s="71"/>
      <c r="L54" s="71"/>
      <c r="M54" s="71"/>
      <c r="N54" s="71"/>
      <c r="O54" s="71"/>
      <c r="P54" s="71"/>
      <c r="Q54" s="71"/>
      <c r="R54" s="71"/>
      <c r="S54" s="71"/>
      <c r="T54" s="71"/>
      <c r="U54" s="71"/>
      <c r="V54" s="71"/>
      <c r="W54" s="71"/>
      <c r="X54" s="71"/>
      <c r="Y54" s="71"/>
      <c r="Z54" s="71"/>
    </row>
    <row r="55">
      <c r="A55" s="71"/>
      <c r="B55" s="71"/>
      <c r="C55" s="98"/>
      <c r="D55" s="71"/>
      <c r="E55" s="71"/>
      <c r="F55" s="71"/>
      <c r="G55" s="71"/>
      <c r="H55" s="71"/>
      <c r="I55" s="71"/>
      <c r="J55" s="71"/>
      <c r="K55" s="71"/>
      <c r="L55" s="71"/>
      <c r="M55" s="71"/>
      <c r="N55" s="71"/>
      <c r="O55" s="71"/>
      <c r="P55" s="71"/>
      <c r="Q55" s="71"/>
      <c r="R55" s="71"/>
      <c r="S55" s="71"/>
      <c r="T55" s="71"/>
      <c r="U55" s="71"/>
      <c r="V55" s="71"/>
      <c r="W55" s="71"/>
      <c r="X55" s="71"/>
      <c r="Y55" s="71"/>
      <c r="Z55" s="71"/>
    </row>
    <row r="56">
      <c r="A56" s="71"/>
      <c r="B56" s="71"/>
      <c r="C56" s="98"/>
      <c r="D56" s="71"/>
      <c r="E56" s="71"/>
      <c r="F56" s="71"/>
      <c r="G56" s="71"/>
      <c r="H56" s="71"/>
      <c r="I56" s="71"/>
      <c r="J56" s="71"/>
      <c r="K56" s="71"/>
      <c r="L56" s="71"/>
      <c r="M56" s="71"/>
      <c r="N56" s="71"/>
      <c r="O56" s="71"/>
      <c r="P56" s="71"/>
      <c r="Q56" s="71"/>
      <c r="R56" s="71"/>
      <c r="S56" s="71"/>
      <c r="T56" s="71"/>
      <c r="U56" s="71"/>
      <c r="V56" s="71"/>
      <c r="W56" s="71"/>
      <c r="X56" s="71"/>
      <c r="Y56" s="71"/>
      <c r="Z56" s="71"/>
    </row>
    <row r="57">
      <c r="A57" s="71"/>
      <c r="B57" s="71"/>
      <c r="C57" s="98"/>
      <c r="D57" s="71"/>
      <c r="E57" s="71"/>
      <c r="F57" s="71"/>
      <c r="G57" s="71"/>
      <c r="H57" s="71"/>
      <c r="I57" s="71"/>
      <c r="J57" s="71"/>
      <c r="K57" s="71"/>
      <c r="L57" s="71"/>
      <c r="M57" s="71"/>
      <c r="N57" s="71"/>
      <c r="O57" s="71"/>
      <c r="P57" s="71"/>
      <c r="Q57" s="71"/>
      <c r="R57" s="71"/>
      <c r="S57" s="71"/>
      <c r="T57" s="71"/>
      <c r="U57" s="71"/>
      <c r="V57" s="71"/>
      <c r="W57" s="71"/>
      <c r="X57" s="71"/>
      <c r="Y57" s="71"/>
      <c r="Z57" s="71"/>
    </row>
    <row r="58">
      <c r="A58" s="71"/>
      <c r="B58" s="71"/>
      <c r="C58" s="98"/>
      <c r="D58" s="71"/>
      <c r="E58" s="71"/>
      <c r="F58" s="71"/>
      <c r="G58" s="71"/>
      <c r="H58" s="71"/>
      <c r="I58" s="71"/>
      <c r="J58" s="71"/>
      <c r="K58" s="71"/>
      <c r="L58" s="71"/>
      <c r="M58" s="71"/>
      <c r="N58" s="71"/>
      <c r="O58" s="71"/>
      <c r="P58" s="71"/>
      <c r="Q58" s="71"/>
      <c r="R58" s="71"/>
      <c r="S58" s="71"/>
      <c r="T58" s="71"/>
      <c r="U58" s="71"/>
      <c r="V58" s="71"/>
      <c r="W58" s="71"/>
      <c r="X58" s="71"/>
      <c r="Y58" s="71"/>
      <c r="Z58" s="71"/>
    </row>
    <row r="59">
      <c r="A59" s="71"/>
      <c r="B59" s="71"/>
      <c r="C59" s="98"/>
      <c r="D59" s="71"/>
      <c r="E59" s="71"/>
      <c r="F59" s="71"/>
      <c r="G59" s="71"/>
      <c r="H59" s="71"/>
      <c r="I59" s="71"/>
      <c r="J59" s="71"/>
      <c r="K59" s="71"/>
      <c r="L59" s="71"/>
      <c r="M59" s="71"/>
      <c r="N59" s="71"/>
      <c r="O59" s="71"/>
      <c r="P59" s="71"/>
      <c r="Q59" s="71"/>
      <c r="R59" s="71"/>
      <c r="S59" s="71"/>
      <c r="T59" s="71"/>
      <c r="U59" s="71"/>
      <c r="V59" s="71"/>
      <c r="W59" s="71"/>
      <c r="X59" s="71"/>
      <c r="Y59" s="71"/>
      <c r="Z59" s="71"/>
    </row>
    <row r="60">
      <c r="A60" s="71"/>
      <c r="B60" s="71"/>
      <c r="C60" s="98"/>
      <c r="D60" s="71"/>
      <c r="E60" s="71"/>
      <c r="F60" s="71"/>
      <c r="G60" s="71"/>
      <c r="H60" s="71"/>
      <c r="I60" s="71"/>
      <c r="J60" s="71"/>
      <c r="K60" s="71"/>
      <c r="L60" s="71"/>
      <c r="M60" s="71"/>
      <c r="N60" s="71"/>
      <c r="O60" s="71"/>
      <c r="P60" s="71"/>
      <c r="Q60" s="71"/>
      <c r="R60" s="71"/>
      <c r="S60" s="71"/>
      <c r="T60" s="71"/>
      <c r="U60" s="71"/>
      <c r="V60" s="71"/>
      <c r="W60" s="71"/>
      <c r="X60" s="71"/>
      <c r="Y60" s="71"/>
      <c r="Z60" s="71"/>
    </row>
    <row r="61">
      <c r="A61" s="71"/>
      <c r="B61" s="71"/>
      <c r="C61" s="98"/>
      <c r="D61" s="71"/>
      <c r="E61" s="71"/>
      <c r="F61" s="71"/>
      <c r="G61" s="71"/>
      <c r="H61" s="71"/>
      <c r="I61" s="71"/>
      <c r="J61" s="71"/>
      <c r="K61" s="71"/>
      <c r="L61" s="71"/>
      <c r="M61" s="71"/>
      <c r="N61" s="71"/>
      <c r="O61" s="71"/>
      <c r="P61" s="71"/>
      <c r="Q61" s="71"/>
      <c r="R61" s="71"/>
      <c r="S61" s="71"/>
      <c r="T61" s="71"/>
      <c r="U61" s="71"/>
      <c r="V61" s="71"/>
      <c r="W61" s="71"/>
      <c r="X61" s="71"/>
      <c r="Y61" s="71"/>
      <c r="Z61" s="71"/>
    </row>
    <row r="62">
      <c r="A62" s="71"/>
      <c r="B62" s="71"/>
      <c r="C62" s="98"/>
      <c r="D62" s="71"/>
      <c r="E62" s="71"/>
      <c r="F62" s="71"/>
      <c r="G62" s="71"/>
      <c r="H62" s="71"/>
      <c r="I62" s="71"/>
      <c r="J62" s="71"/>
      <c r="K62" s="71"/>
      <c r="L62" s="71"/>
      <c r="M62" s="71"/>
      <c r="N62" s="71"/>
      <c r="O62" s="71"/>
      <c r="P62" s="71"/>
      <c r="Q62" s="71"/>
      <c r="R62" s="71"/>
      <c r="S62" s="71"/>
      <c r="T62" s="71"/>
      <c r="U62" s="71"/>
      <c r="V62" s="71"/>
      <c r="W62" s="71"/>
      <c r="X62" s="71"/>
      <c r="Y62" s="71"/>
      <c r="Z62" s="71"/>
    </row>
    <row r="63">
      <c r="A63" s="71"/>
      <c r="B63" s="71"/>
      <c r="C63" s="98"/>
      <c r="D63" s="71"/>
      <c r="E63" s="71"/>
      <c r="F63" s="71"/>
      <c r="G63" s="71"/>
      <c r="H63" s="71"/>
      <c r="I63" s="71"/>
      <c r="J63" s="71"/>
      <c r="K63" s="71"/>
      <c r="L63" s="71"/>
      <c r="M63" s="71"/>
      <c r="N63" s="71"/>
      <c r="O63" s="71"/>
      <c r="P63" s="71"/>
      <c r="Q63" s="71"/>
      <c r="R63" s="71"/>
      <c r="S63" s="71"/>
      <c r="T63" s="71"/>
      <c r="U63" s="71"/>
      <c r="V63" s="71"/>
      <c r="W63" s="71"/>
      <c r="X63" s="71"/>
      <c r="Y63" s="71"/>
      <c r="Z63" s="71"/>
    </row>
    <row r="64">
      <c r="A64" s="71"/>
      <c r="B64" s="71"/>
      <c r="C64" s="98"/>
      <c r="D64" s="71"/>
      <c r="E64" s="71"/>
      <c r="F64" s="71"/>
      <c r="G64" s="71"/>
      <c r="H64" s="71"/>
      <c r="I64" s="71"/>
      <c r="J64" s="71"/>
      <c r="K64" s="71"/>
      <c r="L64" s="71"/>
      <c r="M64" s="71"/>
      <c r="N64" s="71"/>
      <c r="O64" s="71"/>
      <c r="P64" s="71"/>
      <c r="Q64" s="71"/>
      <c r="R64" s="71"/>
      <c r="S64" s="71"/>
      <c r="T64" s="71"/>
      <c r="U64" s="71"/>
      <c r="V64" s="71"/>
      <c r="W64" s="71"/>
      <c r="X64" s="71"/>
      <c r="Y64" s="71"/>
      <c r="Z64" s="71"/>
    </row>
    <row r="65">
      <c r="A65" s="71"/>
      <c r="B65" s="71"/>
      <c r="C65" s="98"/>
      <c r="D65" s="71"/>
      <c r="E65" s="71"/>
      <c r="F65" s="71"/>
      <c r="G65" s="71"/>
      <c r="H65" s="71"/>
      <c r="I65" s="71"/>
      <c r="J65" s="71"/>
      <c r="K65" s="71"/>
      <c r="L65" s="71"/>
      <c r="M65" s="71"/>
      <c r="N65" s="71"/>
      <c r="O65" s="71"/>
      <c r="P65" s="71"/>
      <c r="Q65" s="71"/>
      <c r="R65" s="71"/>
      <c r="S65" s="71"/>
      <c r="T65" s="71"/>
      <c r="U65" s="71"/>
      <c r="V65" s="71"/>
      <c r="W65" s="71"/>
      <c r="X65" s="71"/>
      <c r="Y65" s="71"/>
      <c r="Z65" s="71"/>
    </row>
    <row r="66">
      <c r="A66" s="71"/>
      <c r="B66" s="71"/>
      <c r="C66" s="98"/>
      <c r="D66" s="71"/>
      <c r="E66" s="71"/>
      <c r="F66" s="71"/>
      <c r="G66" s="71"/>
      <c r="H66" s="71"/>
      <c r="I66" s="71"/>
      <c r="J66" s="71"/>
      <c r="K66" s="71"/>
      <c r="L66" s="71"/>
      <c r="M66" s="71"/>
      <c r="N66" s="71"/>
      <c r="O66" s="71"/>
      <c r="P66" s="71"/>
      <c r="Q66" s="71"/>
      <c r="R66" s="71"/>
      <c r="S66" s="71"/>
      <c r="T66" s="71"/>
      <c r="U66" s="71"/>
      <c r="V66" s="71"/>
      <c r="W66" s="71"/>
      <c r="X66" s="71"/>
      <c r="Y66" s="71"/>
      <c r="Z66" s="71"/>
    </row>
    <row r="67">
      <c r="A67" s="71"/>
      <c r="B67" s="71"/>
      <c r="C67" s="98"/>
      <c r="D67" s="71"/>
      <c r="E67" s="71"/>
      <c r="F67" s="71"/>
      <c r="G67" s="71"/>
      <c r="H67" s="71"/>
      <c r="I67" s="71"/>
      <c r="J67" s="71"/>
      <c r="K67" s="71"/>
      <c r="L67" s="71"/>
      <c r="M67" s="71"/>
      <c r="N67" s="71"/>
      <c r="O67" s="71"/>
      <c r="P67" s="71"/>
      <c r="Q67" s="71"/>
      <c r="R67" s="71"/>
      <c r="S67" s="71"/>
      <c r="T67" s="71"/>
      <c r="U67" s="71"/>
      <c r="V67" s="71"/>
      <c r="W67" s="71"/>
      <c r="X67" s="71"/>
      <c r="Y67" s="71"/>
      <c r="Z67" s="71"/>
    </row>
    <row r="68">
      <c r="A68" s="71"/>
      <c r="B68" s="71"/>
      <c r="C68" s="98"/>
      <c r="D68" s="71"/>
      <c r="E68" s="71"/>
      <c r="F68" s="71"/>
      <c r="G68" s="71"/>
      <c r="H68" s="71"/>
      <c r="I68" s="71"/>
      <c r="J68" s="71"/>
      <c r="K68" s="71"/>
      <c r="L68" s="71"/>
      <c r="M68" s="71"/>
      <c r="N68" s="71"/>
      <c r="O68" s="71"/>
      <c r="P68" s="71"/>
      <c r="Q68" s="71"/>
      <c r="R68" s="71"/>
      <c r="S68" s="71"/>
      <c r="T68" s="71"/>
      <c r="U68" s="71"/>
      <c r="V68" s="71"/>
      <c r="W68" s="71"/>
      <c r="X68" s="71"/>
      <c r="Y68" s="71"/>
      <c r="Z68" s="71"/>
    </row>
    <row r="69">
      <c r="A69" s="71"/>
      <c r="B69" s="71"/>
      <c r="C69" s="98"/>
      <c r="D69" s="71"/>
      <c r="E69" s="71"/>
      <c r="F69" s="71"/>
      <c r="G69" s="71"/>
      <c r="H69" s="71"/>
      <c r="I69" s="71"/>
      <c r="J69" s="71"/>
      <c r="K69" s="71"/>
      <c r="L69" s="71"/>
      <c r="M69" s="71"/>
      <c r="N69" s="71"/>
      <c r="O69" s="71"/>
      <c r="P69" s="71"/>
      <c r="Q69" s="71"/>
      <c r="R69" s="71"/>
      <c r="S69" s="71"/>
      <c r="T69" s="71"/>
      <c r="U69" s="71"/>
      <c r="V69" s="71"/>
      <c r="W69" s="71"/>
      <c r="X69" s="71"/>
      <c r="Y69" s="71"/>
      <c r="Z69" s="71"/>
    </row>
    <row r="70">
      <c r="A70" s="71"/>
      <c r="B70" s="71"/>
      <c r="C70" s="98"/>
      <c r="D70" s="71"/>
      <c r="E70" s="71"/>
      <c r="F70" s="71"/>
      <c r="G70" s="71"/>
      <c r="H70" s="71"/>
      <c r="I70" s="71"/>
      <c r="J70" s="71"/>
      <c r="K70" s="71"/>
      <c r="L70" s="71"/>
      <c r="M70" s="71"/>
      <c r="N70" s="71"/>
      <c r="O70" s="71"/>
      <c r="P70" s="71"/>
      <c r="Q70" s="71"/>
      <c r="R70" s="71"/>
      <c r="S70" s="71"/>
      <c r="T70" s="71"/>
      <c r="U70" s="71"/>
      <c r="V70" s="71"/>
      <c r="W70" s="71"/>
      <c r="X70" s="71"/>
      <c r="Y70" s="71"/>
      <c r="Z70" s="71"/>
    </row>
    <row r="71">
      <c r="A71" s="71"/>
      <c r="B71" s="71"/>
      <c r="C71" s="98"/>
      <c r="D71" s="71"/>
      <c r="E71" s="71"/>
      <c r="F71" s="71"/>
      <c r="G71" s="71"/>
      <c r="H71" s="71"/>
      <c r="I71" s="71"/>
      <c r="J71" s="71"/>
      <c r="K71" s="71"/>
      <c r="L71" s="71"/>
      <c r="M71" s="71"/>
      <c r="N71" s="71"/>
      <c r="O71" s="71"/>
      <c r="P71" s="71"/>
      <c r="Q71" s="71"/>
      <c r="R71" s="71"/>
      <c r="S71" s="71"/>
      <c r="T71" s="71"/>
      <c r="U71" s="71"/>
      <c r="V71" s="71"/>
      <c r="W71" s="71"/>
      <c r="X71" s="71"/>
      <c r="Y71" s="71"/>
      <c r="Z71" s="71"/>
    </row>
    <row r="72">
      <c r="A72" s="71"/>
      <c r="B72" s="71"/>
      <c r="C72" s="98"/>
      <c r="D72" s="71"/>
      <c r="E72" s="71"/>
      <c r="F72" s="71"/>
      <c r="G72" s="71"/>
      <c r="H72" s="71"/>
      <c r="I72" s="71"/>
      <c r="J72" s="71"/>
      <c r="K72" s="71"/>
      <c r="L72" s="71"/>
      <c r="M72" s="71"/>
      <c r="N72" s="71"/>
      <c r="O72" s="71"/>
      <c r="P72" s="71"/>
      <c r="Q72" s="71"/>
      <c r="R72" s="71"/>
      <c r="S72" s="71"/>
      <c r="T72" s="71"/>
      <c r="U72" s="71"/>
      <c r="V72" s="71"/>
      <c r="W72" s="71"/>
      <c r="X72" s="71"/>
      <c r="Y72" s="71"/>
      <c r="Z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sheetData>
  <drawing r:id="rId1"/>
</worksheet>
</file>