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New Stories" sheetId="2" r:id="rId5"/>
    <sheet state="visible" name="Details" sheetId="3" r:id="rId6"/>
    <sheet state="hidden" name="Section"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Working with CSM/Support on Telephony now
	-Matt Cannizzo</t>
      </text>
    </comment>
    <comment authorId="0" ref="E35">
      <text>
        <t xml:space="preserve">Payment Processor = Stripe
	-Matt Cannizzo</t>
      </text>
    </comment>
  </commentList>
</comments>
</file>

<file path=xl/sharedStrings.xml><?xml version="1.0" encoding="utf-8"?>
<sst xmlns="http://schemas.openxmlformats.org/spreadsheetml/2006/main" count="554" uniqueCount="363">
  <si>
    <t>co</t>
  </si>
  <si>
    <t>WarrantyFirst Customer Stories</t>
  </si>
  <si>
    <t>Service</t>
  </si>
  <si>
    <t>Customer Story</t>
  </si>
  <si>
    <t>Suggested Path</t>
  </si>
  <si>
    <t>Assumptions</t>
  </si>
  <si>
    <t>Estimated
Low Hours</t>
  </si>
  <si>
    <t>Estimated
High Hours</t>
  </si>
  <si>
    <t>Potential 
Variance</t>
  </si>
  <si>
    <t>Function</t>
  </si>
  <si>
    <t>POC</t>
  </si>
  <si>
    <t>Executive Summary</t>
  </si>
  <si>
    <t>Additional Notes + Considerations</t>
  </si>
  <si>
    <t xml:space="preserve">Warranty First provides car, van, and bike protection direct to customers and through a network of dealers. The Warranty First team has been using various tools to manage relationships with their clients and dealers via CRM related activities and portals to make it easy for their end users to interact with them.
Recently, it's become apparent that there are some challenges within their current stack and the team has been exploring different options to unify these activities to streamline and standardize processes across the org. A true digital transformation journey.
HubSpot became a strong contender due to its ease of use and customizable capabilities that will allow Warranty First and their GTM teams to operate under one umbrella. By leveraging sales, marketing, and custom portal offerings within HubSpot, the Warranty First team will be able to streamline and automate sales efforts, dealer portal interactions, and claim management processes. 
Warranty First requires a scalable data architecture that allows them to manage and standardize sales and marketing activities in one place. A comprehensive approach to data quality, process management, and automation is necessary. </t>
  </si>
  <si>
    <t>•</t>
  </si>
  <si>
    <t>Requirements + Solutioning Workshops</t>
  </si>
  <si>
    <t>Standard</t>
  </si>
  <si>
    <t>Requirements Gathering</t>
  </si>
  <si>
    <t>WarrantyFirst's business objective is to create a cohesive business data, systems, process, and people roadmap that addresses their ideal future state, supports growth and adapts to evolving business needs.</t>
  </si>
  <si>
    <t>Conduct Discovery and Requirements Gathering Sessions &amp; Produce a summary recommendations document including a detailed documentation of the current state as well as the future state business and technical requirements, including comprehensive diagrams detailing data model, process, integrations, and reporting details.</t>
  </si>
  <si>
    <t xml:space="preserve">- Aptitude 8 will prioritize the following workstreams: marketing, sales, operations, data, and integrations. </t>
  </si>
  <si>
    <t>Data Model &amp; Systems Architecture Strategy</t>
  </si>
  <si>
    <t>Warranty First needs to define a HubSpot data model that reflects their business in order to run sales processes and servicing proceses effectively at scale.</t>
  </si>
  <si>
    <t>Aptitude 8 should run a data modeling exercise to finalize objects, relationships, and properties for migration purposes and for future growth. They should also identify which objects map between which systems.</t>
  </si>
  <si>
    <t>- Aptitude 8 will create an ERD that defines object definitions, associations and association types, and up to 5 key properties.
- Aptitude 8 will create data migration diagram to show how existing data maps to HubSpot
- Aptitude 8 will create a basic visual to demonstrate how data flows between systems: what data maps and in what direction
- Aptitude 8 will ensure the correct field level permissions are finalized before creating all fields</t>
  </si>
  <si>
    <t>Proof of Concept/Solutioning</t>
  </si>
  <si>
    <t>WarrantyFirst desires a collaborative engagement to solve for key business and technical requirements.</t>
  </si>
  <si>
    <t>Plan workshops to solve for key workstreams, discuss options, and decide on a path forward.</t>
  </si>
  <si>
    <t>- Aptitude 8 will guide WarrantyFirst through a series of workshops that help them understand how they can solve for business and technical requirements.
- Aptitude 8 might use hours in this line item to build proof of concept's to demonstrate how different options will look and function.</t>
  </si>
  <si>
    <t>Portal Migration Strategy</t>
  </si>
  <si>
    <t>Warranty First needs to migrate current users to HubSpot so they can access the new portal(s).</t>
  </si>
  <si>
    <t>Aptitude 8 should recommend a plan that highlights the WHAT, HOW, and WHEN to migrate users to the new portals.</t>
  </si>
  <si>
    <r>
      <rPr>
        <rFont val="Rubik"/>
        <color theme="1"/>
      </rPr>
      <t xml:space="preserve">- Up to 10 advisory hours to assist the WarrantyFirst team
</t>
    </r>
    <r>
      <rPr>
        <rFont val="Rubik"/>
        <b/>
        <color theme="1"/>
      </rPr>
      <t>- Aptitude 8 will not manage any communications such as emails, SMS, or calls, nor automations required to complete the transition. Example: Aptitude 8 will not setup emails to inform current planholders or dealer contacts of the move to HubSpot's customer portal BUT Aptitude 8 will consult on best ways to approach this considering their HubSpot expertise.</t>
    </r>
  </si>
  <si>
    <t>Project Planning</t>
  </si>
  <si>
    <t>WarrantyFirst desires a roadmap that details what needs to be done by when by who as they migrate the new company into their business.</t>
  </si>
  <si>
    <t>Create a gantt chart with first and second level dependencies to prepare WarrantyFirst's team for an all hands on deck approach.
Finalize project decisions are made in this phase at the latest.</t>
  </si>
  <si>
    <t xml:space="preserve">- Aptitude 8 will ensure each workstream has a dedicated owner, milestones are defined, drop dead dates are denoted
- Aptitude 8 will create a Gantt chart as source of truth for the project plan for key integrations, marketing and sales processes, and key record and other asset migration
</t>
  </si>
  <si>
    <t>HubSpot Configuration - Data Model, Users, and Permissions</t>
  </si>
  <si>
    <t>Data Model Build</t>
  </si>
  <si>
    <t>Warranty First needs to create HubSpot data model that reflects their business in order to run sales processes and servicing processes effectively at scale.</t>
  </si>
  <si>
    <t>Aptitude 8 should take the output of the Data &amp; Systems Architecture line item (row 7) as technical specs to implement Warranty First's data model.</t>
  </si>
  <si>
    <t>- Aptitude 8 will create up to 30 custom properties for each standard object WarrantyFirst intends to use. These objects are: Contacts, Companies, Deals, and Tickets.
- Aptitude 8 will create up to 6 custom objects: Policies, Claim Items, Cover Levels, Xero Invoices, and Vehicles. Each will include the appropriate associations and association labels
- Aptitude 8 will create up to two conditional custom property sections per object. WarrantyFirst must provide the specs for Aptitude 8 to complete.</t>
  </si>
  <si>
    <t>Users &amp; Permissions</t>
  </si>
  <si>
    <t>Warranty First needs to implement permissions and teams for users in HubSpot so the right people can view, edit, and create the correct records in the CRM.</t>
  </si>
  <si>
    <t>Aptitude 8 should run an efficient user/permission exercise for Warranty First to input requirements into.</t>
  </si>
  <si>
    <t>- Up to 50 sales users
- Up to 10 teams
- Up to 10 admin/exec seats and teams required to segment</t>
  </si>
  <si>
    <t>Data Migration</t>
  </si>
  <si>
    <t>High</t>
  </si>
  <si>
    <t>CRM Migration</t>
  </si>
  <si>
    <t>Warranty First needs to migrate historical records into HubSpot in order for business to continue as usual.</t>
  </si>
  <si>
    <t>Aptitude 8 will advise Warranty First of what format different CSVs should be and import using the HubSpot Import tool.</t>
  </si>
  <si>
    <t>-WarrantyFirst will provide CSVs formatted per Aptitude 8's direction in order for Aptitude 8 to import into historical records into HubSpot
- Aptitude 8 will migrate up to 2,500 dealer (companies) records, 1,000 dealer user (contacts), 48,000 Planholders (contacts), 100,000 policies, 61,000 claims, 21,000 auto body shops (companies), up to 15,000 pricing related tables
- Aptitude 8 will not complete any data clean up but does allocate up to 5 of the hours in the line item to recommending how to clean for import and how to strcture the data in the CSVs</t>
  </si>
  <si>
    <t>HubSpot Implementation - SalesHub</t>
  </si>
  <si>
    <t>Field Sales Implementation</t>
  </si>
  <si>
    <t>Warranty First needs to create a new business pipeline so they can track and manage opportunities to sell warranties at new dealerships.</t>
  </si>
  <si>
    <t>Aptitude 8 should run discovery on sales process in order to configure the foundation for the field sales team. The emphasis should be to simplify and implement a sales process that makes it easy for the team to adopt.</t>
  </si>
  <si>
    <t>- Aptitude 8 will create one deal pipeline with the appropriate deal stages and required properties
- Create one deal pipeline to reflect new policies add by dealerships. This pipeline should have stages such as policy submitted, in approval process, and closed won/lost. A workflow should be created to automatically convert a new policy approved to a deal in closed won in this pipeline.
- Aptitude 8 will create up to 3 call &amp; meeting types &amp; as many outcomes needed for those types
- Aptitude 8 will ensure all reps on the field sales team have their calendar and emails integrated with HubSpot to automatically track those details in HubSpot
- Ability to specify the dealers invoice cycle so Xero knows when to create and send invoices</t>
  </si>
  <si>
    <t>Small Dealerships Sales Implementation</t>
  </si>
  <si>
    <t>Warranty First needs to implement a basic sales process for their small dealerships sales team so they can begin to scale.</t>
  </si>
  <si>
    <t>Aptitude 8 should run discovery on sales process in order to configure the foundation for the small dealerships team. Aptitude 8 should recommend how to segment this team's process and the Field Sales team's process IF they are different and if they are not, recommend how to filter between the two. The emphasis should be to simplify and implement a sales process that makes it easy for the team to adopt.</t>
  </si>
  <si>
    <t>- Aptitude 8 will create one deal pipeline with the appropriate deal stages and required properties
- Aptitude 8 will create up to 3 call &amp; meeting types &amp; as many outcomes needed for those types
- Aptitude 8 will ensure all reps on the field sales team have their calendar and emails integrated with HubSpot to automatically track those details in HubSpot</t>
  </si>
  <si>
    <t>Dealer Agreement Template</t>
  </si>
  <si>
    <t>Warranty First needs to dealerships to sign a partnership agreement in order to sell their warranties.</t>
  </si>
  <si>
    <t>Aptitude 8 should create a basic quote template with e-sign and approval workflow to send to new dealership partners. This acts as an official step at the end of the Field Sales process.</t>
  </si>
  <si>
    <t>- Aptitude 8 will create a basic quote template the Field Sales team can use to quickly create, get manager approval, and send to the dealership contact.
- This assumes a custom quote template that meets WarrantyFirst's brand requirements and includes e-signature.
- No pricing or payment is listed on the quote.</t>
  </si>
  <si>
    <t>Xero Integration</t>
  </si>
  <si>
    <t>Warranty First wants to automatically generate a Xero invoice for the dealership of a newly approved policy.</t>
  </si>
  <si>
    <t>Aptitude 8 should create a company based workflow and a custom coded action to automatically draft and send Xero Invoices based on the companies (dealerships) billing cycle. The invoice should aggregate (sum) all policies sold within the billing cycle and be sent to the billing contact's email in Xero.</t>
  </si>
  <si>
    <r>
      <rPr>
        <rFont val="Rubik"/>
      </rPr>
      <t xml:space="preserve">- Aptitude 8 will build a workflow that uses a custom code action to create a </t>
    </r>
    <r>
      <rPr>
        <rFont val="Rubik"/>
        <color rgb="FF1155CC"/>
        <u/>
      </rPr>
      <t xml:space="preserve">Xero Invoice as Authorised via API </t>
    </r>
    <r>
      <rPr>
        <rFont val="Rubik"/>
      </rPr>
      <t>and then send to the email address on file.
- Aptitude 8 assumes no Invoice approval process applies.</t>
    </r>
  </si>
  <si>
    <t>Implement HubSpot Calling</t>
  </si>
  <si>
    <t>Warranty First seeks to use HubSpot's calling features so they can do basic incoming call routing to the appropriate team members, get call analysis for coaching purposes, and report on the activity accurately.</t>
  </si>
  <si>
    <t>Consult WarrantyFirst on the limitations, understand their requirements, help them build a v1 and consult the HubSpot product team to roadmap their calling solutions for the future.</t>
  </si>
  <si>
    <t>- Set up call routing for all reps across all teams. Note: HubSpot limitations apply and therefore WarrantyFirst might not have all requirements met from day 1. Aptitude 8 will make clear what those limitations are and how they translate to the implementation of HubSpot calling.
- Training and enablement will be included in the Training line item</t>
  </si>
  <si>
    <t>Reporting and Dashboards</t>
  </si>
  <si>
    <t>Warranty First aims for enhanced reporting capabilities in HubSpot to obtain accurate insights into customer journeys, sales performance, dealer goals, and renewal opportunities.</t>
  </si>
  <si>
    <t>Aptitude 8 will configure up to (10) custom reports and (3) dashboards for Warranty First sales and claims team.</t>
  </si>
  <si>
    <t>- Up to 10 custom reports, 2 custom dashboards. 
- Up to 3 OOTB dashboards with filter only customization to their reports.</t>
  </si>
  <si>
    <t>B2C Sales Team Process Optimization</t>
  </si>
  <si>
    <t>Low</t>
  </si>
  <si>
    <t>Auto-Generate Renewal Deal</t>
  </si>
  <si>
    <t>Warranty First needs to more easily and accurately track renewal deals and seeks for an automation to create and flag them to the appropriate deal owner.</t>
  </si>
  <si>
    <t>Create a deal based workflow that generates a deal in the renewal pipeline. Aptitude 8 should also consider making recommendations to the Warranty First team on their existing renewal pipeline. However, no changes to the pipeline are in this scope.</t>
  </si>
  <si>
    <t>- One workflow to create a renewal deal based on when a policy has been approved, when it starts, the policy specs, and associated contact
- We assume a renewal pipeline exists today because that team is using HubSpot and therefore, no new pipeline needs to be created.
- If changes to the existing pipeline are required, the team can use contingency hours OR submit a change order.</t>
  </si>
  <si>
    <t>Create A Quote CRM Card - Renewal</t>
  </si>
  <si>
    <t>Warranty First needs the ability for their telesales team to build out quotes for customers up for renewal.</t>
  </si>
  <si>
    <t>Aptitude 8 should lead a structured fireframing and requirements confirmation engagement to finalize the CRM card details such as: where it lives, what infrastructure powers it, what data is required, what the inputs are, what the outputs are</t>
  </si>
  <si>
    <t>- Ability to run vehicle registration validation to ensure it's a real vehicle and return vehicle details
- Ability to create a quote with pricing, legal language, and e-signature.
- Aptitude 8 will create a CRM card to intake pricing inputs and create quote draft(s) based on the inputs so the telesales team can send it to customers
- Ability to re-quote them for renewal
- Ability to pre-populate or update contact information as part of the renewal
- Ability to update vehicle information (miles, miles per year, sale price, service history, years owned)
- Ability to specify new policy start date
- Ability to show plans the customer is eligible for based on above inputs
- Ability to toggle between monthly and upfront payments
- Ability to save quote to come back to later
- Ability for the following payment plans: invoice, assist, monthly, now</t>
  </si>
  <si>
    <t>Generate Certificate of Warranty for Planholder</t>
  </si>
  <si>
    <t>Warranty First needs generate a warranty certificate so planholders can print it out or save electronically.</t>
  </si>
  <si>
    <t>System today automatically generates this and we will need to replicate it today.</t>
  </si>
  <si>
    <t>- Aptitude 8 will automatically generate a pdf per WarrantyFirst's design specs in two scenarios: 1) when a renewing customer signs a renewal agreement and 2) when a policy added by a dealer is approved by WarrantyFirst</t>
  </si>
  <si>
    <t>Self-Serve Checkout Implementation</t>
  </si>
  <si>
    <t>Create A Quote - Self Serve</t>
  </si>
  <si>
    <t>Warranty First needs the ability for people to purchase warranties on their website without sales assistance.</t>
  </si>
  <si>
    <t>Confirm the inputs, the components of the custom form, the outputs, downstream actions required in order to execute</t>
  </si>
  <si>
    <t>- Replicating the current create a quote inputs, policy recommendations, and checkout experience with a payments partners is required.
- Aptitude 8 assumes payment partners have reliable and stable APIs and if not, a change order will result.
- Aptitude 8 will build the self serve widget on HubSpot tools like ContentHub and use it's features to recreate the custom form
- Aptitude 8 will consult WarrantyFirst on how to get transactions in to HubSpot that result from this self-serve form. However, no integration hows to pass those transactions are included in this line item. Contingency hours and/or a change order will be required if Aptitude 8 is needed to pass transactions to HubSpot.
- Assumed is from form submit, all of the same things happen: policy certificate generated, transactional emails sent, etc. These are automations that should be set up separately outside of this line item and should include the self-serve scenario.</t>
  </si>
  <si>
    <t>Transactional Email Migration</t>
  </si>
  <si>
    <t>Warranty First has a series of transactional emails that are sent to Planholders throughout their customer journey that need to be replicate in HubSpot so Planholders are aware of key policy updates and events.</t>
  </si>
  <si>
    <t>Replicate transactional emails, ensure personalization tokens are confirmed and tested, implement the automations to deliver the emails</t>
  </si>
  <si>
    <r>
      <rPr>
        <rFont val="Rubik"/>
      </rPr>
      <t xml:space="preserve">- </t>
    </r>
    <r>
      <rPr>
        <rFont val="Rubik"/>
        <color rgb="FF1155CC"/>
        <u/>
      </rPr>
      <t>This sheet</t>
    </r>
    <r>
      <rPr>
        <rFont val="Rubik"/>
      </rPr>
      <t xml:space="preserve"> is considered source of truth for the transactional emails that need to be created.
- Aptitude 8 will create up to 10 transactional email automations using workflows. NOT via API. 
- Aptitude 8 will create the emails but require WarrantyFirst to provide a template Aptitude 8 can easily use
- Transactional email add-on is required and as a result, the WarrantyFirst team can deprecate Mandrill</t>
    </r>
  </si>
  <si>
    <t>Repair Requests Process Implementation</t>
  </si>
  <si>
    <t>Repair Requests Process Build</t>
  </si>
  <si>
    <t>Warranty First needs the ability to intake, track, and manage claims so they can deliver their services to Planholders, collaborate with auto body shops, and keep dealers informed.</t>
  </si>
  <si>
    <t>Aptitude 8 should identify which parties are involved, what inputs from which parties are requirement WHEN, and what reporting is needed to more meaningful track claims, compared today.</t>
  </si>
  <si>
    <t>- One intake form on the website, one for the Planholder portal (28 min mark of gong)
- One claim pipeline to show claim status at any given time
- One conversation inbox for claims team
- One ticket pipeline to keep support requests seperate from claims and to associate claims to tickets where applicable
- Up to 5 skills created and up to 5 rules for assignment created
- Up to 1 ticket assignment workflow for each pipeline based on the type of ticket and/or the skills required to assign
- One form for body shops to submit their assessments and associate to claims. This does not include a landing page nor does it include for Aptitude 8 to embed the form. 
- One form for parts required to fix the vehicle for the auto body shop to submit. This does not include a landing page nor does it include for Aptitude 8 to embed the form. 
- Custom code action to act as a validation engine to ensure a claim submitted is covered by the Planholders plan. WarrantyFirst must provide the specs for validation in order to successfully implement this automation.
- Custom code action to act as a validation engine to ensure details the body shop is uploading to the claim are covered under the plan. WarrantyFirst must provide the specs for validation in order to successfully implement this automation.</t>
  </si>
  <si>
    <t>Dealership Portal Implementation</t>
  </si>
  <si>
    <t>Content Hub Memberships Setup</t>
  </si>
  <si>
    <t>Warranty First needs memberships set up appropriate for each portal: dealerships and planholders.</t>
  </si>
  <si>
    <t>Set up memberships lists, system pages, system emails, etc that sets the team up for a easy transition to HubSpot</t>
  </si>
  <si>
    <t>- Aptitude 8 assumes WarrantyFirst will pick a templated theme on the CMS marketplace and therefore Aptitude 8 will make modifications to the template to ensure it complies with WarrantyFirst requirements. Aptitude 8 will consult WarrantyFirst on implications of choosing different themes and if it impacts scope.
- Aptitude 8 will set up the basic memberships configuration to power the membership portal: lists, page access, testing, and system emails
- There are 2 portals being created: 1 for dealership contacts and 1 for Planholders
- Aptitude 8 will create a workflow to add the appropriate dealer contacts to a memberships list. This memberships list will trigger an account create email (transactional).
- Aptitude 8 will create a manual repeatable process to import dealer contacts into HubSpot and teach the WarrantFirst team how to do this.</t>
  </si>
  <si>
    <t>Development</t>
  </si>
  <si>
    <t>Dealership Portal</t>
  </si>
  <si>
    <t>Warranty First requires dealerships have access to the policies they have sold, their claims, and the ability to add a new policy for their customers.</t>
  </si>
  <si>
    <t>Aptitude 8 should finalize format/style requirements as well as functionality requirements before building the dealership portal on Content Hub's functionality.</t>
  </si>
  <si>
    <r>
      <rPr>
        <rFont val="Rubik"/>
        <color theme="1"/>
      </rPr>
      <t xml:space="preserve">- Ability for dealership to add a policy (build a quote proof of concept as foundation) which includes referencing pricing objects in HubSpot and includes tax
- Ability to call and return vehicle information from an external database WarrantyFirst provides Aptitude 8 access to. This database must have stable APIs or a change order will result.
- Ability to run approval process on policies submitted by a dealership
- Ability for dealership to see the count of claims, their IDs, and status, only
- Aptitude 8 will create 1 CRM card for the cover level object, or which ever name(s) we use for objects represent pricing, in the middle pane so it is easy for Admins to update pricing related to a customer
</t>
    </r>
    <r>
      <rPr>
        <rFont val="Rubik"/>
        <b/>
        <color theme="1"/>
      </rPr>
      <t>- Aptitude 8 will not provide design work for the portal. However, Aptitude 8 will consult the WF team on design to ensure it's within budget and HubSpot friendly.</t>
    </r>
  </si>
  <si>
    <t>Planholder Portal Implementation</t>
  </si>
  <si>
    <t>Planholder Portal</t>
  </si>
  <si>
    <t xml:space="preserve">Warranty First requires planholders have access to the policies they have held over time, their claims, modify contact information, and have the ability to self-serve a renewal or new policy all together to lighten the burden of the WarrantyFirst sales and service teams. </t>
  </si>
  <si>
    <t>Aptitude 8 should finalize format/style requirements as well as functionality requirements before building the planholders portal on Content Hub's functionality.</t>
  </si>
  <si>
    <r>
      <rPr>
        <rFont val="Rubik"/>
        <color rgb="FF000000"/>
      </rPr>
      <t xml:space="preserve">- Planholders are dealership customers who also purchase a warranty, white labeled by Warranty First
- Aptitude 8 will create a one page branded planholder portal that allows policy holders to see table views of their policies, claims, and ability to modify contact information, submit a claim, or start a support ticket.
- June Addition: Aptitude 8 will embed a screen/page for Planholders to create their own quote and pay for it in their portal experience. The expectation is the same inputs and checkout experience is created as </t>
    </r>
    <r>
      <rPr>
        <rFont val="Rubik"/>
        <color rgb="FF1155CC"/>
        <u/>
      </rPr>
      <t>this current process</t>
    </r>
    <r>
      <rPr>
        <rFont val="Rubik"/>
        <color rgb="FF000000"/>
      </rPr>
      <t xml:space="preserve">, however, we will need to ensure all transactions flow into HubSpot to reflect it, the Planholder has access to a certificate in their portal when they pay, and all other transactional emails are sent to the Planholder when they pay for a new policy or renew a policy. If inputs from the current widget change or downstream actions change, a change order will result.
</t>
    </r>
    <r>
      <rPr>
        <rFont val="Rubik"/>
        <b/>
        <color rgb="FF000000"/>
      </rPr>
      <t>- Aptitude 8 will not provide design work for the portal. However, Aptitude 8 will consult the WF team on design to ensure it's within budget and HubSpot friendly.</t>
    </r>
  </si>
  <si>
    <t>Training &amp; Documentation</t>
  </si>
  <si>
    <t>Warrant First needs to train their users on how to use HubSpot generally, but also how to manage the custom stages and solution that is built as part of this project</t>
  </si>
  <si>
    <t>A8 will conduct up to 3 60 minute live training programs with end users, 2 60 minute train the trainer sessions, provide documentation and training guides, and provide post go live support for a period of 1 week</t>
  </si>
  <si>
    <t>- WarrantyFirst to facilitate scheduling and distribution of training assets.
- Up to 5 hours in open office hours
- Aptitude 8 will hold at least 3 live training sessions for each team, at least 2 live trainings with admins, and deliver custom documentation on custom processes built so WarrantyFirst can manage their instance post launch.</t>
  </si>
  <si>
    <t>Contingency Hours</t>
  </si>
  <si>
    <t xml:space="preserve">Contingency </t>
  </si>
  <si>
    <t>Hours Aptitude 8 requires in order to handle any items that arise, larger than anticipated scope, or dependencies without necessitating a change order</t>
  </si>
  <si>
    <t xml:space="preserve">All non-epic tasks will be recorded under this epic </t>
  </si>
  <si>
    <t>◆</t>
  </si>
  <si>
    <t>Project Management + Strategy</t>
  </si>
  <si>
    <t>Project Management</t>
  </si>
  <si>
    <t>Project Kickoff, Onboarding, and Closeout</t>
  </si>
  <si>
    <t>Warranty First needs a partner to support managing the HubSpot and consulting project, ensuring deadlines are clear and met.</t>
  </si>
  <si>
    <t xml:space="preserve">To support management and communication, a project manager and delivery lead will own all A8 tasks and clearly communicate needs to Warranty First. </t>
  </si>
  <si>
    <t>- Visibility to budget spend will be provided during the duration of the project
- A8 will provide check-in agenda items and follow-ups
- Warranty First to communicate to A8's shared inbox for easier collaboration and timely responses</t>
  </si>
  <si>
    <t xml:space="preserve">Recurring Project Check-ins </t>
  </si>
  <si>
    <t xml:space="preserve">Project Administration </t>
  </si>
  <si>
    <t>■</t>
  </si>
  <si>
    <t>NEXT Post-Launch Support</t>
  </si>
  <si>
    <t>Hours dedicated to post go-live support. These hours can be used for anything HubSpot related (reporting, training, iterations, additional asks, etc.)</t>
  </si>
  <si>
    <t>Hours/Month:</t>
  </si>
  <si>
    <t># of Months:</t>
  </si>
  <si>
    <t>※</t>
  </si>
  <si>
    <t>Total Estimated 
Engagement Hours:</t>
  </si>
  <si>
    <t>Low Hour Estimate:</t>
  </si>
  <si>
    <t>High Hour Estimate:</t>
  </si>
  <si>
    <t>⚑</t>
  </si>
  <si>
    <t>Total Estimated 
Investment:</t>
  </si>
  <si>
    <t>©</t>
  </si>
  <si>
    <t>2025 Aptitude 8</t>
  </si>
  <si>
    <t>Difference</t>
  </si>
  <si>
    <t>Current Phase: Actual Hours Usage</t>
  </si>
  <si>
    <t>Solutions Engineering, Strategy, Consulting</t>
  </si>
  <si>
    <r>
      <rPr>
        <rFont val="Rubik"/>
        <color theme="1"/>
      </rPr>
      <t xml:space="preserve">- Up to 10 advisory hours to assist the WarrantyFirst team
</t>
    </r>
    <r>
      <rPr>
        <rFont val="Rubik"/>
        <b/>
        <color theme="1"/>
      </rPr>
      <t>- Aptitude 8 will not manage any communications such as emails, SMS, or calls, nor automations required to complete the transition. Example: Aptitude 8 will not setup emails to inform current planholders or dealer contacts of the move to HubSpot's customer portal BUT Aptitude 8 will consult on best ways to approach this considering their HubSpot expertise.</t>
    </r>
  </si>
  <si>
    <t>Strategy, Project Management</t>
  </si>
  <si>
    <t>No change</t>
  </si>
  <si>
    <t>Warranty First needs to define a HubSpot data model that reflects their business to run sales and servicing processes effectively at scale, including custom objects for Plans, Vehicles, Pricing Rules, and Invoices.</t>
  </si>
  <si>
    <t>Implement the defined data model, including standard objects (Contacts, Companies, Deals, Tickets) and custom objects (Vehicles, Pricing Rules, Dealer Targets, Xero Invoices) with all specified properties and associations.</t>
  </si>
  <si>
    <t>Up to 30 custom properties per standard object and 6 custom objects: Policies, Claim Items, Cover Levels, Xero Invoices, and Vehicles. The model must support the quoting logic, repair requests, and billing processes.</t>
  </si>
  <si>
    <t>Warranty First needs to implement a role-based access control system to ensure Dealer Managers and Dealer Staff have appropriate portal and CRM access.</t>
  </si>
  <si>
    <t>Configure HubSpot user roles, teams, and permissions to enforce the defined Dealer Manager (full access, financial visibility) and Dealer Staff (operational access only) roles in the portal.</t>
  </si>
  <si>
    <t>Up to 50 sales users, 10 teams, and 10 admin/exec seats. Permissions must isolate dealer data and restrict access to billing/financial metrics for Dealer Staff.</t>
  </si>
  <si>
    <t>Warranty First needs to migrate historical customer, dealer, and plan records into HubSpot to ensure business continuity and historical reporting capability.</t>
  </si>
  <si>
    <t>Advise on CSV formatting and import historical records, including dealer records, user contacts, planholders, policies, claims, auto body shops, and pricing tables.</t>
  </si>
  <si>
    <t>Warranty First is responsible for preparing and delivering final, HubSpot-ready CSV files, including all data extraction, cleanup, deduplication, normalization, validation, legacy ID mapping, and association preparation, and must correct any data issues identified during import.
Aptitude 8 is responsible for validating the provided CSV files, configuring HubSpot objects and properties, executing and sequencing imports, running post-import workflows and associations, migrating documents, performing quality assurance, and supporting user acceptance testing with minor HubSpot-side adjustments.
Aptitude 8 will not perform source data extraction, cleanup, deduplication, or transformation, and any changes to the data model or additional datasets are out of scope and may require additional hours.
All delivered CSV files must be structurally valid, HubSpot-compliant, complete, consistent, and importable without systemic data errors.</t>
  </si>
  <si>
    <t>Descoped</t>
  </si>
  <si>
    <t>Warranty First is seeking to modernize its telephony stack and calling workflows to better integrate with HubSpot, improve call visibility, enable coaching and sentiment analysis, and ensure accurate reporting of call activity across teams. Rather than adopting HubSpot’s native calling in isolation, Warranty First is evaluating third-party telephony providers with native HubSpot integrations (e.g., Aircall, RingCentral) to ensure the solution meets both current operational needs and future-state requirements.</t>
  </si>
  <si>
    <t>Warranty First requires guidance to identify a telephony provider that:
- Natively and reliably integrates with HubSpot
- Supports flexible, app-based calling (moving away from traditional landlines)
- Routes inbound calls appropriately across teams
- Captures rich call data within HubSpot for reporting and coaching
- Provides a foundation for advanced capabilities such as sentiment analysis and call insights</t>
  </si>
  <si>
    <t>Assumption – Call System &amp; HubSpot Integrations: WF is procuring a new call system that is a HubSpot-supported provider. The selected call system vendor will be responsible for delivering, maintaining, and supporting all required HubSpot integrations related to calling functionality. As a result, any call system–related HubSpot integrations are excluded from Aptitude 8’s scope.</t>
  </si>
  <si>
    <t>--</t>
  </si>
  <si>
    <t>Development, Consulting</t>
  </si>
  <si>
    <t>Field Sales &amp; Small Dealerships Process Implementation</t>
  </si>
  <si>
    <t>Pipeline Configuration</t>
  </si>
  <si>
    <t>Warranty First needs separate deal pipelines for new policy sales and new business (dealer acquisition) to track opportunities and process submitted policies.</t>
  </si>
  <si>
    <t>Create one deal pipeline for New Business (Dealer Acquisition) and one deal pipeline for Plans submitted by dealerships and/or by Self-Serve (Policy Submitted, In Approval, Closed Won/Lost).</t>
  </si>
  <si>
    <t>Field Sales and Smaller Dealership deals may coexist within the same pipeline, with segmentation achieved through Deal Owner assignment. 
Pipeline stages and required properties will be configured to appropriately support each distinct sales process.</t>
  </si>
  <si>
    <t>Process Automation</t>
  </si>
  <si>
    <t>Automate internal sales processes, manage call/meeting types, and ensure sales activity is tracked in HubSpot for accurate reporting.</t>
  </si>
  <si>
    <t>Create up to 3 call &amp; meeting types with defined outcomes. Integrate reps' calendars and emails for automatic tracking of activities.</t>
  </si>
  <si>
    <t>All reps on the field sales team integrate their calendar/emails.</t>
  </si>
  <si>
    <t>Slight increase due to complexity</t>
  </si>
  <si>
    <t>Sales Territory Assignment</t>
  </si>
  <si>
    <t>Warranty First needs a robust, automated solution to ingest dealer company and contact data and automatically assign them to the correct sales representatives based on geographic territories. The goal is to ensure accurate, automated ownership, streamline the assignment process, maintain data integrity, and allow flexibility for future enhancements.</t>
  </si>
  <si>
    <t xml:space="preserve">
Implement logic to assign deals and dealers based on sales territory to support Field Sales and Account Management structure.</t>
  </si>
  <si>
    <r>
      <rPr>
        <rFont val="Rubik"/>
      </rPr>
      <t>This work assumes implementation aligns with the approved design documentation (</t>
    </r>
    <r>
      <rPr>
        <rFont val="Rubik"/>
        <color rgb="FF1155CC"/>
        <u/>
      </rPr>
      <t>HERE</t>
    </r>
    <r>
      <rPr>
        <rFont val="Rubik"/>
      </rPr>
      <t xml:space="preserve">), which serves as the source of truth for functionality, data flow, and system behavior. 
</t>
    </r>
    <r>
      <rPr>
        <rFont val="Rubik"/>
        <color rgb="FF1155CC"/>
        <u/>
      </rPr>
      <t xml:space="preserve">
</t>
    </r>
    <r>
      <rPr>
        <rFont val="Rubik"/>
      </rPr>
      <t>For the territory migration, source tables will be flattened and combined into two HubDB tables (Field Sales and Small Dealer Territories) with legacy IDs preserved. The custom User property “Territory” will replace territory_person relationships using an enumeration of all unique territory names (duplicates allowed across channels). Data will be imported from two files, and HubSpot users will be manually assigned the correct territory post-migration.
Warranty First will replace all legacy “AG” postal codes with valid postal codes prior to migration.
Warranty First is responsible for ensuring dealer records are cleaned; City and State fields contain valid values, and postal codes are moved into the proper Postal Code field.</t>
    </r>
  </si>
  <si>
    <t>No Change</t>
  </si>
  <si>
    <t>Automate the creation and signing of partnership agreements for new dealerships to formalize the sales process.</t>
  </si>
  <si>
    <t>Create a basic quote template with e-sign and approval workflow to send to new dealership partners at the end of the Field Sales process.</t>
  </si>
  <si>
    <t>Basic quote template, e-signature is included, and no pricing/payment is listed on the quote.</t>
  </si>
  <si>
    <t>Renewals Process Optimization &amp; Implementation</t>
  </si>
  <si>
    <t>Slight increase due to new pipeline and increased automation.</t>
  </si>
  <si>
    <t>Auto-Generate Renewal Lead</t>
  </si>
  <si>
    <t>Warranty First needs a lead pipeline to accurately track and manage prospecting efforts for renewal leads.</t>
  </si>
  <si>
    <t>Create a renewal lead pipeline with stages and properties necessary for tracking renewal opportunities and customer eligibility status.
Use the existing 'Plans' deal pipeline to track plan getting renewed.
Automation to trigger on expiration date, create new lead record, copy vehicle data to the lead, and assign lead to contact owner.
Automation to assign a new lead round robin to the TeleSales Team if the contact record is unassigned.
Automation to trigger notification if ownership has been assigned to lead but no activity within a set number of days.
Automation to trigger based on defined criteria, which will set the lead's label to hot, warm, or cold.
Automation to trigger based on lead in qualified stage, creating deal in Plans pipeline (Deal associated with contact and lead).</t>
  </si>
  <si>
    <t>Workflow logic uses approved policy details (plan specs, dates, contact) to create the renewal deal.
Renewal lead will have contact, vehicle, original plan records associated.</t>
  </si>
  <si>
    <t>Create a Quote/Plan CRM Card</t>
  </si>
  <si>
    <t>Enable the internal team to efficiently quote and create new or renewal plans directly within HubSpot CRM for planholders.</t>
  </si>
  <si>
    <t>Develop the "Create Plan UI Extension" that mirrors the Planholder Portal quoting flow, including vehicle lookup, pricing, discount entry (0-25%), Bumper payment link generation, and Deal creation.</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</si>
  <si>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Must use the unified Pricing Resolver and ClearVehicleData integration. Requires Bumper payment link generation and Deal record creation with appropriate status and associations.</t>
    </r>
  </si>
  <si>
    <t>Plan Lifecycle Automation Components</t>
  </si>
  <si>
    <t>New</t>
  </si>
  <si>
    <t>Auto Approval Engine</t>
  </si>
  <si>
    <t>Automate the approval process for new plans based on business rules to streamline activation.</t>
  </si>
  <si>
    <t>Implement the logic to automatically validate plans against vehicle factors, customer factors, and policy submission factors, setting the deal status to "Approved" or "Pending Approval".</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</si>
  <si>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Auto-approval must incorporate age/mileage tolerances with surcharges, and flag for manual review based on criteria (e.g., import status, manual data entry, customer/dealer email match).</t>
    </r>
  </si>
  <si>
    <t>Clear Vehicle Data Integration</t>
  </si>
  <si>
    <t>Integrate an external service to validate vehicle registration numbers and return detailed vehicle specifications for quoting.</t>
  </si>
  <si>
    <t>Build a universal serverless function (Node.js) on HubSpot Functions to connect to the ClearVehicleData API for VRN lookup, data validation, and return of key vehicle attributes to all front-end and CRM UI Extension quoting flows.</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</si>
  <si>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ClearVehicleData API must be stable and accessible. Function must return required fields including Make, Model, Year, Engine Size, Manufactured Date, and Import Status.</t>
    </r>
  </si>
  <si>
    <t>Bumper Integration</t>
  </si>
  <si>
    <t>Integrate Bumper for payment processing across all direct sales and portal plan creation flows.</t>
  </si>
  <si>
    <t>Build a serverless function to initiate Bumper payment links and a webhook handler workflow to receive payment status updates, automatically marking the Plan record as "Paid" in HubSpot.</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</si>
  <si>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Integration supports Pay Now and Pay Later options. Payment status updates must reliably update the Plan record's dealstage to "Paid".</t>
    </r>
  </si>
  <si>
    <t>Call Assist Integration</t>
  </si>
  <si>
    <t>Implement a data transfer process to send new and cancelled Call Assist Recovery plans to the vendor.</t>
  </si>
  <si>
    <t>Develop an automated external integration (e.g., Pipedream) to nightly query HubSpot for "Recovery" plans, generate a CSV file, and upload it to the Call Assist SFTP server.</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</si>
  <si>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Integration runs nightly, queries for Plans where product_name includes "Recovery" and plan_status is "Approved" (new) or "Cancelled"/"Expired" (updates). Assumes hosting service (Pipedream-like) with static IP.</t>
    </r>
  </si>
  <si>
    <t>Document Generation: Certification of Warranty Generation</t>
  </si>
  <si>
    <t>Automate the generation and delivery of the Warranty Certificate and other plan documents upon plan activation.</t>
  </si>
  <si>
    <t>Implement a HubSpot workflow utilizing document generation logic to create a PDF certificate per Warranty First's specs upon plan approval/payment, and deliver via transactional email.</t>
  </si>
  <si>
    <t xml:space="preserve">Plan documents are static PDFs stored in HubSpot File Manager once generated.
Each update to planholder contact info triggers document regeneration workflow.
GDPR-compliant anonymization and data deletion workflows handled manually by internal staff upon request.
</t>
  </si>
  <si>
    <t>Pricing &amp; Rating Automation</t>
  </si>
  <si>
    <t>Build Pricing Engine</t>
  </si>
  <si>
    <t>Create a unified, single-source pricing engine to power all quoting channels (Dealer, D2C, Internal).</t>
  </si>
  <si>
    <t>Implement the Pricing Resolution Logic (Pricing Resolver) as a single serverless function that uses the Pricing Rules Custom Object to filter for context (Dealer/Direct/Public), apply base pricing, and calculate surcharges or discounts.</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</si>
  <si>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Pricing engine must use the Pricing Rules custom object and enforce the defined logic for overrides, vehicle eligibility, and surcharges.</t>
    </r>
  </si>
  <si>
    <t>Centralized Pricing Management: Global Pricing CRM App</t>
  </si>
  <si>
    <t>Provide administrators with a central tool to manage base pricing bands system-wide.</t>
  </si>
  <si>
    <t>Implement the "Global Pricing Admin UI Extension" on the App Home Page for Pricing Administrators to create, edit, disable, and manage base price bands by year, which writes directly to the Pricing Rules Custom Object.</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</si>
  <si>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Access restricted to Pricing Administrators. Must support versioning (year) and bulk editing/saving.</t>
    </r>
  </si>
  <si>
    <t>The Global Pricing App sets the default list price, the Special Vehicle App creates an optional price overlay for specific vehicles, and the Dealer Pricing App is a local tool used by account managers to set a custom price just for that one dealership. All three layers are consumed by the single Pricing Resolver function during the quoting process.</t>
  </si>
  <si>
    <t>Specialized Pricing Rules: Special Vehicle CRM App</t>
  </si>
  <si>
    <t>Provide administrators a dedicated interface to manage pricing exceptions for specific vehicle models.</t>
  </si>
  <si>
    <t>Implement the "Special Vehicle Pricing Management App Page" (Global App Home UI Extension) to manage rules stored in the Special Vehicle HubDB table, allowing for percentage or fixed amount adjustments for specific makes/models.</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</si>
  <si>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Rules are stored in HubDB. Saving must automatically publish a new HubDB version for immediate use by the Pricing Resolver.</t>
    </r>
  </si>
  <si>
    <t>Dealer-Specific Pricing Controls: Dealer Pricing CRM App</t>
  </si>
  <si>
    <t>Enable Account Managers to manage custom pricing overrides for individual dealerships.</t>
  </si>
  <si>
    <t>Implement the "Dealer Pricing UI Extension" on the Company record center pane to view and edit custom retail prices per cover level for the specific dealer, writing overrides to the Pricing Rules Custom Object.</t>
  </si>
  <si>
    <r>
      <rPr>
        <rFont val="Rubik"/>
      </rPr>
      <t>This work assumes implementation aligns with the approved design documentation (</t>
    </r>
    <r>
      <rPr>
        <rFont val="Rubik"/>
        <color rgb="FF1155CC"/>
        <u/>
      </rPr>
      <t>HERE</t>
    </r>
    <r>
      <rPr>
        <rFont val="Rubik"/>
      </rPr>
      <t>), which serves as the source of truth for functionality, data flow, and system behavior.
Only Account Managers/Admins can access. Must override public pricing for the specific dealer context in the Resolver.</t>
    </r>
  </si>
  <si>
    <t>D2C; Self-Serve Experience</t>
  </si>
  <si>
    <t>Decrease</t>
  </si>
  <si>
    <t>Self-Service Public D2C Purchase</t>
  </si>
  <si>
    <t>Provide a public-facing self-service purchase flow for non-authenticated customers to get a quote and purchase a plan.</t>
  </si>
  <si>
    <t>Build the "Self-Serve CMS Quoting Page" (multi-step guided wizard on HubSpot CMS) that uses the unified Pricing Resolver (D2C target), ClearVehicleData API, and Bumper payment integration to create Plan and Contact records upon successful payment.</t>
  </si>
  <si>
    <r>
      <rPr>
        <rFont val="Rubik"/>
      </rPr>
      <t>Webflow Hosted Platform Decision: The end-to-end subscription quoting and purchase experience will be hosted in an external Webflow platform, which differs from the original plan to use a HubSpot CMS page. Aptitude 8 (A8) is responsible for the Pricing Engine, while Tomorrow’s Journey (TJ Services) is responsible for the Webflow customer experience and the custom integration to sync data into HubSpot. 
These 30 hours account for Aptitude 8’s involvement in cross-vendor alignment, technical coordination, QA, and end-to-end testing required to ensure the Webflow experience, pricing engine, and HubSpot data sync operate seamlessly together.
This work assumes Tomorrow's Journey's implementation aligns with the approved design documentation (</t>
    </r>
    <r>
      <rPr>
        <rFont val="Rubik"/>
        <color rgb="FF1155CC"/>
        <u/>
      </rPr>
      <t>HERE</t>
    </r>
    <r>
      <rPr>
        <rFont val="Rubik"/>
      </rPr>
      <t>), which serves as the source of truth for functionality, data flow, and system behavior.</t>
    </r>
  </si>
  <si>
    <t>Replicate existing transactional emails in HubSpot and implement workflows to deliver them to planholders.</t>
  </si>
  <si>
    <t>Create up to 10 transactional email automations using HubSpot Workflows and replicate email content/personalization.</t>
  </si>
  <si>
    <r>
      <rPr>
        <rFont val="Rubik"/>
      </rPr>
      <t xml:space="preserve">- </t>
    </r>
    <r>
      <rPr>
        <rFont val="Rubik"/>
        <color rgb="FF1155CC"/>
        <u/>
      </rPr>
      <t xml:space="preserve">This sheet </t>
    </r>
    <r>
      <rPr>
        <rFont val="Rubik"/>
      </rPr>
      <t>is considered source of truth for the transactional emails that need to be created.
- Aptitude 8 will create up to 10 transactional email automations using workflows. NOT via API. 
- Aptitude 8 will create the emails but require WarrantyFirst to provide a template Aptitude 8 can easily use
- Transactional email add-on is required and as a result, the WarrantyFirst team can deprecate Mandrill</t>
    </r>
  </si>
  <si>
    <t>Increase</t>
  </si>
  <si>
    <t>Intake, track, and manage claims, including an intake form, a Claims pipeline, a conversation inbox, and automation for validation.</t>
  </si>
  <si>
    <t>Implement: 1. Repair Request Intake Form (Planholder Portal) using a custom-built UI posting to a native HubSpot Form. 2. Claims Ticket Pipeline. 3. Service Hub Customer Portal for planholder visibility and two-way communication. 4. Custom code action for claim validation against plan coverage.</t>
  </si>
  <si>
    <t>Claims process relies on the native HubSpot Customer Portal for ticket management and communication. Dealers will use the existing external diagnosis form (descoped portal creation).</t>
  </si>
  <si>
    <t xml:space="preserve">Still outstanding: 
1. Scope to use existing webform, and integrate with HubSpot.
2. Scope to introduce a postal code validation tool. Would require integration.
</t>
  </si>
  <si>
    <t>Portal Implementations</t>
  </si>
  <si>
    <t>Configure HubSpot Memberships for all contacts and brands to ensure proper permissions and a seamless experience.</t>
  </si>
  <si>
    <t>Set up membership lists, system pages, and system emails for both the Dealer and Planholder portals. Create workflows to add contacts to appropriate membership lists, triggering account creation emails.</t>
  </si>
  <si>
    <t xml:space="preserve">Assumes a templated CMS theme. Two portals are created (Dealer and Planholder).
Warranty First will provide the content for the following portal emails:
- Welcome/invite
- Registration follow-up
- Password reset
- Reset confirmation
- Dealer Re-activation (was rejected once, and reactivated).
</t>
  </si>
  <si>
    <t>Warranty First Planholder Portal Build</t>
  </si>
  <si>
    <t>Provide planholders with access to their policies, claims, and the ability to update contact information.</t>
  </si>
  <si>
    <t>Build a one-page branded Planholder Portal allowing policyholders to see a list of plans/claims, modify contact info, and submit a claim. Uses HubSpot's native Customer Portal for ticket visibility/management.</t>
  </si>
  <si>
    <r>
      <rPr>
        <rFont val="Rubik"/>
      </rPr>
      <t xml:space="preserve">The Planholder Portal work is limited to a visual reskin of the existing D2C portal, with no anticipated changes to underlying functionality, logic, or integrations, and is scoped at 25 hours based on that understanding
- Planholders are dealership customers who also purchase a warranty, white labeled by Warranty First
- Aptitude 8 will create a one page branded planholder portal that allows policy holders to see table views of their policies, claims, and ability to modify contact information, submit a claim, or start a support ticket.
- June Addition: Aptitude 8 will embed a screen/page for Planholders to create their own quote and pay for it in their portal experience. The expectation is the same inputs and checkout experience is created as </t>
    </r>
    <r>
      <rPr>
        <rFont val="Rubik"/>
        <color rgb="FF1155CC"/>
        <u/>
      </rPr>
      <t>this current process</t>
    </r>
    <r>
      <rPr>
        <rFont val="Rubik"/>
      </rPr>
      <t xml:space="preserve">, however, we will need to ensure all transactions flow into HubSpot to reflect it, the Planholder has access to a certificate in their portal when they pay, and all other transactional emails are sent to the Planholder when they pay for a new policy or renew a policy. If inputs from the current widget change or downstream actions change, a change order will result.
</t>
    </r>
    <r>
      <rPr>
        <rFont val="Rubik"/>
        <b/>
      </rPr>
      <t xml:space="preserve">- Aptitude 8 will not provide design work for the portal. However, Aptitude 8 will consult the WF team on design to ensure it's within budget and HubSpot friendly.
</t>
    </r>
    <r>
      <rPr>
        <rFont val="Rubik"/>
      </rPr>
      <t xml:space="preserve">Additional planholder portal assumptions are noted </t>
    </r>
    <r>
      <rPr>
        <rFont val="Rubik"/>
        <color rgb="FF1155CC"/>
        <u/>
      </rPr>
      <t>HERE</t>
    </r>
    <r>
      <rPr>
        <rFont val="Rubik"/>
      </rPr>
      <t xml:space="preserve"> in the solution design doc.</t>
    </r>
  </si>
  <si>
    <t>Planholder and Dealer portal mockups are pending; this estimate is based on the assumption that both portals will reuse the current portal’s look and feel, with scope subject to adjustment if mockups introduce additional design or functional requirements.</t>
  </si>
  <si>
    <t>D2C Planholder Portal Build</t>
  </si>
  <si>
    <t>Allow D2C planholders to create their own quote and purchase a new policy within the portal experience.</t>
  </si>
  <si>
    <t>Embed a self-service page allowing planholders to create a quote, view prices (public pricing), and pay via Bumper for a new policy.</t>
  </si>
  <si>
    <r>
      <rPr>
        <rFont val="Rubik"/>
      </rPr>
      <t>This work assumes the implementation aligns with the approved design documentation (</t>
    </r>
    <r>
      <rPr>
        <rFont val="Rubik"/>
        <color rgb="FF1155CC"/>
        <u/>
      </rPr>
      <t>HERE</t>
    </r>
    <r>
      <rPr>
        <rFont val="Rubik"/>
      </rPr>
      <t>), which serves as the source of truth for functionality, data flow, and system behavior.
Must use the unified pricing engine and Bumper payment flow.</t>
    </r>
  </si>
  <si>
    <t>Dealer Portal: Dealership Portal Build</t>
  </si>
  <si>
    <t>Provide dealerships access to policies they have sold, claims information, and the ability to quote/add new policies.</t>
  </si>
  <si>
    <t>Build the Dealer-facing portal with: Plan List View, Plan Detail View (read-only) , Quoting Process , Performance Dashboards , Billing Page , and Account Management Page.</t>
  </si>
  <si>
    <r>
      <rPr>
        <rFont val="Rubik"/>
      </rPr>
      <t>This work assumes the implementation aligns with the approved design documentation (</t>
    </r>
    <r>
      <rPr>
        <rFont val="Rubik"/>
        <color rgb="FF1155CC"/>
        <u/>
      </rPr>
      <t>HERE</t>
    </r>
    <r>
      <rPr>
        <rFont val="Rubik"/>
      </rPr>
      <t xml:space="preserve">), which serves as the source of truth for functionality, data flow, and system behavior.
- Ability for dealership to add a policy (build a quote proof of concept as foundation) which includes referencing pricing objects in HubSpot and includes tax
- Ability to call and return vehicle information from an external database WarrantyFirst provides Aptitude 8 access to. This database must have stable APIs or a change order will result.
- Ability to run approval process on policies submitted by a dealership
- Ability for dealership to see the count of claims, their IDs, and status, only
- Aptitude 8 will create 1 CRM card for the cover level object, or which ever name(s) we use for objects represent pricing, in the middle pane so it is easy for Admins to update pricing related to a customer
</t>
    </r>
    <r>
      <rPr>
        <rFont val="Rubik"/>
        <b/>
      </rPr>
      <t>- Aptitude 8 will not provide design work for the portal. However, Aptitude 8 will consult the WF team on design to ensure it's within budget and HubSpot friendly.</t>
    </r>
  </si>
  <si>
    <t>Invoicing Integrations</t>
  </si>
  <si>
    <t xml:space="preserve">Xero Integration: Dealer Invoicing </t>
  </si>
  <si>
    <t>Automatically generate Xero invoices for approved policies and handle payment reconciliation.</t>
  </si>
  <si>
    <t>Implement Custom Code Actions (CCA) and Xero webhooks to: 1. Create Xero invoices (ACCREC) weekly for approved plans, including detailed line items. 2. Handle both Direct Debit (SmarterPay) and Stripe payments. 3. Update HubSpot plan and invoice records to "Paid" via Xero webhook. 4. Handle Month-End split invoicing.</t>
  </si>
  <si>
    <r>
      <rPr>
        <rFont val="Rubik"/>
      </rPr>
      <t>This work assumes the implementation aligns with the approved design documentation (</t>
    </r>
    <r>
      <rPr>
        <rFont val="Rubik"/>
        <color rgb="FF1155CC"/>
        <u/>
      </rPr>
      <t>HERE</t>
    </r>
    <r>
      <rPr>
        <rFont val="Rubik"/>
      </rPr>
      <t>), which serves as the source of truth for functionality, data flow, and system behavior.
Refunds and credit notes remain manual; automation will not initiate refunds or reversals due to financial and compliance risk.
Warranty First retains ownership of accounting decisions; Aptitude 8 implements logic as specified but does not determine accounting treatment.
Xero branding themes and Stripe configuration are preconfigured; Aptitude 8 will reference existing configurations but will not design or modify them.
Aptitude 8 will be able to test with a Xero Sandbox.
Any new invoice type, payment method, or approval path is out of scope, including:
  - Partial payments
  - Dealer credits applied across invoices
  - Multi-currency handling
  - Pro-rata adjustments outside defined logic</t>
    </r>
  </si>
  <si>
    <t>Increase in Complexity: The original single-system integration is replaced by a complex, multi-system, bidirectional financial hub. The process requires multiple Custom Code Actions (CCA) and webhook handlers across all three platforms to manage payment and reconciliation.
Still TBD: 
1. All invoicing scenarios that need to be accounted for. Call 12/16 scheduled to review scenarios.</t>
  </si>
  <si>
    <t>SmarterPay Integration</t>
  </si>
  <si>
    <t>Automate direct debit mandate creation and payment collection from enrolled dealers.</t>
  </si>
  <si>
    <t>Implement SmarterPay webhooks and Custom Code Actions to: 1. Receive mandate and customer account creation webhooks from SmarterPay to update HubSpot and Xero dealer records with AUDDIS (mandate ID). 2. Trigger payment charge in SmarterPay via API when Xero invoice is "Authorized". 3. Receive SmarterPay payment success webhook to apply payment to Xero invoice.</t>
  </si>
  <si>
    <r>
      <rPr>
        <rFont val="Rubik"/>
      </rPr>
      <t>This work assumes the implementation aligns with the approved design documentation (</t>
    </r>
    <r>
      <rPr>
        <rFont val="Rubik"/>
        <color rgb="FF1155CC"/>
        <u/>
      </rPr>
      <t>HERE</t>
    </r>
    <r>
      <rPr>
        <rFont val="Rubik"/>
      </rPr>
      <t>), which serves as the source of truth for functionality, data flow, and system behavior.
Dealer email address is the primary cross-system identifier.
Inconsistencies in dealer or mandate data may require manual cleanup and are out of scope.
Each dealer has a single active SmarterPay mandate; multi-mandate or partial mandate logic is out of scope.
API rate limits and email limits are acceptable for projected volume; scaling beyond these limits may require re-architecture.
Webhooks are delivered reliably by SmarterPay; retry and logging will be implemented, but Aptitude 8 is not responsible for third-party outages.</t>
    </r>
  </si>
  <si>
    <t>Training and Documentation</t>
  </si>
  <si>
    <t>Train users on general HubSpot usage and custom solutions built.</t>
  </si>
  <si>
    <t>Conduct up to 3 live end-user training sessions, 2 "train the trainer" sessions, and deliver custom documentation on built processes.</t>
  </si>
  <si>
    <t>Warranty First facilitates scheduling and distribution. Includes post go-live support.</t>
  </si>
  <si>
    <t>Consulting</t>
  </si>
  <si>
    <t>Project Kickoff</t>
  </si>
  <si>
    <t>Kickoff and initiate the project, ensuring clear objectives and shared understanding.</t>
  </si>
  <si>
    <t>Conduct Project Kickoff meeting and manage all initial onboarding tasks.</t>
  </si>
  <si>
    <t>Onboarding and Closeout</t>
  </si>
  <si>
    <t>Manage the project lifecycle from initial setup through final deployment and closeout.</t>
  </si>
  <si>
    <t>Manage final deployment, closeout procedures, and provide visibility to budget spend.</t>
  </si>
  <si>
    <t>Recurring Project Check-ins</t>
  </si>
  <si>
    <t>Maintain regular communication and ensure project remains on track with clear accountability.</t>
  </si>
  <si>
    <t>Conduct regular check-in meetings with defined agendas and follow-ups.</t>
  </si>
  <si>
    <t>Project Administration</t>
  </si>
  <si>
    <t>Handle all administrative tasks, documentation, and coordination necessary for project execution.</t>
  </si>
  <si>
    <t>Manage project documentation, update Gantt charts, and track all tasks and dependencies.</t>
  </si>
  <si>
    <t>Proposal + Project Details</t>
  </si>
  <si>
    <t xml:space="preserve">Warranty First aims to enhance their CRM functionality by integrating HubSpot with key business systems like QuickBooks and Power BI, streamlining financial management and analytical reporting. They prioritize automation of sales pipelines and customization of quotes to improve operational efficiency and customer engagement. A strategic partnership is sought for long-term optimization and scalability of their CRM ecosystem.  Warranty First end goal is a cohesive, data-driven environment that supports growth and adapts to evolving business needs.	</t>
  </si>
  <si>
    <t>Deal Inputs</t>
  </si>
  <si>
    <t>Deal + Asset Links</t>
  </si>
  <si>
    <t>Company Name</t>
  </si>
  <si>
    <t>Google Folder</t>
  </si>
  <si>
    <t>Deal Record ID</t>
  </si>
  <si>
    <t>Deal Link</t>
  </si>
  <si>
    <t>Last Sync to HubSpot</t>
  </si>
  <si>
    <t>Solutions Architect</t>
  </si>
  <si>
    <t>Request Scope Review</t>
  </si>
  <si>
    <t>scoping_status</t>
  </si>
  <si>
    <t>Service Library Message</t>
  </si>
  <si>
    <t>Scope Reviewed</t>
  </si>
  <si>
    <t>scoped_reviewed</t>
  </si>
  <si>
    <t>Engagement Inputs</t>
  </si>
  <si>
    <t>NOW Project</t>
  </si>
  <si>
    <t>Hourly Project Rate</t>
  </si>
  <si>
    <t>project_hourly_rate</t>
  </si>
  <si>
    <t>Project Management Factor</t>
  </si>
  <si>
    <t>SA Expected Start Date</t>
  </si>
  <si>
    <t>Total Project Months</t>
  </si>
  <si>
    <t>project_duration</t>
  </si>
  <si>
    <t>NEXT Retainer</t>
  </si>
  <si>
    <t>Hourly NEXT Retainer Rate</t>
  </si>
  <si>
    <t>retainer_hourly_rate</t>
  </si>
  <si>
    <t>NEXT Hours Per Month</t>
  </si>
  <si>
    <t>retainer_hours_per_month_sold</t>
  </si>
  <si>
    <t>NEXT Retainer Months</t>
  </si>
  <si>
    <t>retainer_months_sold</t>
  </si>
  <si>
    <t>Calculated Project Details</t>
  </si>
  <si>
    <t>Calculated Ranges</t>
  </si>
  <si>
    <t>Low Hours</t>
  </si>
  <si>
    <t>High Hours</t>
  </si>
  <si>
    <t>Deal Amount</t>
  </si>
  <si>
    <t>amount</t>
  </si>
  <si>
    <t>Service Estimates:</t>
  </si>
  <si>
    <t>Total Engagement Hours Sold</t>
  </si>
  <si>
    <t>sold_hours</t>
  </si>
  <si>
    <t>Project Management:</t>
  </si>
  <si>
    <t>Total Project Hours Sold</t>
  </si>
  <si>
    <t>project_hours_sold</t>
  </si>
  <si>
    <t>Post-Project Support:</t>
  </si>
  <si>
    <t>Total Retainer Hours Sold</t>
  </si>
  <si>
    <t>Hour Estimates:</t>
  </si>
  <si>
    <t>Expected End Date</t>
  </si>
  <si>
    <t>Investment Ranges:</t>
  </si>
  <si>
    <t>Expected Project Hours/Month</t>
  </si>
  <si>
    <t>Linear Expected Project Hours/Week</t>
  </si>
  <si>
    <t>Total Estimated Engagement Hours:</t>
  </si>
  <si>
    <t>Peak Project Expected Hours</t>
  </si>
  <si>
    <t>Total Estimated Investment:</t>
  </si>
  <si>
    <t>Low Project Expected Hours</t>
  </si>
  <si>
    <t>Dev Work Percentage</t>
  </si>
  <si>
    <t>dev_work_pct</t>
  </si>
  <si>
    <t>SE Work Percentage</t>
  </si>
  <si>
    <t>se_work_pct</t>
  </si>
  <si>
    <t>Calculated Function Summary</t>
  </si>
  <si>
    <t>SOW Summarized Line Items</t>
  </si>
  <si>
    <t>Percent of</t>
  </si>
  <si>
    <t>Sum of Function-Based Hours</t>
  </si>
  <si>
    <r>
      <rPr>
        <rFont val="Rubik"/>
        <b/>
        <color rgb="FFFFFFFF"/>
        <sz val="24.0"/>
      </rPr>
      <t xml:space="preserve">New Section Template
</t>
    </r>
    <r>
      <rPr>
        <rFont val="Rubik"/>
        <color rgb="FFFFFFFF"/>
      </rPr>
      <t>Note: Please do not edit rows 4 to 8, or change any volume of columns or it will break the script that pulls this content into the overview doc.</t>
    </r>
  </si>
  <si>
    <r>
      <rPr>
        <rFont val="Rubik"/>
        <b/>
        <color theme="1"/>
        <sz val="12.0"/>
      </rPr>
      <t xml:space="preserve">Generic Section: </t>
    </r>
    <r>
      <rPr>
        <rFont val="Rubik"/>
        <b val="0"/>
        <color theme="1"/>
        <sz val="12.0"/>
      </rPr>
      <t>Summary about the delivery item</t>
    </r>
  </si>
  <si>
    <t>Lorem Ipsum</t>
  </si>
  <si>
    <t xml:space="preserve">⊳ </t>
  </si>
  <si>
    <r>
      <rPr>
        <rFont val="Rubik"/>
        <b/>
        <color theme="1"/>
        <sz val="12.0"/>
      </rPr>
      <t xml:space="preserve">Generic: </t>
    </r>
    <r>
      <rPr>
        <rFont val="Rubik"/>
        <b val="0"/>
        <color theme="1"/>
        <sz val="12.0"/>
      </rPr>
      <t>Summary about the delivery item</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</si>
</sst>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H:mm:ss"/>
    <numFmt numFmtId="166" formatCode="&quot;$&quot;#,##0"/>
    <numFmt numFmtId="167" formatCode="m/d/yyyy"/>
  </numFmts>
  <fonts count="30">
    <font>
      <sz val="10.0"/>
      <color rgb="FF000000"/>
      <name val="Arial"/>
      <scheme val="minor"/>
    </font>
    <font>
      <color theme="1"/>
      <name val="Rubik"/>
    </font>
    <font>
      <b/>
      <sz val="17.0"/>
      <color rgb="FFFFFFFF"/>
      <name val="Rubik"/>
    </font>
    <font>
      <b/>
      <sz val="11.0"/>
      <color rgb="FFFFFFFF"/>
      <name val="Rubik"/>
    </font>
    <font>
      <b/>
      <sz val="14.0"/>
      <color theme="1"/>
      <name val="Rubik"/>
    </font>
    <font>
      <sz val="12.0"/>
      <color theme="1"/>
      <name val="Rubik"/>
    </font>
    <font>
      <b/>
      <sz val="12.0"/>
      <color theme="1"/>
      <name val="Rubik"/>
    </font>
    <font>
      <b/>
      <sz val="10.0"/>
      <color theme="1"/>
      <name val="Rubik"/>
    </font>
    <font>
      <b/>
      <color theme="1"/>
      <name val="Rubik"/>
    </font>
    <font>
      <color theme="1"/>
      <name val="Arial"/>
    </font>
    <font>
      <u/>
      <color rgb="FF0000FF"/>
      <name val="Rubik"/>
    </font>
    <font>
      <color rgb="FF1F1F1F"/>
      <name val="Rubik"/>
    </font>
    <font>
      <u/>
      <color rgb="FF0000FF"/>
      <name val="Rubik"/>
    </font>
    <font>
      <b/>
      <color theme="1"/>
      <name val="Arial"/>
    </font>
    <font>
      <color rgb="FF000000"/>
      <name val="Rubik"/>
    </font>
    <font>
      <u/>
      <color rgb="FF000000"/>
      <name val="Rubik"/>
    </font>
    <font>
      <color theme="1"/>
      <name val="Arial"/>
      <scheme val="minor"/>
    </font>
    <font>
      <b/>
      <color rgb="FF000000"/>
      <name val="Rubik"/>
    </font>
    <font/>
    <font>
      <b/>
      <sz val="9.0"/>
      <color theme="1"/>
      <name val="Rubik"/>
    </font>
    <font>
      <color rgb="FFFFFFFF"/>
      <name val="Rubik"/>
    </font>
    <font>
      <b/>
      <sz val="14.0"/>
      <color rgb="FFFFFFFF"/>
      <name val="Rubik"/>
    </font>
    <font>
      <sz val="9.0"/>
      <color theme="1"/>
      <name val="Rubik"/>
    </font>
    <font>
      <u/>
      <color rgb="FF0000FF"/>
      <name val="Rubik"/>
    </font>
    <font>
      <sz val="9.0"/>
      <color rgb="FF000000"/>
      <name val="Rubik"/>
    </font>
    <font>
      <sz val="9.0"/>
      <color theme="1"/>
      <name val="Arial"/>
      <scheme val="minor"/>
    </font>
    <font>
      <color rgb="FFB7B7B7"/>
      <name val="Rubik"/>
    </font>
    <font>
      <sz val="10.0"/>
      <color theme="1"/>
      <name val="Rubik"/>
    </font>
    <font>
      <sz val="8.0"/>
      <color theme="1"/>
      <name val="Rubik"/>
    </font>
    <font>
      <b/>
      <color rgb="FFB7B7B7"/>
      <name val="Rubik"/>
    </font>
  </fonts>
  <fills count="8">
    <fill>
      <patternFill patternType="none"/>
    </fill>
    <fill>
      <patternFill patternType="lightGray"/>
    </fill>
    <fill>
      <patternFill patternType="solid">
        <fgColor rgb="FF000000"/>
        <bgColor rgb="FF000000"/>
      </patternFill>
    </fill>
    <fill>
      <patternFill patternType="solid">
        <fgColor rgb="FFFBBC04"/>
        <bgColor rgb="FFFBBC04"/>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s>
  <borders count="22">
    <border/>
    <border>
      <top style="thin">
        <color rgb="FFFFE599"/>
      </top>
    </border>
    <border>
      <bottom style="medium">
        <color rgb="FF666666"/>
      </bottom>
    </border>
    <border>
      <left style="medium">
        <color rgb="FFFBBC04"/>
      </left>
      <top style="medium">
        <color rgb="FFFBBC04"/>
      </top>
    </border>
    <border>
      <top style="medium">
        <color rgb="FFFBBC04"/>
      </top>
    </border>
    <border>
      <right style="medium">
        <color rgb="FFFBBC04"/>
      </right>
      <top style="medium">
        <color rgb="FFFBBC04"/>
      </top>
    </border>
    <border>
      <left style="medium">
        <color rgb="FFFBBC04"/>
      </left>
      <bottom style="thin">
        <color rgb="FFFFFFFF"/>
      </bottom>
    </border>
    <border>
      <bottom style="thin">
        <color rgb="FFFFFFFF"/>
      </bottom>
    </border>
    <border>
      <right style="medium">
        <color rgb="FFFBBC04"/>
      </right>
    </border>
    <border>
      <left style="medium">
        <color rgb="FFFBBC04"/>
      </left>
      <bottom style="medium">
        <color rgb="FFFBBC04"/>
      </bottom>
    </border>
    <border>
      <bottom style="medium">
        <color rgb="FFFBBC04"/>
      </bottom>
    </border>
    <border>
      <right style="medium">
        <color rgb="FFFBBC04"/>
      </right>
      <bottom style="medium">
        <color rgb="FFFBBC04"/>
      </bottom>
    </border>
    <border>
      <top style="thick">
        <color rgb="FFFBBC04"/>
      </top>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top style="medium">
        <color rgb="FF000000"/>
      </top>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2" numFmtId="0" xfId="0" applyAlignment="1" applyFont="1">
      <alignment readingOrder="0" vertical="center"/>
    </xf>
    <xf borderId="1" fillId="2" fontId="1" numFmtId="0" xfId="0" applyAlignment="1" applyBorder="1" applyFont="1">
      <alignment vertical="center"/>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readingOrder="0" vertical="center"/>
    </xf>
    <xf borderId="0" fillId="0" fontId="1" numFmtId="0" xfId="0" applyAlignment="1" applyFont="1">
      <alignment vertical="center"/>
    </xf>
    <xf borderId="0" fillId="0" fontId="1" numFmtId="0" xfId="0" applyAlignment="1" applyFont="1">
      <alignment vertical="bottom"/>
    </xf>
    <xf borderId="0" fillId="0" fontId="1" numFmtId="0" xfId="0" applyAlignment="1" applyFont="1">
      <alignment shrinkToFit="0" vertical="bottom" wrapText="1"/>
    </xf>
    <xf borderId="2" fillId="0" fontId="4"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1"/>
    </xf>
    <xf borderId="0" fillId="0" fontId="1" numFmtId="0" xfId="0" applyAlignment="1" applyFont="1">
      <alignment readingOrder="0" shrinkToFit="0" vertical="center" wrapText="1"/>
    </xf>
    <xf borderId="0" fillId="0" fontId="1" numFmtId="0" xfId="0" applyFont="1"/>
    <xf borderId="0" fillId="0" fontId="1" numFmtId="0" xfId="0" applyAlignment="1" applyFont="1">
      <alignment shrinkToFit="0" wrapText="1"/>
    </xf>
    <xf borderId="0" fillId="3" fontId="5" numFmtId="0" xfId="0" applyAlignment="1" applyFill="1" applyFont="1">
      <alignment horizontal="center" readingOrder="0" shrinkToFit="0" vertical="center" wrapText="0"/>
    </xf>
    <xf borderId="0" fillId="3" fontId="6" numFmtId="0" xfId="0" applyAlignment="1" applyFont="1">
      <alignment readingOrder="0" shrinkToFit="0" vertical="center" wrapText="0"/>
    </xf>
    <xf borderId="0" fillId="3" fontId="5" numFmtId="0" xfId="0" applyAlignment="1" applyFont="1">
      <alignment shrinkToFit="0" vertical="center" wrapText="0"/>
    </xf>
    <xf borderId="0" fillId="3" fontId="6" numFmtId="0" xfId="0" applyAlignment="1" applyFont="1">
      <alignment horizontal="center"/>
    </xf>
    <xf borderId="0" fillId="3" fontId="7" numFmtId="0" xfId="0" applyAlignment="1" applyFont="1">
      <alignment horizontal="center" readingOrder="0" shrinkToFit="0" vertical="center" wrapText="0"/>
    </xf>
    <xf borderId="0" fillId="3" fontId="6" numFmtId="0" xfId="0" applyAlignment="1" applyFont="1">
      <alignment horizontal="center" shrinkToFit="0" vertical="center" wrapText="1"/>
    </xf>
    <xf borderId="0" fillId="0" fontId="1" numFmtId="0" xfId="0" applyAlignment="1" applyFont="1">
      <alignment horizontal="left" shrinkToFit="0" vertical="center" wrapText="1"/>
    </xf>
    <xf borderId="0" fillId="0" fontId="8" numFmtId="0" xfId="0" applyAlignment="1" applyFont="1">
      <alignment horizontal="left"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8"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vertical="center"/>
    </xf>
    <xf borderId="0" fillId="0" fontId="9" numFmtId="3" xfId="0" applyAlignment="1" applyFont="1" applyNumberFormat="1">
      <alignment horizontal="center" shrinkToFit="0" vertical="center" wrapText="1"/>
    </xf>
    <xf borderId="0" fillId="0" fontId="1" numFmtId="3" xfId="0" applyAlignment="1" applyFont="1" applyNumberFormat="1">
      <alignment vertical="center"/>
    </xf>
    <xf borderId="0" fillId="3" fontId="5" numFmtId="3" xfId="0" applyAlignment="1" applyFont="1" applyNumberFormat="1">
      <alignment shrinkToFit="0" vertical="center" wrapText="0"/>
    </xf>
    <xf borderId="0" fillId="3" fontId="5" numFmtId="0" xfId="0" applyAlignment="1" applyFont="1">
      <alignment shrinkToFit="0" vertical="center" wrapText="0"/>
    </xf>
    <xf borderId="0" fillId="3" fontId="6" numFmtId="0" xfId="0" applyAlignment="1" applyFont="1">
      <alignment horizontal="center" readingOrder="0" shrinkToFit="0" vertical="center" wrapText="1"/>
    </xf>
    <xf borderId="0" fillId="4" fontId="1" numFmtId="0" xfId="0" applyAlignment="1" applyFill="1" applyFont="1">
      <alignment vertical="center"/>
    </xf>
    <xf borderId="0" fillId="4" fontId="8" numFmtId="0" xfId="0" applyAlignment="1" applyFont="1">
      <alignment shrinkToFit="0" vertical="center" wrapText="1"/>
    </xf>
    <xf borderId="0" fillId="4" fontId="1" numFmtId="3" xfId="0" applyAlignment="1" applyFont="1" applyNumberFormat="1">
      <alignment readingOrder="0" shrinkToFit="0" vertical="center" wrapText="1"/>
    </xf>
    <xf borderId="0" fillId="4" fontId="1" numFmtId="0" xfId="0" applyAlignment="1" applyFont="1">
      <alignment shrinkToFit="0" vertical="center" wrapText="1"/>
    </xf>
    <xf borderId="0" fillId="4" fontId="1" numFmtId="3" xfId="0" applyAlignment="1" applyFont="1" applyNumberFormat="1">
      <alignment horizontal="center" shrinkToFit="0" vertical="center" wrapText="1"/>
    </xf>
    <xf borderId="0" fillId="4" fontId="1" numFmtId="0" xfId="0" applyAlignment="1" applyFont="1">
      <alignment horizontal="center" readingOrder="0" shrinkToFit="0" vertical="center" wrapText="1"/>
    </xf>
    <xf borderId="0" fillId="4" fontId="1" numFmtId="3" xfId="0" applyAlignment="1" applyFont="1" applyNumberFormat="1">
      <alignment shrinkToFit="0" vertical="center" wrapText="1"/>
    </xf>
    <xf borderId="0" fillId="4" fontId="1" numFmtId="0" xfId="0" applyAlignment="1" applyFont="1">
      <alignment vertical="center"/>
    </xf>
    <xf borderId="0" fillId="4" fontId="1" numFmtId="3" xfId="0" applyAlignment="1" applyFont="1" applyNumberFormat="1">
      <alignment horizontal="center" readingOrder="0" shrinkToFit="0" vertical="center" wrapText="1"/>
    </xf>
    <xf borderId="0" fillId="4" fontId="5" numFmtId="0" xfId="0" applyAlignment="1" applyFont="1">
      <alignment horizontal="center" readingOrder="0" shrinkToFit="0" vertical="center" wrapText="0"/>
    </xf>
    <xf borderId="0" fillId="4" fontId="6" numFmtId="0" xfId="0" applyAlignment="1" applyFont="1">
      <alignment readingOrder="0" shrinkToFit="0" vertical="center" wrapText="0"/>
    </xf>
    <xf borderId="0" fillId="4" fontId="5" numFmtId="3" xfId="0" applyAlignment="1" applyFont="1" applyNumberFormat="1">
      <alignment shrinkToFit="0" vertical="center" wrapText="0"/>
    </xf>
    <xf borderId="0" fillId="4" fontId="5" numFmtId="0" xfId="0" applyAlignment="1" applyFont="1">
      <alignment shrinkToFit="0" vertical="center" wrapText="0"/>
    </xf>
    <xf borderId="0" fillId="4" fontId="5" numFmtId="0" xfId="0" applyAlignment="1" applyFont="1">
      <alignment shrinkToFit="0" vertical="center" wrapText="0"/>
    </xf>
    <xf borderId="0" fillId="4" fontId="6" numFmtId="0" xfId="0" applyAlignment="1" applyFont="1">
      <alignment horizontal="center"/>
    </xf>
    <xf borderId="0" fillId="4" fontId="7" numFmtId="0" xfId="0" applyAlignment="1" applyFont="1">
      <alignment horizontal="center" readingOrder="0" shrinkToFit="0" vertical="center" wrapText="0"/>
    </xf>
    <xf borderId="0" fillId="4" fontId="6" numFmtId="0" xfId="0" applyAlignment="1" applyFont="1">
      <alignment horizontal="center" shrinkToFit="0" vertical="center" wrapText="1"/>
    </xf>
    <xf borderId="0" fillId="4" fontId="1" numFmtId="0" xfId="0" applyAlignment="1" applyFont="1">
      <alignment horizontal="center" shrinkToFit="0" vertical="center" wrapText="1"/>
    </xf>
    <xf borderId="0" fillId="4" fontId="10" numFmtId="0" xfId="0" applyAlignment="1" applyFont="1">
      <alignment shrinkToFit="0" vertical="center" wrapText="1"/>
    </xf>
    <xf borderId="0" fillId="3" fontId="5" numFmtId="0" xfId="0" applyAlignment="1" applyFont="1">
      <alignment horizontal="center" vertical="center"/>
    </xf>
    <xf borderId="0" fillId="3" fontId="6" numFmtId="0" xfId="0" applyAlignment="1" applyFont="1">
      <alignment readingOrder="0" vertical="center"/>
    </xf>
    <xf borderId="0" fillId="3" fontId="9" numFmtId="0" xfId="0" applyAlignment="1" applyFont="1">
      <alignment vertical="center"/>
    </xf>
    <xf borderId="0" fillId="3" fontId="6" numFmtId="0" xfId="0" applyAlignment="1" applyFont="1">
      <alignment horizontal="center" vertical="center"/>
    </xf>
    <xf borderId="0" fillId="3" fontId="8" numFmtId="0" xfId="0" applyAlignment="1" applyFont="1">
      <alignment horizontal="center" vertical="center"/>
    </xf>
    <xf borderId="0" fillId="3" fontId="9" numFmtId="0" xfId="0" applyAlignment="1" applyFont="1">
      <alignment vertical="center"/>
    </xf>
    <xf borderId="0" fillId="4" fontId="9" numFmtId="0" xfId="0" applyAlignment="1" applyFont="1">
      <alignment vertical="center"/>
    </xf>
    <xf borderId="0" fillId="4" fontId="8" numFmtId="0" xfId="0" applyAlignment="1" applyFont="1">
      <alignment readingOrder="0" shrinkToFit="0" vertical="center" wrapText="1"/>
    </xf>
    <xf borderId="0" fillId="4" fontId="11" numFmtId="0" xfId="0" applyAlignment="1" applyFont="1">
      <alignment shrinkToFit="0" vertical="center" wrapText="1"/>
    </xf>
    <xf borderId="0" fillId="4" fontId="5" numFmtId="0" xfId="0" applyAlignment="1" applyFont="1">
      <alignment horizontal="center"/>
    </xf>
    <xf borderId="0" fillId="4" fontId="6" numFmtId="0" xfId="0" applyAlignment="1" applyFont="1">
      <alignment readingOrder="0"/>
    </xf>
    <xf borderId="0" fillId="4" fontId="9" numFmtId="0" xfId="0" applyFont="1"/>
    <xf borderId="0" fillId="4" fontId="8" numFmtId="0" xfId="0" applyAlignment="1" applyFont="1">
      <alignment horizontal="center" readingOrder="0"/>
    </xf>
    <xf borderId="0" fillId="4" fontId="9" numFmtId="0" xfId="0" applyFont="1"/>
    <xf borderId="0" fillId="3" fontId="5" numFmtId="0" xfId="0" applyAlignment="1" applyFont="1">
      <alignment horizontal="center"/>
    </xf>
    <xf borderId="0" fillId="3" fontId="6" numFmtId="0" xfId="0" applyAlignment="1" applyFont="1">
      <alignment readingOrder="0"/>
    </xf>
    <xf borderId="0" fillId="3" fontId="9" numFmtId="0" xfId="0" applyFont="1"/>
    <xf borderId="0" fillId="3" fontId="8" numFmtId="0" xfId="0" applyAlignment="1" applyFont="1">
      <alignment horizontal="center" readingOrder="0"/>
    </xf>
    <xf borderId="0" fillId="3" fontId="9" numFmtId="0" xfId="0" applyFont="1"/>
    <xf borderId="0" fillId="0" fontId="1" numFmtId="0" xfId="0" applyAlignment="1" applyFont="1">
      <alignment horizontal="center"/>
    </xf>
    <xf borderId="0" fillId="4" fontId="1" numFmtId="0" xfId="0" applyAlignment="1" applyFont="1">
      <alignment readingOrder="0" shrinkToFit="0" vertical="center" wrapText="1"/>
    </xf>
    <xf borderId="0" fillId="4" fontId="12" numFmtId="0" xfId="0" applyAlignment="1" applyFont="1">
      <alignment readingOrder="0" shrinkToFit="0" vertical="center" wrapText="1"/>
    </xf>
    <xf borderId="0" fillId="4" fontId="8"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center" readingOrder="0" vertical="center"/>
    </xf>
    <xf borderId="0" fillId="4" fontId="1" numFmtId="0" xfId="0" applyAlignment="1" applyFont="1">
      <alignment shrinkToFit="0" vertical="center" wrapText="1"/>
    </xf>
    <xf borderId="0" fillId="4" fontId="1" numFmtId="3" xfId="0" applyAlignment="1" applyFont="1" applyNumberFormat="1">
      <alignment horizontal="center" vertical="center"/>
    </xf>
    <xf borderId="0" fillId="4" fontId="1" numFmtId="0" xfId="0" applyAlignment="1" applyFont="1">
      <alignment horizontal="center" vertical="center"/>
    </xf>
    <xf borderId="0" fillId="0" fontId="9" numFmtId="0" xfId="0" applyFont="1"/>
    <xf borderId="0" fillId="4" fontId="13" numFmtId="0" xfId="0" applyAlignment="1" applyFont="1">
      <alignment readingOrder="0" shrinkToFit="0" vertical="center" wrapText="1"/>
    </xf>
    <xf borderId="0" fillId="4" fontId="9" numFmtId="0" xfId="0" applyAlignment="1" applyFont="1">
      <alignment readingOrder="0" shrinkToFit="0" vertical="center" wrapText="1"/>
    </xf>
    <xf borderId="0" fillId="4" fontId="9" numFmtId="0" xfId="0" applyAlignment="1" applyFont="1">
      <alignment shrinkToFit="0" vertical="center" wrapText="1"/>
    </xf>
    <xf borderId="0" fillId="4" fontId="9" numFmtId="0" xfId="0" applyAlignment="1" applyFont="1">
      <alignment horizontal="center" shrinkToFit="0" vertical="center" wrapText="1"/>
    </xf>
    <xf borderId="0" fillId="4" fontId="9" numFmtId="0" xfId="0" applyAlignment="1" applyFont="1">
      <alignment horizontal="center" readingOrder="0" shrinkToFit="0" vertical="center" wrapText="1"/>
    </xf>
    <xf borderId="0" fillId="0" fontId="8"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horizontal="center" readingOrder="0"/>
    </xf>
    <xf borderId="0" fillId="0" fontId="1" numFmtId="0" xfId="0" applyAlignment="1" applyFont="1">
      <alignment horizontal="center"/>
    </xf>
    <xf borderId="0" fillId="3" fontId="6" numFmtId="0" xfId="0" applyAlignment="1" applyFont="1">
      <alignment horizontal="center" readingOrder="0"/>
    </xf>
    <xf borderId="0" fillId="4" fontId="14" numFmtId="0" xfId="0" applyAlignment="1" applyFont="1">
      <alignment horizontal="left" readingOrder="0" shrinkToFit="0" vertical="center" wrapText="1"/>
    </xf>
    <xf borderId="0" fillId="4" fontId="15" numFmtId="0" xfId="0" applyAlignment="1" applyFont="1">
      <alignment horizontal="center" readingOrder="0" shrinkToFit="0" vertical="center" wrapText="1"/>
    </xf>
    <xf borderId="0" fillId="3" fontId="5" numFmtId="0" xfId="0" applyAlignment="1" applyFont="1">
      <alignment horizontal="center" vertical="bottom"/>
    </xf>
    <xf borderId="0" fillId="3" fontId="8" numFmtId="0" xfId="0" applyAlignment="1" applyFont="1">
      <alignment horizontal="center" readingOrder="0" vertical="center"/>
    </xf>
    <xf borderId="0" fillId="3" fontId="9" numFmtId="0" xfId="0" applyAlignment="1" applyFont="1">
      <alignment shrinkToFit="0" vertical="center" wrapText="1"/>
    </xf>
    <xf borderId="0" fillId="3" fontId="9" numFmtId="0" xfId="0" applyAlignment="1" applyFont="1">
      <alignment vertical="bottom"/>
    </xf>
    <xf borderId="0" fillId="0" fontId="1" numFmtId="0" xfId="0" applyFont="1"/>
    <xf borderId="0" fillId="0" fontId="16" numFmtId="0" xfId="0" applyFont="1"/>
    <xf borderId="0" fillId="0" fontId="16" numFmtId="1" xfId="0" applyFont="1" applyNumberFormat="1"/>
    <xf borderId="0" fillId="4" fontId="17" numFmtId="0" xfId="0" applyAlignment="1" applyFont="1">
      <alignment shrinkToFit="0" vertical="center" wrapText="1"/>
    </xf>
    <xf borderId="0" fillId="4" fontId="14" numFmtId="0" xfId="0" applyAlignment="1" applyFont="1">
      <alignment shrinkToFit="0" vertical="center" wrapText="1"/>
    </xf>
    <xf borderId="0" fillId="4" fontId="14" numFmtId="0" xfId="0" applyAlignment="1" applyFont="1">
      <alignment vertical="center"/>
    </xf>
    <xf borderId="0" fillId="4" fontId="14" numFmtId="0" xfId="0" applyAlignment="1" applyFont="1">
      <alignment horizontal="center" readingOrder="0" shrinkToFit="0" vertical="center" wrapText="1"/>
    </xf>
    <xf borderId="0" fillId="0" fontId="16" numFmtId="0" xfId="0" applyAlignment="1" applyFont="1">
      <alignment vertical="center"/>
    </xf>
    <xf borderId="0" fillId="0" fontId="1" numFmtId="0" xfId="0" applyAlignment="1" applyFont="1">
      <alignment horizontal="center" vertical="center"/>
    </xf>
    <xf borderId="0" fillId="3" fontId="1" numFmtId="0" xfId="0" applyAlignment="1" applyFont="1">
      <alignment horizontal="center" readingOrder="0" shrinkToFit="0" vertical="center" wrapText="0"/>
    </xf>
    <xf borderId="0" fillId="3" fontId="1" numFmtId="0" xfId="0" applyAlignment="1" applyFont="1">
      <alignment shrinkToFit="0" vertical="center" wrapText="0"/>
    </xf>
    <xf borderId="0" fillId="3" fontId="6" numFmtId="1" xfId="0" applyAlignment="1" applyFont="1" applyNumberFormat="1">
      <alignment horizontal="center" readingOrder="0" shrinkToFit="0" vertical="center" wrapText="0"/>
    </xf>
    <xf borderId="0" fillId="4" fontId="7" numFmtId="0" xfId="0" applyAlignment="1" applyFont="1">
      <alignment readingOrder="0" vertical="center"/>
    </xf>
    <xf borderId="0" fillId="0" fontId="1" numFmtId="0" xfId="0" applyAlignment="1" applyFont="1">
      <alignment horizontal="center" shrinkToFit="0" vertical="center" wrapText="1"/>
    </xf>
    <xf borderId="0" fillId="0" fontId="7" numFmtId="0" xfId="0" applyAlignment="1" applyFont="1">
      <alignment readingOrder="0" shrinkToFit="0" vertical="center" wrapText="1"/>
    </xf>
    <xf borderId="0" fillId="0" fontId="1" numFmtId="1" xfId="0" applyAlignment="1" applyFont="1" applyNumberFormat="1">
      <alignment vertical="center"/>
    </xf>
    <xf borderId="0" fillId="0" fontId="7" numFmtId="0" xfId="0" applyAlignment="1" applyFont="1">
      <alignment readingOrder="0" vertical="center"/>
    </xf>
    <xf borderId="0" fillId="0" fontId="8" numFmtId="0" xfId="0" applyAlignment="1" applyFont="1">
      <alignment vertical="center"/>
    </xf>
    <xf borderId="0" fillId="3" fontId="6" numFmtId="0" xfId="0" applyAlignment="1" applyFont="1">
      <alignment horizontal="center" readingOrder="0" shrinkToFit="0" vertical="center" wrapText="0"/>
    </xf>
    <xf borderId="0" fillId="3" fontId="5" numFmtId="0" xfId="0" applyAlignment="1" applyFont="1">
      <alignment shrinkToFit="0" vertical="center" wrapText="1"/>
    </xf>
    <xf borderId="0" fillId="4" fontId="8" numFmtId="0" xfId="0" applyAlignment="1" applyFont="1">
      <alignment readingOrder="0" vertical="center"/>
    </xf>
    <xf borderId="0" fillId="0" fontId="1" numFmtId="3" xfId="0" applyAlignment="1" applyFont="1" applyNumberFormat="1">
      <alignment readingOrder="0" vertical="center"/>
    </xf>
    <xf borderId="0" fillId="0" fontId="8" numFmtId="0" xfId="0" applyAlignment="1" applyFont="1">
      <alignment horizontal="right" readingOrder="0" vertical="center"/>
    </xf>
    <xf borderId="0" fillId="0" fontId="1" numFmtId="0" xfId="0" applyAlignment="1" applyFont="1">
      <alignment horizontal="center" readingOrder="0" vertical="center"/>
    </xf>
    <xf borderId="0" fillId="0" fontId="1" numFmtId="0" xfId="0" applyAlignment="1" applyFont="1">
      <alignment shrinkToFit="0" vertical="center" wrapText="1"/>
    </xf>
    <xf borderId="0" fillId="0" fontId="1" numFmtId="3" xfId="0" applyAlignment="1" applyFont="1" applyNumberFormat="1">
      <alignment horizontal="center" readingOrder="0" vertical="center"/>
    </xf>
    <xf borderId="3" fillId="0" fontId="4" numFmtId="0" xfId="0" applyAlignment="1" applyBorder="1" applyFont="1">
      <alignment horizontal="right" readingOrder="0" shrinkToFit="0" vertical="center" wrapText="0"/>
    </xf>
    <xf borderId="4" fillId="0" fontId="4" numFmtId="1" xfId="0" applyAlignment="1" applyBorder="1" applyFont="1" applyNumberFormat="1">
      <alignment horizontal="center" readingOrder="0" vertical="center"/>
    </xf>
    <xf borderId="4" fillId="0" fontId="18" numFmtId="0" xfId="0" applyBorder="1" applyFont="1"/>
    <xf borderId="4" fillId="0" fontId="19" numFmtId="0" xfId="0" applyAlignment="1" applyBorder="1" applyFont="1">
      <alignment horizontal="right" readingOrder="0" shrinkToFit="0" vertical="center" wrapText="1"/>
    </xf>
    <xf borderId="5" fillId="0" fontId="8" numFmtId="0" xfId="0" applyAlignment="1" applyBorder="1" applyFont="1">
      <alignment horizontal="left" readingOrder="0" shrinkToFit="0" vertical="center" wrapText="1"/>
    </xf>
    <xf borderId="0" fillId="4" fontId="20" numFmtId="0" xfId="0" applyAlignment="1" applyFont="1">
      <alignment readingOrder="0" shrinkToFit="0" vertical="center" wrapText="1"/>
    </xf>
    <xf borderId="6" fillId="0" fontId="18" numFmtId="0" xfId="0" applyBorder="1" applyFont="1"/>
    <xf borderId="7" fillId="0" fontId="18" numFmtId="0" xfId="0" applyBorder="1" applyFont="1"/>
    <xf borderId="0" fillId="0" fontId="19" numFmtId="0" xfId="0" applyAlignment="1" applyFont="1">
      <alignment horizontal="right" readingOrder="0" shrinkToFit="0" vertical="center" wrapText="1"/>
    </xf>
    <xf borderId="8" fillId="0" fontId="8" numFmtId="0" xfId="0" applyAlignment="1" applyBorder="1" applyFont="1">
      <alignment horizontal="left" readingOrder="0" shrinkToFit="0" vertical="center" wrapText="1"/>
    </xf>
    <xf borderId="9" fillId="0" fontId="4" numFmtId="0" xfId="0" applyAlignment="1" applyBorder="1" applyFont="1">
      <alignment horizontal="right" readingOrder="0" shrinkToFit="0" vertical="center" wrapText="0"/>
    </xf>
    <xf borderId="10" fillId="0" fontId="4" numFmtId="164" xfId="0" applyAlignment="1" applyBorder="1" applyFont="1" applyNumberFormat="1">
      <alignment horizontal="center" readingOrder="0" vertical="center"/>
    </xf>
    <xf borderId="10" fillId="0" fontId="18" numFmtId="0" xfId="0" applyBorder="1" applyFont="1"/>
    <xf borderId="10" fillId="0" fontId="1" numFmtId="0" xfId="0" applyAlignment="1" applyBorder="1" applyFont="1">
      <alignment readingOrder="0" shrinkToFit="0" vertical="center" wrapText="1"/>
    </xf>
    <xf borderId="11" fillId="0" fontId="1" numFmtId="0" xfId="0" applyAlignment="1" applyBorder="1" applyFont="1">
      <alignment readingOrder="0" shrinkToFit="0" vertical="center" wrapText="1"/>
    </xf>
    <xf borderId="0" fillId="0" fontId="21" numFmtId="0" xfId="0" applyAlignment="1" applyFont="1">
      <alignment horizontal="right" readingOrder="0" shrinkToFit="0" vertical="center" wrapText="0"/>
    </xf>
    <xf borderId="0" fillId="0" fontId="21" numFmtId="164" xfId="0" applyAlignment="1" applyFont="1" applyNumberFormat="1">
      <alignment horizontal="center" vertical="center"/>
    </xf>
    <xf borderId="0" fillId="0" fontId="20" numFmtId="0" xfId="0" applyAlignment="1" applyFont="1">
      <alignment readingOrder="0" vertical="center"/>
    </xf>
    <xf borderId="0" fillId="2" fontId="20" numFmtId="3" xfId="0" applyAlignment="1" applyFont="1" applyNumberFormat="1">
      <alignment horizontal="center" readingOrder="0" vertical="center"/>
    </xf>
    <xf borderId="0" fillId="2" fontId="20" numFmtId="3" xfId="0" applyAlignment="1" applyFont="1" applyNumberFormat="1">
      <alignment readingOrder="0" vertical="center"/>
    </xf>
    <xf borderId="0" fillId="2" fontId="1" numFmtId="3" xfId="0" applyAlignment="1" applyFont="1" applyNumberFormat="1">
      <alignment readingOrder="0" vertical="center"/>
    </xf>
    <xf borderId="0" fillId="2" fontId="21" numFmtId="0" xfId="0" applyAlignment="1" applyFont="1">
      <alignment horizontal="right" readingOrder="0" shrinkToFit="0" vertical="center" wrapText="0"/>
    </xf>
    <xf borderId="0" fillId="2" fontId="21" numFmtId="164" xfId="0" applyAlignment="1" applyFont="1" applyNumberFormat="1">
      <alignment horizontal="center" vertical="center"/>
    </xf>
    <xf borderId="0" fillId="2" fontId="20" numFmtId="0" xfId="0" applyAlignment="1" applyFont="1">
      <alignment readingOrder="0" vertical="center"/>
    </xf>
    <xf borderId="0" fillId="2" fontId="1" numFmtId="0" xfId="0" applyAlignment="1" applyFont="1">
      <alignment horizontal="center" shrinkToFit="0" vertical="center" wrapText="1"/>
    </xf>
    <xf borderId="0" fillId="2" fontId="1" numFmtId="0" xfId="0" applyAlignment="1" applyFont="1">
      <alignment vertical="center"/>
    </xf>
    <xf borderId="0" fillId="2" fontId="22" numFmtId="0" xfId="0" applyAlignment="1" applyFont="1">
      <alignment readingOrder="0" shrinkToFit="0" vertical="center" wrapText="1"/>
    </xf>
    <xf borderId="0" fillId="0" fontId="16" numFmtId="0" xfId="0" applyAlignment="1" applyFont="1">
      <alignment shrinkToFit="0" wrapText="1"/>
    </xf>
    <xf borderId="1" fillId="2" fontId="22" numFmtId="0" xfId="0" applyAlignment="1" applyBorder="1" applyFont="1">
      <alignment shrinkToFit="0" vertical="center" wrapText="1"/>
    </xf>
    <xf borderId="0" fillId="0" fontId="22" numFmtId="0" xfId="0" applyAlignment="1" applyFont="1">
      <alignment shrinkToFit="0" vertical="center" wrapText="1"/>
    </xf>
    <xf borderId="0" fillId="3" fontId="5" numFmtId="0" xfId="0" applyAlignment="1" applyFont="1">
      <alignment shrinkToFit="0" vertical="center" wrapText="1"/>
    </xf>
    <xf borderId="0" fillId="4" fontId="1" numFmtId="0" xfId="0" applyAlignment="1" applyFont="1">
      <alignment horizontal="left" readingOrder="0" shrinkToFit="0" vertical="center" wrapText="1"/>
    </xf>
    <xf borderId="0" fillId="4" fontId="8" numFmtId="0" xfId="0" applyAlignment="1" applyFont="1">
      <alignment horizontal="left" shrinkToFit="0" vertical="center" wrapText="1"/>
    </xf>
    <xf borderId="0" fillId="4" fontId="1" numFmtId="0" xfId="0" applyAlignment="1" applyFont="1">
      <alignment horizontal="left" shrinkToFit="0" vertical="center" wrapText="1"/>
    </xf>
    <xf borderId="0" fillId="4" fontId="9"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4" fontId="1" numFmtId="0" xfId="0" applyAlignment="1" applyFont="1">
      <alignment horizontal="left" shrinkToFit="0" vertical="center" wrapText="1"/>
    </xf>
    <xf borderId="0" fillId="4" fontId="9" numFmtId="3" xfId="0" applyAlignment="1" applyFont="1" applyNumberFormat="1">
      <alignment horizontal="center" shrinkToFit="0" vertical="center" wrapText="1"/>
    </xf>
    <xf borderId="0" fillId="4" fontId="9" numFmtId="0" xfId="0" applyAlignment="1" applyFont="1">
      <alignment horizontal="center" readingOrder="0" shrinkToFit="0" vertical="center" wrapText="1"/>
    </xf>
    <xf borderId="0" fillId="4" fontId="1" numFmtId="0" xfId="0" applyAlignment="1" applyFont="1">
      <alignment readingOrder="0" shrinkToFit="0" vertical="center" wrapText="0"/>
    </xf>
    <xf borderId="0" fillId="3" fontId="5" numFmtId="0" xfId="0" applyAlignment="1" applyFont="1">
      <alignment horizontal="center" readingOrder="0" shrinkToFit="0" vertical="center" wrapText="1"/>
    </xf>
    <xf borderId="0" fillId="0" fontId="16" numFmtId="0" xfId="0" applyAlignment="1" applyFont="1">
      <alignment readingOrder="0" shrinkToFit="0" wrapText="1"/>
    </xf>
    <xf borderId="0" fillId="0" fontId="9" numFmtId="0" xfId="0" applyAlignment="1" applyFont="1">
      <alignment vertical="bottom"/>
    </xf>
    <xf borderId="0" fillId="0" fontId="6" numFmtId="0" xfId="0" applyAlignment="1" applyFont="1">
      <alignment horizontal="center" shrinkToFit="0" vertical="center" wrapText="1"/>
    </xf>
    <xf borderId="0" fillId="0" fontId="5" numFmtId="0" xfId="0" applyAlignment="1" applyFont="1">
      <alignment shrinkToFit="0" vertical="center" wrapText="1"/>
    </xf>
    <xf borderId="0" fillId="3" fontId="5" numFmtId="0" xfId="0" applyAlignment="1" applyFont="1">
      <alignment horizontal="center" shrinkToFit="0" wrapText="1"/>
    </xf>
    <xf borderId="0" fillId="3" fontId="9" numFmtId="3" xfId="0" applyFont="1" applyNumberFormat="1"/>
    <xf borderId="0" fillId="3" fontId="9" numFmtId="0" xfId="0" applyAlignment="1" applyFont="1">
      <alignment shrinkToFit="0" wrapText="1"/>
    </xf>
    <xf borderId="0" fillId="4" fontId="23" numFmtId="3" xfId="0" applyAlignment="1" applyFont="1" applyNumberFormat="1">
      <alignment readingOrder="0" shrinkToFit="0" vertical="center" wrapText="1"/>
    </xf>
    <xf borderId="0" fillId="3" fontId="6" numFmtId="3" xfId="0" applyAlignment="1" applyFont="1" applyNumberFormat="1">
      <alignment horizontal="center" readingOrder="0" vertical="bottom"/>
    </xf>
    <xf borderId="0" fillId="3" fontId="6" numFmtId="3" xfId="0" applyAlignment="1" applyFont="1" applyNumberFormat="1">
      <alignment horizontal="center" vertical="bottom"/>
    </xf>
    <xf borderId="0" fillId="0" fontId="16" numFmtId="0" xfId="0" applyAlignment="1" applyFont="1">
      <alignment readingOrder="0"/>
    </xf>
    <xf borderId="0" fillId="3" fontId="8" numFmtId="0" xfId="0" applyAlignment="1" applyFont="1">
      <alignment horizontal="center"/>
    </xf>
    <xf borderId="0" fillId="2" fontId="1" numFmtId="0" xfId="0" applyAlignment="1" applyFont="1">
      <alignment readingOrder="0" shrinkToFit="0" vertical="center" wrapText="1"/>
    </xf>
    <xf borderId="0" fillId="2" fontId="8" numFmtId="0" xfId="0" applyAlignment="1" applyFont="1">
      <alignment shrinkToFit="0" vertical="center" wrapText="1"/>
    </xf>
    <xf borderId="0" fillId="2" fontId="1" numFmtId="0" xfId="0" applyAlignment="1" applyFont="1">
      <alignment shrinkToFit="0" vertical="center" wrapText="1"/>
    </xf>
    <xf borderId="0" fillId="2" fontId="1" numFmtId="3" xfId="0" applyAlignment="1" applyFont="1" applyNumberFormat="1">
      <alignment readingOrder="0" shrinkToFit="0" vertical="center" wrapText="1"/>
    </xf>
    <xf borderId="0" fillId="2" fontId="1" numFmtId="3" xfId="0" applyAlignment="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vertical="center"/>
    </xf>
    <xf borderId="0" fillId="2" fontId="16" numFmtId="0" xfId="0" applyFont="1"/>
    <xf borderId="0" fillId="0" fontId="24" numFmtId="0" xfId="0" applyAlignment="1" applyFont="1">
      <alignment readingOrder="0" shrinkToFit="0" wrapText="1"/>
    </xf>
    <xf borderId="12" fillId="0" fontId="4" numFmtId="3" xfId="0" applyAlignment="1" applyBorder="1" applyFont="1" applyNumberFormat="1">
      <alignment horizontal="center" readingOrder="0" shrinkToFit="0" vertical="center" wrapText="0"/>
    </xf>
    <xf borderId="12" fillId="0" fontId="18" numFmtId="0" xfId="0" applyBorder="1" applyFont="1"/>
    <xf borderId="0" fillId="0" fontId="25" numFmtId="0" xfId="0" applyAlignment="1" applyFont="1">
      <alignment shrinkToFit="0" wrapText="1"/>
    </xf>
    <xf borderId="0" fillId="2" fontId="1" numFmtId="0" xfId="0" applyAlignment="1" applyFont="1">
      <alignment readingOrder="0" shrinkToFit="0" vertical="center" wrapText="0"/>
    </xf>
    <xf borderId="13" fillId="3" fontId="6" numFmtId="0" xfId="0" applyAlignment="1" applyBorder="1" applyFont="1">
      <alignment readingOrder="0"/>
    </xf>
    <xf borderId="14" fillId="3" fontId="5" numFmtId="0" xfId="0" applyBorder="1" applyFont="1"/>
    <xf borderId="15" fillId="3" fontId="5" numFmtId="0" xfId="0" applyBorder="1" applyFont="1"/>
    <xf borderId="0" fillId="3" fontId="5" numFmtId="0" xfId="0" applyFont="1"/>
    <xf borderId="0" fillId="3" fontId="6" numFmtId="0" xfId="0" applyAlignment="1" applyFont="1">
      <alignment horizontal="center" readingOrder="0" shrinkToFit="0" wrapText="0"/>
    </xf>
    <xf borderId="0" fillId="0" fontId="8" numFmtId="0" xfId="0" applyAlignment="1" applyFont="1">
      <alignment horizontal="right" readingOrder="0"/>
    </xf>
    <xf borderId="16" fillId="0" fontId="8" numFmtId="0" xfId="0" applyAlignment="1" applyBorder="1" applyFont="1">
      <alignment horizontal="right" readingOrder="0"/>
    </xf>
    <xf borderId="0" fillId="0" fontId="1" numFmtId="0" xfId="0" applyAlignment="1" applyFont="1">
      <alignment horizontal="right" readingOrder="0"/>
    </xf>
    <xf borderId="17" fillId="0" fontId="26" numFmtId="0" xfId="0" applyAlignment="1" applyBorder="1" applyFont="1">
      <alignment horizontal="right"/>
    </xf>
    <xf borderId="0" fillId="0" fontId="1" numFmtId="0" xfId="0" applyAlignment="1" applyFont="1">
      <alignment shrinkToFit="0" wrapText="0"/>
    </xf>
    <xf borderId="0" fillId="0" fontId="1" numFmtId="0" xfId="0" applyAlignment="1" applyFont="1">
      <alignment readingOrder="0"/>
    </xf>
    <xf borderId="17" fillId="0" fontId="26" numFmtId="0" xfId="0" applyAlignment="1" applyBorder="1" applyFont="1">
      <alignment horizontal="right" readingOrder="0"/>
    </xf>
    <xf borderId="0" fillId="0" fontId="1" numFmtId="0" xfId="0" applyAlignment="1" applyFont="1">
      <alignment readingOrder="0" shrinkToFit="0" wrapText="0"/>
    </xf>
    <xf borderId="0" fillId="0" fontId="1" numFmtId="165" xfId="0" applyAlignment="1" applyFont="1" applyNumberFormat="1">
      <alignment horizontal="right" readingOrder="0"/>
    </xf>
    <xf borderId="0" fillId="0" fontId="1" numFmtId="0" xfId="0" applyAlignment="1" applyFont="1">
      <alignment horizontal="left" readingOrder="0"/>
    </xf>
    <xf borderId="0" fillId="0" fontId="1" numFmtId="166" xfId="0" applyAlignment="1" applyFont="1" applyNumberFormat="1">
      <alignment horizontal="center" readingOrder="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166" xfId="0" applyAlignment="1" applyFont="1" applyNumberFormat="1">
      <alignment horizontal="right" readingOrder="0"/>
    </xf>
    <xf borderId="0" fillId="0" fontId="27" numFmtId="0" xfId="0" applyAlignment="1" applyFont="1">
      <alignment horizontal="right" readingOrder="0" shrinkToFit="0" vertical="top" wrapText="1"/>
    </xf>
    <xf borderId="16" fillId="3" fontId="6" numFmtId="0" xfId="0" applyAlignment="1" applyBorder="1" applyFont="1">
      <alignment readingOrder="0"/>
    </xf>
    <xf borderId="17" fillId="3" fontId="5" numFmtId="0" xfId="0" applyBorder="1" applyFont="1"/>
    <xf borderId="0" fillId="0" fontId="1" numFmtId="0" xfId="0" applyAlignment="1" applyFont="1">
      <alignment horizontal="right"/>
    </xf>
    <xf borderId="0" fillId="0" fontId="5" numFmtId="0" xfId="0" applyAlignment="1" applyFont="1">
      <alignment horizontal="left" readingOrder="0" shrinkToFit="0" vertical="top" wrapText="1"/>
    </xf>
    <xf borderId="0" fillId="0" fontId="5" numFmtId="0" xfId="0" applyAlignment="1" applyFont="1">
      <alignment shrinkToFit="0" wrapText="0"/>
    </xf>
    <xf borderId="0" fillId="0" fontId="5" numFmtId="0" xfId="0" applyFont="1"/>
    <xf borderId="16" fillId="5" fontId="8" numFmtId="0" xfId="0" applyAlignment="1" applyBorder="1" applyFill="1" applyFont="1">
      <alignment horizontal="left" readingOrder="0"/>
    </xf>
    <xf borderId="0" fillId="5" fontId="1" numFmtId="166" xfId="0" applyAlignment="1" applyFont="1" applyNumberFormat="1">
      <alignment horizontal="right" readingOrder="0"/>
    </xf>
    <xf borderId="17" fillId="5" fontId="26" numFmtId="0" xfId="0" applyAlignment="1" applyBorder="1" applyFont="1">
      <alignment horizontal="right"/>
    </xf>
    <xf borderId="0" fillId="0" fontId="27" numFmtId="0" xfId="0" applyAlignment="1" applyFont="1">
      <alignment horizontal="left" readingOrder="0" shrinkToFit="0" vertical="top" wrapText="1"/>
    </xf>
    <xf borderId="0" fillId="0" fontId="1" numFmtId="9" xfId="0" applyAlignment="1" applyFont="1" applyNumberFormat="1">
      <alignment horizontal="center" readingOrder="0"/>
    </xf>
    <xf borderId="16" fillId="0" fontId="8" numFmtId="0" xfId="0" applyAlignment="1" applyBorder="1" applyFont="1">
      <alignment horizontal="right" readingOrder="0" vertical="bottom"/>
    </xf>
    <xf borderId="0" fillId="0" fontId="1" numFmtId="167" xfId="0" applyAlignment="1" applyFont="1" applyNumberFormat="1">
      <alignment horizontal="center" readingOrder="0"/>
    </xf>
    <xf borderId="0" fillId="0" fontId="8" numFmtId="0" xfId="0" applyAlignment="1" applyFont="1">
      <alignment horizontal="right" readingOrder="0" vertical="bottom"/>
    </xf>
    <xf borderId="0" fillId="0" fontId="27" numFmtId="0" xfId="0" applyAlignment="1" applyFont="1">
      <alignment horizontal="left" readingOrder="0" shrinkToFit="0" vertical="top" wrapText="0"/>
    </xf>
    <xf borderId="0" fillId="5" fontId="1" numFmtId="166" xfId="0" applyAlignment="1" applyFont="1" applyNumberFormat="1">
      <alignment horizontal="center" readingOrder="0"/>
    </xf>
    <xf borderId="18" fillId="0" fontId="8" numFmtId="0" xfId="0" applyAlignment="1" applyBorder="1" applyFont="1">
      <alignment horizontal="right" readingOrder="0" vertical="bottom"/>
    </xf>
    <xf borderId="19" fillId="0" fontId="1" numFmtId="0" xfId="0" applyAlignment="1" applyBorder="1" applyFont="1">
      <alignment horizontal="center" readingOrder="0"/>
    </xf>
    <xf borderId="20" fillId="0" fontId="26" numFmtId="0" xfId="0" applyAlignment="1" applyBorder="1" applyFont="1">
      <alignment horizontal="right"/>
    </xf>
    <xf borderId="0" fillId="0" fontId="26" numFmtId="0" xfId="0" applyAlignment="1" applyFont="1">
      <alignment horizontal="right"/>
    </xf>
    <xf borderId="21" fillId="6" fontId="6" numFmtId="0" xfId="0" applyAlignment="1" applyBorder="1" applyFill="1" applyFont="1">
      <alignment readingOrder="0"/>
    </xf>
    <xf borderId="21" fillId="6" fontId="5" numFmtId="0" xfId="0" applyAlignment="1" applyBorder="1" applyFont="1">
      <alignment horizontal="center"/>
    </xf>
    <xf borderId="21" fillId="6" fontId="5" numFmtId="0" xfId="0" applyBorder="1" applyFont="1"/>
    <xf borderId="21" fillId="0" fontId="1" numFmtId="0" xfId="0" applyAlignment="1" applyBorder="1" applyFont="1">
      <alignment horizontal="right"/>
    </xf>
    <xf borderId="21" fillId="6" fontId="6" numFmtId="0" xfId="0" applyAlignment="1" applyBorder="1" applyFont="1">
      <alignment horizontal="center" readingOrder="0" shrinkToFit="0" wrapText="0"/>
    </xf>
    <xf borderId="21" fillId="6" fontId="6" numFmtId="0" xfId="0" applyAlignment="1" applyBorder="1" applyFont="1">
      <alignment horizontal="center" readingOrder="0"/>
    </xf>
    <xf borderId="0" fillId="0" fontId="1" numFmtId="164" xfId="0" applyAlignment="1" applyFont="1" applyNumberFormat="1">
      <alignment horizontal="center" readingOrder="0"/>
    </xf>
    <xf borderId="0" fillId="0" fontId="26" numFmtId="0" xfId="0" applyAlignment="1" applyFont="1">
      <alignment horizontal="right" readingOrder="0"/>
    </xf>
    <xf borderId="0" fillId="0" fontId="1" numFmtId="0" xfId="0" applyAlignment="1" applyFont="1">
      <alignment horizontal="center" shrinkToFit="0" wrapText="0"/>
    </xf>
    <xf borderId="0" fillId="0" fontId="1" numFmtId="14" xfId="0" applyAlignment="1" applyFont="1" applyNumberFormat="1">
      <alignment horizontal="center"/>
    </xf>
    <xf borderId="0" fillId="0" fontId="1" numFmtId="166" xfId="0" applyAlignment="1" applyFont="1" applyNumberFormat="1">
      <alignment horizontal="center" shrinkToFit="0" wrapText="0"/>
    </xf>
    <xf borderId="0" fillId="0" fontId="1" numFmtId="166" xfId="0" applyAlignment="1" applyFont="1" applyNumberFormat="1">
      <alignment horizontal="center"/>
    </xf>
    <xf borderId="0" fillId="0" fontId="8" numFmtId="0" xfId="0" applyAlignment="1" applyFont="1">
      <alignment horizontal="right" vertical="bottom"/>
    </xf>
    <xf borderId="0" fillId="0" fontId="8" numFmtId="0" xfId="0" applyAlignment="1" applyFont="1">
      <alignment horizontal="right" vertical="bottom"/>
    </xf>
    <xf borderId="0" fillId="0" fontId="1" numFmtId="164" xfId="0" applyAlignment="1" applyFont="1" applyNumberFormat="1">
      <alignment horizontal="center" readingOrder="0" shrinkToFit="0" vertical="center" wrapText="0"/>
    </xf>
    <xf borderId="0" fillId="0" fontId="1" numFmtId="9" xfId="0" applyAlignment="1" applyFont="1" applyNumberFormat="1">
      <alignment horizontal="center"/>
    </xf>
    <xf borderId="0" fillId="6" fontId="28" numFmtId="0" xfId="0" applyAlignment="1" applyFont="1">
      <alignment horizontal="center" readingOrder="0" vertical="center"/>
    </xf>
    <xf borderId="0" fillId="6" fontId="6" numFmtId="0" xfId="0" applyAlignment="1" applyFont="1">
      <alignment readingOrder="0"/>
    </xf>
    <xf borderId="0" fillId="6" fontId="6" numFmtId="0" xfId="0" applyFont="1"/>
    <xf borderId="0" fillId="6" fontId="6" numFmtId="0" xfId="0" applyAlignment="1" applyFont="1">
      <alignment shrinkToFit="0" wrapText="0"/>
    </xf>
    <xf borderId="0" fillId="7" fontId="8" numFmtId="0" xfId="0" applyAlignment="1" applyFill="1" applyFont="1">
      <alignment horizontal="right"/>
    </xf>
    <xf borderId="0" fillId="7" fontId="8" numFmtId="0" xfId="0" applyAlignment="1" applyFont="1">
      <alignment horizontal="center"/>
    </xf>
    <xf borderId="0" fillId="7" fontId="8" numFmtId="0" xfId="0" applyAlignment="1" applyFont="1">
      <alignment horizontal="center" readingOrder="0"/>
    </xf>
    <xf borderId="0" fillId="0" fontId="1" numFmtId="3" xfId="0" applyAlignment="1" applyFont="1" applyNumberFormat="1">
      <alignment shrinkToFit="0" wrapText="0"/>
    </xf>
    <xf borderId="0" fillId="0" fontId="8" numFmtId="0" xfId="0" applyAlignment="1" applyFont="1">
      <alignment horizontal="right"/>
    </xf>
    <xf borderId="0" fillId="0" fontId="1" numFmtId="1" xfId="0" applyAlignment="1" applyFont="1" applyNumberFormat="1">
      <alignment horizontal="center"/>
    </xf>
    <xf borderId="0" fillId="0" fontId="1" numFmtId="1" xfId="0" applyFont="1" applyNumberFormat="1"/>
    <xf borderId="0" fillId="0" fontId="8" numFmtId="0" xfId="0" applyAlignment="1" applyFont="1">
      <alignment horizontal="left" readingOrder="0" vertical="bottom"/>
    </xf>
    <xf borderId="0" fillId="0" fontId="8" numFmtId="1" xfId="0" applyAlignment="1" applyFont="1" applyNumberFormat="1">
      <alignment horizontal="right"/>
    </xf>
    <xf borderId="0" fillId="0" fontId="29" numFmtId="0" xfId="0" applyAlignment="1" applyFont="1">
      <alignment horizontal="right" readingOrder="0"/>
    </xf>
    <xf borderId="0" fillId="0" fontId="26" numFmtId="166" xfId="0" applyAlignment="1" applyFont="1" applyNumberFormat="1">
      <alignment horizontal="right" readingOrder="0"/>
    </xf>
    <xf borderId="0" fillId="0" fontId="26" numFmtId="166" xfId="0" applyAlignment="1" applyFont="1" applyNumberFormat="1">
      <alignment horizontal="right"/>
    </xf>
    <xf borderId="0" fillId="0" fontId="1" numFmtId="49" xfId="0" applyAlignment="1" applyFont="1" applyNumberFormat="1">
      <alignment horizontal="center" readingOrder="0"/>
    </xf>
    <xf borderId="0" fillId="0" fontId="1" numFmtId="49" xfId="0" applyAlignment="1" applyFont="1" applyNumberFormat="1">
      <alignment horizontal="center"/>
    </xf>
    <xf borderId="0" fillId="3" fontId="1" numFmtId="0" xfId="0" applyFont="1"/>
    <xf borderId="0" fillId="3" fontId="1" numFmtId="0" xfId="0" applyAlignment="1" applyFont="1">
      <alignment horizontal="center"/>
    </xf>
    <xf borderId="0" fillId="3" fontId="1"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8">
    <tableStyle count="2" pivot="0" name="Overview-style">
      <tableStyleElement dxfId="1" type="firstRowStripe"/>
      <tableStyleElement dxfId="2" type="secondRowStripe"/>
    </tableStyle>
    <tableStyle count="2" pivot="0" name="Overview-style 2">
      <tableStyleElement dxfId="2" type="firstRowStripe"/>
      <tableStyleElement dxfId="1" type="secondRowStripe"/>
    </tableStyle>
    <tableStyle count="2" pivot="0" name="Overview-style 3">
      <tableStyleElement dxfId="2" type="firstRowStripe"/>
      <tableStyleElement dxfId="1" type="secondRowStripe"/>
    </tableStyle>
    <tableStyle count="2" pivot="0" name="Overview-style 4">
      <tableStyleElement dxfId="1" type="firstRowStripe"/>
      <tableStyleElement dxfId="2" type="secondRowStripe"/>
    </tableStyle>
    <tableStyle count="2" pivot="0" name="Overview-style 5">
      <tableStyleElement dxfId="2" type="firstRowStripe"/>
      <tableStyleElement dxfId="1" type="secondRowStripe"/>
    </tableStyle>
    <tableStyle count="2" pivot="0" name="Overview-style 6">
      <tableStyleElement dxfId="1" type="firstRowStripe"/>
      <tableStyleElement dxfId="2" type="secondRowStripe"/>
    </tableStyle>
    <tableStyle count="2" pivot="0" name="Overview-style 7">
      <tableStyleElement dxfId="2" type="firstRowStripe"/>
      <tableStyleElement dxfId="1" type="secondRowStripe"/>
    </tableStyle>
    <tableStyle count="2" pivot="0" name="Overview-style 8">
      <tableStyleElement dxfId="2" type="firstRowStripe"/>
      <tableStyleElement dxfId="1" type="secondRowStripe"/>
    </tableStyle>
    <tableStyle count="2" pivot="0" name="Overview-style 9">
      <tableStyleElement dxfId="1" type="firstRowStripe"/>
      <tableStyleElement dxfId="2" type="secondRowStripe"/>
    </tableStyle>
    <tableStyle count="2" pivot="0" name="Overview-style 10">
      <tableStyleElement dxfId="1" type="firstRowStripe"/>
      <tableStyleElement dxfId="2" type="secondRowStripe"/>
    </tableStyle>
    <tableStyle count="2" pivot="0" name="Overview-style 11">
      <tableStyleElement dxfId="2" type="firstRowStripe"/>
      <tableStyleElement dxfId="1" type="secondRowStripe"/>
    </tableStyle>
    <tableStyle count="2" pivot="0" name="Overview-style 12">
      <tableStyleElement dxfId="1" type="firstRowStripe"/>
      <tableStyleElement dxfId="2" type="secondRowStripe"/>
    </tableStyle>
    <tableStyle count="2" pivot="0" name="Overview-style 13">
      <tableStyleElement dxfId="2" type="firstRowStripe"/>
      <tableStyleElement dxfId="1" type="secondRowStripe"/>
    </tableStyle>
    <tableStyle count="2" pivot="0" name="Overview-style 14">
      <tableStyleElement dxfId="1" type="firstRowStripe"/>
      <tableStyleElement dxfId="2" type="secondRowStripe"/>
    </tableStyle>
    <tableStyle count="2" pivot="0" name="Overview-style 15">
      <tableStyleElement dxfId="2" type="firstRowStripe"/>
      <tableStyleElement dxfId="1" type="secondRowStripe"/>
    </tableStyle>
    <tableStyle count="2" pivot="0" name="Overview-style 16">
      <tableStyleElement dxfId="1" type="firstRowStripe"/>
      <tableStyleElement dxfId="2" type="secondRowStripe"/>
    </tableStyle>
    <tableStyle count="2" pivot="0" name="New Stories-style">
      <tableStyleElement dxfId="1" type="firstRowStripe"/>
      <tableStyleElement dxfId="2" type="secondRowStripe"/>
    </tableStyle>
    <tableStyle count="2" pivot="0" name="New Stories-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142875</xdr:rowOff>
    </xdr:from>
    <xdr:ext cx="2362200"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514350</xdr:colOff>
      <xdr:row>73</xdr:row>
      <xdr:rowOff>171450</xdr:rowOff>
    </xdr:from>
    <xdr:ext cx="12573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123825</xdr:rowOff>
    </xdr:from>
    <xdr:ext cx="2362200" cy="371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8:I12"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showColumnStripes="0" showFirstColumn="1" showLastColumn="1" showRowStripes="1"/>
</table>
</file>

<file path=xl/tables/table2.xml><?xml version="1.0" encoding="utf-8"?>
<table xmlns="http://schemas.openxmlformats.org/spreadsheetml/2006/main" headerRowCount="0" ref="B15:F16" displayName="Table_2" name="Table_2" id="2">
  <tableColumns count="5">
    <tableColumn name="Column1" id="1"/>
    <tableColumn name="Column2" id="2"/>
    <tableColumn name="Column3" id="3"/>
    <tableColumn name="Column4" id="4"/>
    <tableColumn name="Column5" id="5"/>
  </tableColumns>
  <tableStyleInfo name="Overview-style 2" showColumnStripes="0" showFirstColumn="1" showLastColumn="1" showRowStripes="1"/>
</table>
</file>

<file path=xl/tables/table3.xml><?xml version="1.0" encoding="utf-8"?>
<table xmlns="http://schemas.openxmlformats.org/spreadsheetml/2006/main" headerRowCount="0" ref="B19:E19" displayName="Table_3" name="Table_3" id="3">
  <tableColumns count="4">
    <tableColumn name="Column1" id="1"/>
    <tableColumn name="Column2" id="2"/>
    <tableColumn name="Column3" id="3"/>
    <tableColumn name="Column4" id="4"/>
  </tableColumns>
  <tableStyleInfo name="Overview-style 3" showColumnStripes="0" showFirstColumn="1" showLastColumn="1" showRowStripes="1"/>
</table>
</file>

<file path=xl/tables/table4.xml><?xml version="1.0" encoding="utf-8"?>
<table xmlns="http://schemas.openxmlformats.org/spreadsheetml/2006/main" headerRowCount="0" ref="B22:I25"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4" showColumnStripes="0" showFirstColumn="1" showLastColumn="1" showRowStripes="1"/>
</table>
</file>

<file path=xl/tables/table5.xml><?xml version="1.0" encoding="utf-8"?>
<table xmlns="http://schemas.openxmlformats.org/spreadsheetml/2006/main" headerRowCount="0" ref="B26:I26"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5" showColumnStripes="0" showFirstColumn="1" showLastColumn="1" showRowStripes="1"/>
</table>
</file>

<file path=xl/tables/table6.xml><?xml version="1.0" encoding="utf-8"?>
<table xmlns="http://schemas.openxmlformats.org/spreadsheetml/2006/main" headerRowCount="0" ref="B27:I27"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6" showColumnStripes="0" showFirstColumn="1" showLastColumn="1" showRowStripes="1"/>
</table>
</file>

<file path=xl/tables/table7.xml><?xml version="1.0" encoding="utf-8"?>
<table xmlns="http://schemas.openxmlformats.org/spreadsheetml/2006/main" headerRowCount="0" ref="B30:I31"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7" showColumnStripes="0" showFirstColumn="1" showLastColumn="1" showRowStripes="1"/>
</table>
</file>

<file path=xl/tables/table8.xml><?xml version="1.0" encoding="utf-8"?>
<table xmlns="http://schemas.openxmlformats.org/spreadsheetml/2006/main" headerRowCount="0" ref="B32:I32"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8" showColumnStripes="0" showFirstColumn="1" showLastColumn="1" showRowStripes="1"/>
</table>
</file>

<file path=xl/tables/table9.xml><?xml version="1.0" encoding="utf-8"?>
<table xmlns="http://schemas.openxmlformats.org/spreadsheetml/2006/main" headerRowCount="0" ref="B35:I35" displayName="Table_9" 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9" showColumnStripes="0" showFirstColumn="1" showLastColumn="1" showRowStripes="1"/>
</table>
</file>

<file path=xl/tables/table10.xml><?xml version="1.0" encoding="utf-8"?>
<table xmlns="http://schemas.openxmlformats.org/spreadsheetml/2006/main" headerRowCount="0" ref="B38:I38" displayName="Table_10" name="Table_10" id="10">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10" showColumnStripes="0" showFirstColumn="1" showLastColumn="1" showRowStripes="1"/>
</table>
</file>

<file path=xl/tables/table11.xml><?xml version="1.0" encoding="utf-8"?>
<table xmlns="http://schemas.openxmlformats.org/spreadsheetml/2006/main" headerRowCount="0" ref="B42:I42" displayName="Table_11" name="Table_11" id="11">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11" showColumnStripes="0" showFirstColumn="1" showLastColumn="1" showRowStripes="1"/>
</table>
</file>

<file path=xl/tables/table12.xml><?xml version="1.0" encoding="utf-8"?>
<table xmlns="http://schemas.openxmlformats.org/spreadsheetml/2006/main" headerRowCount="0" ref="B47:I47" displayName="Table_12" name="Table_12" id="12">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12" showColumnStripes="0" showFirstColumn="1" showLastColumn="1" showRowStripes="1"/>
</table>
</file>

<file path=xl/tables/table13.xml><?xml version="1.0" encoding="utf-8"?>
<table xmlns="http://schemas.openxmlformats.org/spreadsheetml/2006/main" headerRowCount="0" ref="B48:G49" displayName="Table_13" name="Table_13" id="13">
  <tableColumns count="6">
    <tableColumn name="Column1" id="1"/>
    <tableColumn name="Column2" id="2"/>
    <tableColumn name="Column3" id="3"/>
    <tableColumn name="Column4" id="4"/>
    <tableColumn name="Column5" id="5"/>
    <tableColumn name="Column6" id="6"/>
  </tableColumns>
  <tableStyleInfo name="Overview-style 13" showColumnStripes="0" showFirstColumn="1" showLastColumn="1" showRowStripes="1"/>
</table>
</file>

<file path=xl/tables/table14.xml><?xml version="1.0" encoding="utf-8"?>
<table xmlns="http://schemas.openxmlformats.org/spreadsheetml/2006/main" headerRowCount="0" ref="B51:I51" displayName="Table_14" name="Table_14" id="14">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14" showColumnStripes="0" showFirstColumn="1" showLastColumn="1" showRowStripes="1"/>
</table>
</file>

<file path=xl/tables/table15.xml><?xml version="1.0" encoding="utf-8"?>
<table xmlns="http://schemas.openxmlformats.org/spreadsheetml/2006/main" headerRowCount="0" ref="B54:I54" displayName="Table_15" name="Table_15"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15" showColumnStripes="0" showFirstColumn="1" showLastColumn="1" showRowStripes="1"/>
</table>
</file>

<file path=xl/tables/table16.xml><?xml version="1.0" encoding="utf-8"?>
<table xmlns="http://schemas.openxmlformats.org/spreadsheetml/2006/main" headerRowCount="0" ref="B57:I57" displayName="Table_16" name="Table_16" id="16">
  <tableColumns count="8">
    <tableColumn name="Column1" id="1"/>
    <tableColumn name="Column2" id="2"/>
    <tableColumn name="Column3" id="3"/>
    <tableColumn name="Column4" id="4"/>
    <tableColumn name="Column5" id="5"/>
    <tableColumn name="Column6" id="6"/>
    <tableColumn name="Column7" id="7"/>
    <tableColumn name="Column8" id="8"/>
  </tableColumns>
  <tableStyleInfo name="Overview-style 16" showColumnStripes="0" showFirstColumn="1" showLastColumn="1" showRowStripes="1"/>
</table>
</file>

<file path=xl/tables/table17.xml><?xml version="1.0" encoding="utf-8"?>
<table xmlns="http://schemas.openxmlformats.org/spreadsheetml/2006/main" headerRowCount="0" ref="B6:I10"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New Stories-style" showColumnStripes="0" showFirstColumn="1" showLastColumn="1" showRowStripes="1"/>
</table>
</file>

<file path=xl/tables/table18.xml><?xml version="1.0" encoding="utf-8"?>
<table xmlns="http://schemas.openxmlformats.org/spreadsheetml/2006/main" headerRowCount="0" ref="B17:E72" displayName="Table_18" name="Table_18" id="18">
  <tableColumns count="4">
    <tableColumn name="Column1" id="1"/>
    <tableColumn name="Column2" id="2"/>
    <tableColumn name="Column3" id="3"/>
    <tableColumn name="Column4" id="4"/>
  </tableColumns>
  <tableStyleInfo name="New Stori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1" Type="http://schemas.openxmlformats.org/officeDocument/2006/relationships/table" Target="../tables/table9.xml"/><Relationship Id="rId30" Type="http://schemas.openxmlformats.org/officeDocument/2006/relationships/table" Target="../tables/table8.xml"/><Relationship Id="rId33" Type="http://schemas.openxmlformats.org/officeDocument/2006/relationships/table" Target="../tables/table11.xml"/><Relationship Id="rId32" Type="http://schemas.openxmlformats.org/officeDocument/2006/relationships/table" Target="../tables/table10.xml"/><Relationship Id="rId24" Type="http://schemas.openxmlformats.org/officeDocument/2006/relationships/table" Target="../tables/table2.xml"/><Relationship Id="rId35" Type="http://schemas.openxmlformats.org/officeDocument/2006/relationships/table" Target="../tables/table13.xml"/><Relationship Id="rId23" Type="http://schemas.openxmlformats.org/officeDocument/2006/relationships/table" Target="../tables/table1.xml"/><Relationship Id="rId34" Type="http://schemas.openxmlformats.org/officeDocument/2006/relationships/table" Target="../tables/table12.xml"/><Relationship Id="rId1" Type="http://schemas.openxmlformats.org/officeDocument/2006/relationships/comments" Target="../comments1.xml"/><Relationship Id="rId2" Type="http://schemas.openxmlformats.org/officeDocument/2006/relationships/hyperlink" Target="https://developer.xero.com/documentation/api/accounting/invoices/" TargetMode="External"/><Relationship Id="rId3" Type="http://schemas.openxmlformats.org/officeDocument/2006/relationships/hyperlink" Target="https://docs.google.com/spreadsheets/d/1fXuIPrKpbNm8l2YXxUGCA2TbjzZHGj3-dBfxbiic_zg/edit?gid=182219424" TargetMode="External"/><Relationship Id="rId4" Type="http://schemas.openxmlformats.org/officeDocument/2006/relationships/hyperlink" Target="https://www.warrantyfirst.co.uk/get-a-quote" TargetMode="External"/><Relationship Id="rId26" Type="http://schemas.openxmlformats.org/officeDocument/2006/relationships/table" Target="../tables/table4.xml"/><Relationship Id="rId37" Type="http://schemas.openxmlformats.org/officeDocument/2006/relationships/table" Target="../tables/table15.xml"/><Relationship Id="rId25" Type="http://schemas.openxmlformats.org/officeDocument/2006/relationships/table" Target="../tables/table3.xml"/><Relationship Id="rId36" Type="http://schemas.openxmlformats.org/officeDocument/2006/relationships/table" Target="../tables/table14.xml"/><Relationship Id="rId28" Type="http://schemas.openxmlformats.org/officeDocument/2006/relationships/table" Target="../tables/table6.xml"/><Relationship Id="rId27" Type="http://schemas.openxmlformats.org/officeDocument/2006/relationships/table" Target="../tables/table5.xml"/><Relationship Id="rId38" Type="http://schemas.openxmlformats.org/officeDocument/2006/relationships/table" Target="../tables/table16.xml"/><Relationship Id="rId5" Type="http://schemas.openxmlformats.org/officeDocument/2006/relationships/drawing" Target="../drawings/drawing1.xml"/><Relationship Id="rId6" Type="http://schemas.openxmlformats.org/officeDocument/2006/relationships/vmlDrawing" Target="../drawings/vmlDrawing1.vml"/><Relationship Id="rId29" Type="http://schemas.openxmlformats.org/officeDocument/2006/relationships/table" Target="../tables/table7.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document/d/1wQOYVKURkI5lZ8dq9WFGWEkPBTfsefQ67z6sLGOftac/edit?tab=t.5cgsmzye3asd" TargetMode="External"/><Relationship Id="rId22" Type="http://schemas.openxmlformats.org/officeDocument/2006/relationships/table" Target="../tables/table18.xml"/><Relationship Id="rId10" Type="http://schemas.openxmlformats.org/officeDocument/2006/relationships/hyperlink" Target="https://docs.google.com/document/d/1wQOYVKURkI5lZ8dq9WFGWEkPBTfsefQ67z6sLGOftac/edit?tab=t.2ysowpbjvgzh" TargetMode="External"/><Relationship Id="rId21" Type="http://schemas.openxmlformats.org/officeDocument/2006/relationships/table" Target="../tables/table17.xml"/><Relationship Id="rId13" Type="http://schemas.openxmlformats.org/officeDocument/2006/relationships/hyperlink" Target="https://www.warrantyfirst.co.uk/get-a-quote" TargetMode="External"/><Relationship Id="rId12" Type="http://schemas.openxmlformats.org/officeDocument/2006/relationships/hyperlink" Target="https://docs.google.com/spreadsheets/d/1fXuIPrKpbNm8l2YXxUGCA2TbjzZHGj3-dBfxbiic_zg/edit?gid=182219424" TargetMode="External"/><Relationship Id="rId1" Type="http://schemas.openxmlformats.org/officeDocument/2006/relationships/hyperlink" Target="https://docs.google.com/document/d/13ICxOrQJHsuC4RIsHkNmedBVw36eDpIV4q0PDP6_fms/edit?tab=t.0" TargetMode="External"/><Relationship Id="rId2" Type="http://schemas.openxmlformats.org/officeDocument/2006/relationships/hyperlink" Target="https://docs.google.com/document/d/1wQOYVKURkI5lZ8dq9WFGWEkPBTfsefQ67z6sLGOftac/edit?tab=t.wbkczmu5m77f" TargetMode="External"/><Relationship Id="rId3" Type="http://schemas.openxmlformats.org/officeDocument/2006/relationships/hyperlink" Target="https://docs.google.com/document/d/1wQOYVKURkI5lZ8dq9WFGWEkPBTfsefQ67z6sLGOftac/edit?tab=t.smgya23rlqn8" TargetMode="External"/><Relationship Id="rId4" Type="http://schemas.openxmlformats.org/officeDocument/2006/relationships/hyperlink" Target="https://docs.google.com/document/d/1wQOYVKURkI5lZ8dq9WFGWEkPBTfsefQ67z6sLGOftac/edit?tab=t.fk45pniua6ir" TargetMode="External"/><Relationship Id="rId9" Type="http://schemas.openxmlformats.org/officeDocument/2006/relationships/hyperlink" Target="https://docs.google.com/document/d/1wQOYVKURkI5lZ8dq9WFGWEkPBTfsefQ67z6sLGOftac/edit?tab=t.kg2aa0dstz3q" TargetMode="External"/><Relationship Id="rId15" Type="http://schemas.openxmlformats.org/officeDocument/2006/relationships/hyperlink" Target="https://docs.google.com/document/d/1wQOYVKURkI5lZ8dq9WFGWEkPBTfsefQ67z6sLGOftac/edit?tab=t.0" TargetMode="External"/><Relationship Id="rId14" Type="http://schemas.openxmlformats.org/officeDocument/2006/relationships/hyperlink" Target="https://docs.google.com/document/d/1wQOYVKURkI5lZ8dq9WFGWEkPBTfsefQ67z6sLGOftac/edit?tab=t.4nnutkfobuna" TargetMode="External"/><Relationship Id="rId17" Type="http://schemas.openxmlformats.org/officeDocument/2006/relationships/hyperlink" Target="https://docs.google.com/document/d/1ccyH7613MSWzuaF7oOsutc2Sm1AlzkzkJvRBrXYxaq0/edit?tab=t.0" TargetMode="External"/><Relationship Id="rId16" Type="http://schemas.openxmlformats.org/officeDocument/2006/relationships/hyperlink" Target="https://docs.google.com/document/d/1ccyH7613MSWzuaF7oOsutc2Sm1AlzkzkJvRBrXYxaq0/edit?tab=t.0" TargetMode="External"/><Relationship Id="rId5" Type="http://schemas.openxmlformats.org/officeDocument/2006/relationships/hyperlink" Target="https://docs.google.com/document/d/1wQOYVKURkI5lZ8dq9WFGWEkPBTfsefQ67z6sLGOftac/edit?pli=1&amp;tab=t.j0h24y67stqo" TargetMode="External"/><Relationship Id="rId6" Type="http://schemas.openxmlformats.org/officeDocument/2006/relationships/hyperlink" Target="https://docs.google.com/document/d/1wQOYVKURkI5lZ8dq9WFGWEkPBTfsefQ67z6sLGOftac/edit?tab=t.9ft7rs7hmyyt" TargetMode="External"/><Relationship Id="rId18" Type="http://schemas.openxmlformats.org/officeDocument/2006/relationships/drawing" Target="../drawings/drawing2.xml"/><Relationship Id="rId7" Type="http://schemas.openxmlformats.org/officeDocument/2006/relationships/hyperlink" Target="https://docs.google.com/document/d/1wQOYVKURkI5lZ8dq9WFGWEkPBTfsefQ67z6sLGOftac/edit?tab=t.awf9w0ym0ly4" TargetMode="External"/><Relationship Id="rId8" Type="http://schemas.openxmlformats.org/officeDocument/2006/relationships/hyperlink" Target="https://docs.google.com/document/d/1wQOYVKURkI5lZ8dq9WFGWEkPBTfsefQ67z6sLGOftac/edit?tab=t.7hwd9847q43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2.38"/>
    <col customWidth="1" min="2" max="2" width="61.0"/>
    <col customWidth="1" min="3" max="3" width="46.25"/>
    <col customWidth="1" min="4" max="4" width="36.63"/>
    <col customWidth="1" min="5" max="5" width="40.5"/>
    <col customWidth="1" min="6" max="6" width="16.25"/>
    <col customWidth="1" min="7" max="7" width="11.13"/>
    <col customWidth="1" min="8" max="8" width="16.0"/>
    <col customWidth="1" min="9" max="9" width="22.0"/>
    <col customWidth="1" min="10" max="10" width="4.88"/>
  </cols>
  <sheetData>
    <row r="1" ht="54.0" customHeight="1">
      <c r="A1" s="1" t="s">
        <v>0</v>
      </c>
      <c r="C1" s="2" t="s">
        <v>1</v>
      </c>
      <c r="F1" s="1"/>
    </row>
    <row r="2" ht="29.25" customHeight="1">
      <c r="A2" s="3"/>
      <c r="B2" s="4" t="s">
        <v>2</v>
      </c>
      <c r="C2" s="5" t="s">
        <v>3</v>
      </c>
      <c r="D2" s="5" t="s">
        <v>4</v>
      </c>
      <c r="E2" s="4" t="s">
        <v>5</v>
      </c>
      <c r="F2" s="5" t="s">
        <v>6</v>
      </c>
      <c r="G2" s="5" t="s">
        <v>7</v>
      </c>
      <c r="H2" s="4" t="s">
        <v>8</v>
      </c>
      <c r="I2" s="4" t="s">
        <v>9</v>
      </c>
      <c r="J2" s="4" t="s">
        <v>10</v>
      </c>
    </row>
    <row r="3">
      <c r="A3" s="6"/>
      <c r="B3" s="7"/>
      <c r="C3" s="7"/>
      <c r="D3" s="7"/>
      <c r="E3" s="7"/>
      <c r="F3" s="7"/>
      <c r="G3" s="7"/>
      <c r="H3" s="7"/>
      <c r="I3" s="8"/>
      <c r="J3" s="7"/>
    </row>
    <row r="4" collapsed="1">
      <c r="A4" s="6"/>
      <c r="B4" s="9" t="s">
        <v>11</v>
      </c>
      <c r="C4" s="10"/>
      <c r="D4" s="10"/>
      <c r="E4" s="9" t="s">
        <v>12</v>
      </c>
      <c r="F4" s="10"/>
      <c r="G4" s="10"/>
      <c r="H4" s="10"/>
      <c r="I4" s="11"/>
      <c r="J4" s="10"/>
    </row>
    <row r="5" hidden="1" outlineLevel="1">
      <c r="A5" s="6"/>
      <c r="B5" s="12" t="s">
        <v>13</v>
      </c>
      <c r="E5" s="12"/>
      <c r="H5" s="13"/>
      <c r="I5" s="14"/>
      <c r="J5" s="13"/>
    </row>
    <row r="6">
      <c r="A6" s="6"/>
      <c r="B6" s="13"/>
      <c r="E6" s="13"/>
    </row>
    <row r="7">
      <c r="A7" s="15" t="s">
        <v>14</v>
      </c>
      <c r="B7" s="16" t="s">
        <v>15</v>
      </c>
      <c r="C7" s="17"/>
      <c r="D7" s="17"/>
      <c r="E7" s="17"/>
      <c r="F7" s="18">
        <f>IFERROR(__xludf.DUMMYFUNCTION("ROUNDUP(
  (
    SUM(
      INDIRECT(
        ""F""&amp;(ROW()+1)&amp;"":F""&amp;
        IFERROR(
          INDEX(
            FILTER(
              ROW(A:A),
              REGEXMATCH(A:A, ""^[•◆■※⊳]""),
              ROW(A:A) &gt; ROW()
            ),
            1
  "&amp;"        )-1,
          999
        )
      )
    )+
    SUM(
      INDIRECT(
        ""G""&amp;(ROW()+1)&amp;"":G""&amp;
        IFERROR(
          INDEX(
            FILTER(
              ROW(A:A),
              REGEXMATCH(A:A, ""^[•◆■※⊳]""),
              ROW(A:A) "&amp;"&gt; ROW()
            ),
            1
          )-1,
          999
        )
      )
    )
  )/2
)"),150.0)</f>
        <v>150</v>
      </c>
      <c r="H7" s="19" t="s">
        <v>16</v>
      </c>
      <c r="I7" s="20"/>
      <c r="J7" s="17"/>
    </row>
    <row r="8" ht="93.0" customHeight="1" outlineLevel="1">
      <c r="A8" s="21"/>
      <c r="B8" s="22" t="s">
        <v>17</v>
      </c>
      <c r="C8" s="21" t="s">
        <v>18</v>
      </c>
      <c r="D8" s="21" t="s">
        <v>19</v>
      </c>
      <c r="E8" s="21" t="s">
        <v>20</v>
      </c>
      <c r="F8" s="23">
        <v>35.0</v>
      </c>
      <c r="G8" s="24">
        <v>35.0</v>
      </c>
      <c r="H8" s="25"/>
      <c r="I8" s="24"/>
      <c r="J8" s="21"/>
    </row>
    <row r="9" outlineLevel="1">
      <c r="A9" s="26"/>
      <c r="B9" s="27" t="s">
        <v>21</v>
      </c>
      <c r="C9" s="12" t="s">
        <v>22</v>
      </c>
      <c r="D9" s="28" t="s">
        <v>23</v>
      </c>
      <c r="E9" s="28" t="s">
        <v>24</v>
      </c>
      <c r="F9" s="29">
        <v>20.0</v>
      </c>
      <c r="G9" s="30">
        <v>20.0</v>
      </c>
      <c r="H9" s="31"/>
      <c r="I9" s="29"/>
      <c r="J9" s="26"/>
    </row>
    <row r="10" outlineLevel="1">
      <c r="A10" s="26"/>
      <c r="B10" s="22" t="s">
        <v>25</v>
      </c>
      <c r="C10" s="21" t="s">
        <v>26</v>
      </c>
      <c r="D10" s="21" t="s">
        <v>27</v>
      </c>
      <c r="E10" s="21" t="s">
        <v>28</v>
      </c>
      <c r="F10" s="23">
        <v>60.0</v>
      </c>
      <c r="G10" s="24">
        <v>60.0</v>
      </c>
      <c r="H10" s="25"/>
      <c r="I10" s="24"/>
      <c r="J10" s="26"/>
    </row>
    <row r="11" outlineLevel="1">
      <c r="A11" s="26"/>
      <c r="B11" s="27" t="s">
        <v>29</v>
      </c>
      <c r="C11" s="28" t="s">
        <v>30</v>
      </c>
      <c r="D11" s="28" t="s">
        <v>31</v>
      </c>
      <c r="E11" s="12" t="s">
        <v>32</v>
      </c>
      <c r="F11" s="29">
        <v>10.0</v>
      </c>
      <c r="G11" s="30">
        <v>10.0</v>
      </c>
      <c r="H11" s="31"/>
      <c r="I11" s="6"/>
      <c r="J11" s="26"/>
    </row>
    <row r="12" ht="54.0" customHeight="1" outlineLevel="1">
      <c r="A12" s="26"/>
      <c r="B12" s="22" t="s">
        <v>33</v>
      </c>
      <c r="C12" s="21" t="s">
        <v>34</v>
      </c>
      <c r="D12" s="21" t="s">
        <v>35</v>
      </c>
      <c r="E12" s="21" t="s">
        <v>36</v>
      </c>
      <c r="F12" s="32">
        <v>25.0</v>
      </c>
      <c r="G12" s="24">
        <v>25.0</v>
      </c>
      <c r="H12" s="25"/>
      <c r="I12" s="24"/>
      <c r="J12" s="26"/>
    </row>
    <row r="13">
      <c r="A13" s="31"/>
      <c r="B13" s="31"/>
      <c r="C13" s="33"/>
      <c r="D13" s="31"/>
      <c r="E13" s="31"/>
      <c r="F13" s="33"/>
      <c r="G13" s="31"/>
      <c r="H13" s="31"/>
      <c r="I13" s="30"/>
      <c r="J13" s="31"/>
    </row>
    <row r="14">
      <c r="A14" s="15" t="s">
        <v>14</v>
      </c>
      <c r="B14" s="16" t="s">
        <v>37</v>
      </c>
      <c r="C14" s="34"/>
      <c r="D14" s="35"/>
      <c r="E14" s="35"/>
      <c r="F14" s="18">
        <f>IFERROR(__xludf.DUMMYFUNCTION("ROUNDUP(
  (
    SUM(
      INDIRECT(
        ""F""&amp;(ROW()+1)&amp;"":F""&amp;
        IFERROR(
          INDEX(
            FILTER(
              ROW(A:A),
              REGEXMATCH(A:A, ""^[•◆■※⊳]""),
              ROW(A:A) &gt; ROW()
            ),
            1
  "&amp;"        )-1,
          999
        )
      )
    )+
    SUM(
      INDIRECT(
        ""G""&amp;(ROW()+1)&amp;"":G""&amp;
        IFERROR(
          INDEX(
            FILTER(
              ROW(A:A),
              REGEXMATCH(A:A, ""^[•◆■※⊳]""),
              ROW(A:A) "&amp;"&gt; ROW()
            ),
            1
          )-1,
          999
        )
      )
    )
  )/2
)"),25.0)</f>
        <v>25</v>
      </c>
      <c r="H14" s="19" t="s">
        <v>16</v>
      </c>
      <c r="I14" s="36"/>
      <c r="J14" s="35"/>
    </row>
    <row r="15" outlineLevel="1">
      <c r="A15" s="37"/>
      <c r="B15" s="38" t="s">
        <v>38</v>
      </c>
      <c r="C15" s="39" t="s">
        <v>39</v>
      </c>
      <c r="D15" s="40" t="s">
        <v>40</v>
      </c>
      <c r="E15" s="40" t="s">
        <v>41</v>
      </c>
      <c r="F15" s="41">
        <v>20.0</v>
      </c>
      <c r="G15" s="42">
        <v>20.0</v>
      </c>
      <c r="H15" s="37"/>
      <c r="I15" s="42"/>
      <c r="J15" s="37"/>
    </row>
    <row r="16" outlineLevel="1">
      <c r="A16" s="37"/>
      <c r="B16" s="38" t="s">
        <v>42</v>
      </c>
      <c r="C16" s="43" t="s">
        <v>43</v>
      </c>
      <c r="D16" s="40" t="s">
        <v>44</v>
      </c>
      <c r="E16" s="40" t="s">
        <v>45</v>
      </c>
      <c r="F16" s="41">
        <v>5.0</v>
      </c>
      <c r="G16" s="42">
        <v>5.0</v>
      </c>
      <c r="H16" s="37"/>
      <c r="I16" s="42"/>
      <c r="J16" s="37"/>
    </row>
    <row r="17">
      <c r="A17" s="6"/>
      <c r="B17" s="6"/>
      <c r="C17" s="33"/>
      <c r="D17" s="31"/>
      <c r="E17" s="6"/>
      <c r="F17" s="33"/>
      <c r="G17" s="6"/>
      <c r="H17" s="31"/>
      <c r="I17" s="29"/>
      <c r="J17" s="6"/>
    </row>
    <row r="18">
      <c r="A18" s="15" t="s">
        <v>14</v>
      </c>
      <c r="B18" s="16" t="s">
        <v>46</v>
      </c>
      <c r="C18" s="35"/>
      <c r="D18" s="35"/>
      <c r="E18" s="35"/>
      <c r="F18" s="18">
        <f>IFERROR(__xludf.DUMMYFUNCTION("ROUNDUP(
  (
    SUM(
      INDIRECT(
        ""F""&amp;(ROW()+1)&amp;"":F""&amp;
        IFERROR(
          INDEX(
            FILTER(
              ROW(A:A),
              REGEXMATCH(A:A, ""^[•◆■※⊳]""),
              ROW(A:A) &gt; ROW()
            ),
            1
  "&amp;"        )-1,
          999
        )
      )
    )+
    SUM(
      INDIRECT(
        ""G""&amp;(ROW()+1)&amp;"":G""&amp;
        IFERROR(
          INDEX(
            FILTER(
              ROW(A:A),
              REGEXMATCH(A:A, ""^[•◆■※⊳]""),
              ROW(A:A) "&amp;"&gt; ROW()
            ),
            1
          )-1,
          999
        )
      )
    )
  )/2
)"),50.0)</f>
        <v>50</v>
      </c>
      <c r="H18" s="19" t="s">
        <v>47</v>
      </c>
      <c r="I18" s="20"/>
      <c r="J18" s="17"/>
    </row>
    <row r="19" ht="149.25" customHeight="1" outlineLevel="1">
      <c r="A19" s="44"/>
      <c r="B19" s="38" t="s">
        <v>48</v>
      </c>
      <c r="C19" s="40" t="s">
        <v>49</v>
      </c>
      <c r="D19" s="40" t="s">
        <v>50</v>
      </c>
      <c r="E19" s="39" t="s">
        <v>51</v>
      </c>
      <c r="F19" s="45">
        <v>50.0</v>
      </c>
      <c r="G19" s="42">
        <v>50.0</v>
      </c>
      <c r="H19" s="44"/>
      <c r="I19" s="42"/>
      <c r="J19" s="44"/>
    </row>
    <row r="20">
      <c r="A20" s="46"/>
      <c r="B20" s="47"/>
      <c r="C20" s="48"/>
      <c r="D20" s="49"/>
      <c r="E20" s="50"/>
      <c r="F20" s="51"/>
      <c r="G20" s="51"/>
      <c r="H20" s="52"/>
      <c r="I20" s="53"/>
      <c r="J20" s="50"/>
    </row>
    <row r="21">
      <c r="A21" s="15" t="s">
        <v>14</v>
      </c>
      <c r="B21" s="16" t="s">
        <v>52</v>
      </c>
      <c r="C21" s="34"/>
      <c r="D21" s="35"/>
      <c r="E21" s="17"/>
      <c r="F21" s="18">
        <f>IFERROR(__xludf.DUMMYFUNCTION("ROUNDUP(
  (
    SUM(
      INDIRECT(
        ""F""&amp;(ROW()+1)&amp;"":F""&amp;
        IFERROR(
          INDEX(
            FILTER(
              ROW(A:A),
              REGEXMATCH(A:A, ""^[•◆■※⊳]""),
              ROW(A:A) &gt; ROW()
            ),
            1
  "&amp;"        )-1,
          999
        )
      )
    )+
    SUM(
      INDIRECT(
        ""G""&amp;(ROW()+1)&amp;"":G""&amp;
        IFERROR(
          INDEX(
            FILTER(
              ROW(A:A),
              REGEXMATCH(A:A, ""^[•◆■※⊳]""),
              ROW(A:A) "&amp;"&gt; ROW()
            ),
            1
          )-1,
          999
        )
      )
    )
  )/2
)"),133.0)</f>
        <v>133</v>
      </c>
      <c r="H21" s="19" t="s">
        <v>16</v>
      </c>
      <c r="I21" s="20"/>
      <c r="J21" s="17"/>
    </row>
    <row r="22" outlineLevel="1">
      <c r="A22" s="44"/>
      <c r="B22" s="38" t="s">
        <v>53</v>
      </c>
      <c r="C22" s="43" t="s">
        <v>54</v>
      </c>
      <c r="D22" s="40" t="s">
        <v>55</v>
      </c>
      <c r="E22" s="40" t="s">
        <v>56</v>
      </c>
      <c r="F22" s="41">
        <v>18.0</v>
      </c>
      <c r="G22" s="42">
        <v>18.0</v>
      </c>
      <c r="H22" s="37"/>
      <c r="I22" s="54"/>
      <c r="J22" s="44"/>
    </row>
    <row r="23" outlineLevel="1">
      <c r="A23" s="44"/>
      <c r="B23" s="38" t="s">
        <v>57</v>
      </c>
      <c r="C23" s="43" t="s">
        <v>58</v>
      </c>
      <c r="D23" s="40" t="s">
        <v>59</v>
      </c>
      <c r="E23" s="40" t="s">
        <v>60</v>
      </c>
      <c r="F23" s="41">
        <v>15.0</v>
      </c>
      <c r="G23" s="42">
        <v>15.0</v>
      </c>
      <c r="H23" s="44"/>
      <c r="I23" s="40"/>
      <c r="J23" s="44"/>
    </row>
    <row r="24" outlineLevel="1">
      <c r="A24" s="44"/>
      <c r="B24" s="38" t="s">
        <v>61</v>
      </c>
      <c r="C24" s="43" t="s">
        <v>62</v>
      </c>
      <c r="D24" s="40" t="s">
        <v>63</v>
      </c>
      <c r="E24" s="40" t="s">
        <v>64</v>
      </c>
      <c r="F24" s="41">
        <v>15.0</v>
      </c>
      <c r="G24" s="42">
        <v>15.0</v>
      </c>
      <c r="H24" s="44"/>
      <c r="I24" s="54"/>
      <c r="J24" s="44"/>
    </row>
    <row r="25" outlineLevel="1">
      <c r="A25" s="44"/>
      <c r="B25" s="38" t="s">
        <v>65</v>
      </c>
      <c r="C25" s="43" t="s">
        <v>66</v>
      </c>
      <c r="D25" s="40" t="s">
        <v>67</v>
      </c>
      <c r="E25" s="55" t="s">
        <v>68</v>
      </c>
      <c r="F25" s="41">
        <v>40.0</v>
      </c>
      <c r="G25" s="42">
        <v>40.0</v>
      </c>
      <c r="H25" s="44"/>
      <c r="I25" s="54"/>
      <c r="J25" s="44"/>
    </row>
    <row r="26" outlineLevel="1">
      <c r="A26" s="44"/>
      <c r="B26" s="38" t="s">
        <v>69</v>
      </c>
      <c r="C26" s="43" t="s">
        <v>70</v>
      </c>
      <c r="D26" s="40" t="s">
        <v>71</v>
      </c>
      <c r="E26" s="40" t="s">
        <v>72</v>
      </c>
      <c r="F26" s="41">
        <v>25.0</v>
      </c>
      <c r="G26" s="42">
        <v>25.0</v>
      </c>
      <c r="H26" s="44"/>
      <c r="I26" s="54"/>
      <c r="J26" s="44"/>
    </row>
    <row r="27" outlineLevel="1">
      <c r="A27" s="44"/>
      <c r="B27" s="38" t="s">
        <v>73</v>
      </c>
      <c r="C27" s="43" t="s">
        <v>74</v>
      </c>
      <c r="D27" s="40" t="s">
        <v>75</v>
      </c>
      <c r="E27" s="40" t="s">
        <v>76</v>
      </c>
      <c r="F27" s="41">
        <v>20.0</v>
      </c>
      <c r="G27" s="42">
        <v>20.0</v>
      </c>
      <c r="H27" s="44"/>
      <c r="I27" s="44"/>
      <c r="J27" s="44"/>
    </row>
    <row r="28">
      <c r="A28" s="44"/>
      <c r="B28" s="44"/>
      <c r="C28" s="44"/>
      <c r="D28" s="44"/>
      <c r="E28" s="44"/>
      <c r="F28" s="44"/>
      <c r="G28" s="44"/>
      <c r="H28" s="44"/>
      <c r="I28" s="54"/>
      <c r="J28" s="44"/>
    </row>
    <row r="29">
      <c r="A29" s="56" t="s">
        <v>14</v>
      </c>
      <c r="B29" s="57" t="s">
        <v>77</v>
      </c>
      <c r="C29" s="58"/>
      <c r="D29" s="58"/>
      <c r="E29" s="58"/>
      <c r="F29" s="59">
        <f>IFERROR(__xludf.DUMMYFUNCTION("ROUNDUP(
  (
    SUM(
      INDIRECT(
        ""F""&amp;(ROW()+1)&amp;"":F""&amp;
        IFERROR(
          INDEX(
            FILTER(
              ROW(A:A),
              REGEXMATCH(A:A, ""^[•◆■※⊳]""),
              ROW(A:A) &gt; ROW()
            ),
            1
  "&amp;"        )-1,
          999
        )
      )
    )+
    SUM(
      INDIRECT(
        ""G""&amp;(ROW()+1)&amp;"":G""&amp;
        IFERROR(
          INDEX(
            FILTER(
              ROW(A:A),
              REGEXMATCH(A:A, ""^[•◆■※⊳]""),
              ROW(A:A) "&amp;"&gt; ROW()
            ),
            1
          )-1,
          999
        )
      )
    )
  )/2
)"),95.0)</f>
        <v>95</v>
      </c>
      <c r="H29" s="60" t="s">
        <v>78</v>
      </c>
      <c r="I29" s="61"/>
      <c r="J29" s="61"/>
    </row>
    <row r="30" outlineLevel="1">
      <c r="A30" s="62"/>
      <c r="B30" s="38" t="s">
        <v>79</v>
      </c>
      <c r="C30" s="43" t="s">
        <v>80</v>
      </c>
      <c r="D30" s="40" t="s">
        <v>81</v>
      </c>
      <c r="E30" s="40" t="s">
        <v>82</v>
      </c>
      <c r="F30" s="41">
        <v>5.0</v>
      </c>
      <c r="G30" s="54">
        <v>5.0</v>
      </c>
      <c r="H30" s="62"/>
      <c r="I30" s="62"/>
      <c r="J30" s="62"/>
    </row>
    <row r="31" outlineLevel="1">
      <c r="A31" s="62"/>
      <c r="B31" s="38" t="s">
        <v>83</v>
      </c>
      <c r="C31" s="43" t="s">
        <v>84</v>
      </c>
      <c r="D31" s="40" t="s">
        <v>85</v>
      </c>
      <c r="E31" s="40" t="s">
        <v>86</v>
      </c>
      <c r="F31" s="41">
        <v>75.0</v>
      </c>
      <c r="G31" s="54">
        <v>75.0</v>
      </c>
      <c r="H31" s="62"/>
      <c r="I31" s="62"/>
      <c r="J31" s="62"/>
    </row>
    <row r="32" outlineLevel="1">
      <c r="A32" s="44"/>
      <c r="B32" s="63" t="s">
        <v>87</v>
      </c>
      <c r="C32" s="39" t="s">
        <v>88</v>
      </c>
      <c r="D32" s="64" t="s">
        <v>89</v>
      </c>
      <c r="E32" s="40" t="s">
        <v>90</v>
      </c>
      <c r="F32" s="41">
        <v>15.0</v>
      </c>
      <c r="G32" s="42">
        <v>15.0</v>
      </c>
      <c r="H32" s="44"/>
      <c r="I32" s="54"/>
      <c r="J32" s="44"/>
    </row>
    <row r="33">
      <c r="A33" s="65"/>
      <c r="B33" s="66"/>
      <c r="C33" s="67"/>
      <c r="D33" s="67"/>
      <c r="E33" s="67"/>
      <c r="F33" s="51"/>
      <c r="G33" s="51"/>
      <c r="H33" s="68"/>
      <c r="I33" s="69"/>
      <c r="J33" s="69"/>
    </row>
    <row r="34">
      <c r="A34" s="70" t="s">
        <v>14</v>
      </c>
      <c r="B34" s="71" t="s">
        <v>91</v>
      </c>
      <c r="C34" s="72"/>
      <c r="D34" s="72"/>
      <c r="E34" s="72"/>
      <c r="F34" s="18">
        <f>IFERROR(__xludf.DUMMYFUNCTION("ROUNDUP(
  (
    SUM(
      INDIRECT(
        ""F""&amp;(ROW()+1)&amp;"":F""&amp;
        IFERROR(
          INDEX(
            FILTER(
              ROW(A:A),
              REGEXMATCH(A:A, ""^[•◆■※⊳]""),
              ROW(A:A) &gt; ROW()
            ),
            1
  "&amp;"        )-1,
          999
        )
      )
    )+
    SUM(
      INDIRECT(
        ""G""&amp;(ROW()+1)&amp;"":G""&amp;
        IFERROR(
          INDEX(
            FILTER(
              ROW(A:A),
              REGEXMATCH(A:A, ""^[•◆■※⊳]""),
              ROW(A:A) "&amp;"&gt; ROW()
            ),
            1
          )-1,
          999
        )
      )
    )
  )/2
)"),60.0)</f>
        <v>60</v>
      </c>
      <c r="H34" s="73" t="s">
        <v>47</v>
      </c>
      <c r="I34" s="74"/>
      <c r="J34" s="74"/>
    </row>
    <row r="35" outlineLevel="1">
      <c r="A35" s="44"/>
      <c r="B35" s="38" t="s">
        <v>92</v>
      </c>
      <c r="C35" s="40" t="s">
        <v>93</v>
      </c>
      <c r="D35" s="40" t="s">
        <v>94</v>
      </c>
      <c r="E35" s="40" t="s">
        <v>95</v>
      </c>
      <c r="F35" s="54">
        <v>60.0</v>
      </c>
      <c r="G35" s="42">
        <v>60.0</v>
      </c>
      <c r="H35" s="44"/>
      <c r="I35" s="54"/>
      <c r="J35" s="44"/>
    </row>
    <row r="36">
      <c r="I36" s="75"/>
    </row>
    <row r="37">
      <c r="A37" s="15" t="s">
        <v>14</v>
      </c>
      <c r="B37" s="16" t="s">
        <v>96</v>
      </c>
      <c r="C37" s="17"/>
      <c r="D37" s="17"/>
      <c r="E37" s="17"/>
      <c r="F37" s="18">
        <f>IFERROR(__xludf.DUMMYFUNCTION("ROUNDUP(
  (
    SUM(
      INDIRECT(
        ""F""&amp;(ROW()+1)&amp;"":F""&amp;
        IFERROR(
          INDEX(
            FILTER(
              ROW(A:A),
              REGEXMATCH(A:A, ""^[•◆■※⊳]""),
              ROW(A:A) &gt; ROW()
            ),
            1
  "&amp;"        )-1,
          999
        )
      )
    )+
    SUM(
      INDIRECT(
        ""G""&amp;(ROW()+1)&amp;"":G""&amp;
        IFERROR(
          INDEX(
            FILTER(
              ROW(A:A),
              REGEXMATCH(A:A, ""^[•◆■※⊳]""),
              ROW(A:A) "&amp;"&gt; ROW()
            ),
            1
          )-1,
          999
        )
      )
    )
  )/2
)"),20.0)</f>
        <v>20</v>
      </c>
      <c r="H37" s="19" t="s">
        <v>16</v>
      </c>
      <c r="I37" s="20"/>
      <c r="J37" s="17"/>
    </row>
    <row r="38" outlineLevel="1">
      <c r="A38" s="44"/>
      <c r="B38" s="38" t="s">
        <v>96</v>
      </c>
      <c r="C38" s="76" t="s">
        <v>97</v>
      </c>
      <c r="D38" s="40" t="s">
        <v>98</v>
      </c>
      <c r="E38" s="77" t="s">
        <v>99</v>
      </c>
      <c r="F38" s="54">
        <v>20.0</v>
      </c>
      <c r="G38" s="42">
        <v>20.0</v>
      </c>
      <c r="H38" s="44"/>
      <c r="I38" s="54"/>
      <c r="J38" s="44"/>
    </row>
    <row r="39" outlineLevel="1">
      <c r="A39" s="44"/>
      <c r="B39" s="78"/>
      <c r="C39" s="79"/>
      <c r="D39" s="79"/>
      <c r="E39" s="79"/>
      <c r="F39" s="80"/>
      <c r="G39" s="81"/>
      <c r="H39" s="44"/>
      <c r="I39" s="30"/>
      <c r="J39" s="44"/>
    </row>
    <row r="40">
      <c r="A40" s="44"/>
      <c r="B40" s="38"/>
      <c r="C40" s="82"/>
      <c r="D40" s="82"/>
      <c r="E40" s="82"/>
      <c r="F40" s="83"/>
      <c r="G40" s="84"/>
      <c r="H40" s="44"/>
      <c r="I40" s="54"/>
      <c r="J40" s="44"/>
    </row>
    <row r="41">
      <c r="A41" s="70" t="s">
        <v>14</v>
      </c>
      <c r="B41" s="71" t="s">
        <v>100</v>
      </c>
      <c r="C41" s="72"/>
      <c r="D41" s="72"/>
      <c r="E41" s="72"/>
      <c r="F41" s="18">
        <f>IFERROR(__xludf.DUMMYFUNCTION("ROUNDUP(
  (
    SUM(
      INDIRECT(
        ""F""&amp;(ROW()+1)&amp;"":F""&amp;
        IFERROR(
          INDEX(
            FILTER(
              ROW(A:A),
              REGEXMATCH(A:A, ""^[•◆■※⊳]""),
              ROW(A:A) &gt; ROW()
            ),
            1
  "&amp;"        )-1,
          999
        )
      )
    )+
    SUM(
      INDIRECT(
        ""G""&amp;(ROW()+1)&amp;"":G""&amp;
        IFERROR(
          INDEX(
            FILTER(
              ROW(A:A),
              REGEXMATCH(A:A, ""^[•◆■※⊳]""),
              ROW(A:A) "&amp;"&gt; ROW()
            ),
            1
          )-1,
          999
        )
      )
    )
  )/2
)"),120.0)</f>
        <v>120</v>
      </c>
      <c r="H41" s="73" t="s">
        <v>47</v>
      </c>
      <c r="I41" s="74"/>
      <c r="J41" s="74"/>
    </row>
    <row r="42" outlineLevel="1">
      <c r="A42" s="85"/>
      <c r="B42" s="86" t="s">
        <v>101</v>
      </c>
      <c r="C42" s="87" t="s">
        <v>102</v>
      </c>
      <c r="D42" s="88" t="s">
        <v>103</v>
      </c>
      <c r="E42" s="87" t="s">
        <v>104</v>
      </c>
      <c r="F42" s="89">
        <v>120.0</v>
      </c>
      <c r="G42" s="90">
        <v>120.0</v>
      </c>
      <c r="H42" s="88"/>
      <c r="I42" s="89"/>
      <c r="J42" s="85"/>
    </row>
    <row r="43" outlineLevel="1">
      <c r="A43" s="85"/>
      <c r="B43" s="91"/>
      <c r="C43" s="92"/>
      <c r="D43" s="92"/>
      <c r="E43" s="92"/>
      <c r="F43" s="93"/>
      <c r="G43" s="93"/>
      <c r="H43" s="85"/>
      <c r="I43" s="94"/>
      <c r="J43" s="85"/>
    </row>
    <row r="44" outlineLevel="1">
      <c r="A44" s="85"/>
      <c r="B44" s="91"/>
      <c r="C44" s="92"/>
      <c r="D44" s="92"/>
      <c r="E44" s="92"/>
      <c r="F44" s="93"/>
      <c r="G44" s="93"/>
      <c r="H44" s="85"/>
      <c r="I44" s="94"/>
      <c r="J44" s="85"/>
    </row>
    <row r="45">
      <c r="I45" s="75"/>
    </row>
    <row r="46">
      <c r="A46" s="15" t="s">
        <v>14</v>
      </c>
      <c r="B46" s="16" t="s">
        <v>105</v>
      </c>
      <c r="C46" s="17"/>
      <c r="D46" s="17"/>
      <c r="E46" s="34"/>
      <c r="F46" s="18">
        <f>IFERROR(__xludf.DUMMYFUNCTION("ROUNDUP(
  (
    SUM(
      INDIRECT(
        ""F""&amp;(ROW()+1)&amp;"":F""&amp;
        IFERROR(
          INDEX(
            FILTER(
              ROW(A:A),
              REGEXMATCH(A:A, ""^[•◆■※⊳]""),
              ROW(A:A) &gt; ROW()
            ),
            1
  "&amp;"        )-1,
          999
        )
      )
    )+
    SUM(
      INDIRECT(
        ""G""&amp;(ROW()+1)&amp;"":G""&amp;
        IFERROR(
          INDEX(
            FILTER(
              ROW(A:A),
              REGEXMATCH(A:A, ""^[•◆■※⊳]""),
              ROW(A:A) "&amp;"&gt; ROW()
            ),
            1
          )-1,
          999
        )
      )
    )
  )/2
)"),120.0)</f>
        <v>120</v>
      </c>
      <c r="H46" s="19" t="s">
        <v>47</v>
      </c>
      <c r="I46" s="20"/>
      <c r="J46" s="17"/>
    </row>
    <row r="47" ht="76.5" customHeight="1" outlineLevel="1">
      <c r="A47" s="44"/>
      <c r="B47" s="38" t="s">
        <v>106</v>
      </c>
      <c r="C47" s="76" t="s">
        <v>107</v>
      </c>
      <c r="D47" s="40" t="s">
        <v>108</v>
      </c>
      <c r="E47" s="39" t="s">
        <v>109</v>
      </c>
      <c r="F47" s="41">
        <v>15.0</v>
      </c>
      <c r="G47" s="42">
        <v>15.0</v>
      </c>
      <c r="H47" s="44"/>
      <c r="I47" s="42" t="s">
        <v>110</v>
      </c>
      <c r="J47" s="44"/>
    </row>
    <row r="48" ht="76.5" customHeight="1" outlineLevel="1">
      <c r="A48" s="44"/>
      <c r="B48" s="38" t="s">
        <v>111</v>
      </c>
      <c r="C48" s="40" t="s">
        <v>112</v>
      </c>
      <c r="D48" s="40" t="s">
        <v>113</v>
      </c>
      <c r="E48" s="43" t="s">
        <v>114</v>
      </c>
      <c r="F48" s="45">
        <v>105.0</v>
      </c>
      <c r="G48" s="42">
        <v>105.0</v>
      </c>
      <c r="H48" s="44"/>
      <c r="I48" s="42" t="s">
        <v>110</v>
      </c>
      <c r="J48" s="44"/>
    </row>
    <row r="49" ht="19.5" customHeight="1">
      <c r="A49" s="44"/>
      <c r="B49" s="38"/>
      <c r="C49" s="40"/>
      <c r="D49" s="40"/>
      <c r="E49" s="43"/>
      <c r="F49" s="45"/>
      <c r="G49" s="42"/>
      <c r="H49" s="44"/>
      <c r="I49" s="42"/>
      <c r="J49" s="44"/>
    </row>
    <row r="50">
      <c r="A50" s="70" t="s">
        <v>14</v>
      </c>
      <c r="B50" s="16" t="s">
        <v>115</v>
      </c>
      <c r="C50" s="72"/>
      <c r="D50" s="72"/>
      <c r="E50" s="72"/>
      <c r="F50" s="95">
        <v>80.0</v>
      </c>
      <c r="H50" s="73" t="s">
        <v>47</v>
      </c>
      <c r="I50" s="74"/>
      <c r="J50" s="74"/>
    </row>
    <row r="51" outlineLevel="1">
      <c r="A51" s="44"/>
      <c r="B51" s="63" t="s">
        <v>116</v>
      </c>
      <c r="C51" s="76" t="s">
        <v>117</v>
      </c>
      <c r="D51" s="76" t="s">
        <v>118</v>
      </c>
      <c r="E51" s="96" t="s">
        <v>119</v>
      </c>
      <c r="F51" s="54">
        <v>80.0</v>
      </c>
      <c r="G51" s="42">
        <v>80.0</v>
      </c>
      <c r="H51" s="44"/>
      <c r="I51" s="97" t="s">
        <v>110</v>
      </c>
      <c r="J51" s="44"/>
    </row>
    <row r="52">
      <c r="A52" s="85"/>
      <c r="B52" s="91"/>
      <c r="C52" s="92"/>
      <c r="D52" s="92"/>
      <c r="E52" s="92"/>
      <c r="F52" s="93"/>
      <c r="G52" s="93"/>
      <c r="H52" s="85"/>
      <c r="I52" s="94"/>
      <c r="J52" s="85"/>
    </row>
    <row r="53" collapsed="1">
      <c r="A53" s="98" t="s">
        <v>14</v>
      </c>
      <c r="B53" s="71" t="s">
        <v>120</v>
      </c>
      <c r="C53" s="61"/>
      <c r="D53" s="61"/>
      <c r="E53" s="61"/>
      <c r="F53" s="59">
        <f>IFERROR(__xludf.DUMMYFUNCTION("ROUNDUP(
  (
    SUM(
      INDIRECT(
        ""F""&amp;(ROW()+1)&amp;"":F""&amp;
        IFERROR(
          INDEX(
            FILTER(
              ROW(A:A),
              REGEXMATCH(A:A, ""^[•◆■※⊳]""),
              ROW(A:A) &gt; ROW()
            ),
            1
  "&amp;"        )-1,
          999
        )
      )
    )+
    SUM(
      INDIRECT(
        ""G""&amp;(ROW()+1)&amp;"":G""&amp;
        IFERROR(
          INDEX(
            FILTER(
              ROW(A:A),
              REGEXMATCH(A:A, ""^[•◆■※⊳]""),
              ROW(A:A) "&amp;"&gt; ROW()
            ),
            1
          )-1,
          999
        )
      )
    )
  )/2
)"),30.0)</f>
        <v>30</v>
      </c>
      <c r="H53" s="99" t="s">
        <v>16</v>
      </c>
      <c r="I53" s="100"/>
      <c r="J53" s="101"/>
    </row>
    <row r="54" hidden="1" outlineLevel="1">
      <c r="A54" s="102"/>
      <c r="B54" s="63" t="s">
        <v>120</v>
      </c>
      <c r="C54" s="40" t="s">
        <v>121</v>
      </c>
      <c r="D54" s="40" t="s">
        <v>122</v>
      </c>
      <c r="E54" s="40" t="s">
        <v>123</v>
      </c>
      <c r="F54" s="54">
        <v>30.0</v>
      </c>
      <c r="G54" s="42">
        <v>30.0</v>
      </c>
      <c r="H54" s="37"/>
      <c r="I54" s="44"/>
      <c r="J54" s="102"/>
    </row>
    <row r="55">
      <c r="A55" s="103"/>
      <c r="B55" s="103"/>
      <c r="F55" s="104"/>
      <c r="G55" s="104"/>
      <c r="I55" s="103"/>
    </row>
    <row r="56">
      <c r="A56" s="70" t="s">
        <v>14</v>
      </c>
      <c r="B56" s="71" t="s">
        <v>124</v>
      </c>
      <c r="C56" s="72"/>
      <c r="D56" s="72"/>
      <c r="E56" s="72"/>
      <c r="F56" s="18">
        <f>IFERROR(__xludf.DUMMYFUNCTION("ROUNDUP(
  (
    SUM(
      INDIRECT(
        ""F""&amp;(ROW()+1)&amp;"":F""&amp;
        IFERROR(
          INDEX(
            FILTER(
              ROW(A:A),
              REGEXMATCH(A:A, ""^[•◆■※⊳]""),
              ROW(A:A) &gt; ROW()
            ),
            1
  "&amp;"        )-1,
          999
        )
      )
    )+
    SUM(
      INDIRECT(
        ""G""&amp;(ROW()+1)&amp;"":G""&amp;
        IFERROR(
          INDEX(
            FILTER(
              ROW(A:A),
              REGEXMATCH(A:A, ""^[•◆■※⊳]""),
              ROW(A:A) "&amp;"&gt; ROW()
            ),
            1
          )-1,
          999
        )
      )
    )
  )/2
)"),108.0)</f>
        <v>108</v>
      </c>
      <c r="H56" s="73" t="s">
        <v>47</v>
      </c>
      <c r="I56" s="74"/>
      <c r="J56" s="74"/>
    </row>
    <row r="57" outlineLevel="1">
      <c r="A57" s="6"/>
      <c r="B57" s="105" t="s">
        <v>125</v>
      </c>
      <c r="C57" s="106" t="s">
        <v>126</v>
      </c>
      <c r="D57" s="106" t="s">
        <v>127</v>
      </c>
      <c r="E57" s="107"/>
      <c r="F57" s="108">
        <v>108.0</v>
      </c>
      <c r="G57" s="108">
        <v>108.0</v>
      </c>
      <c r="H57" s="107"/>
      <c r="I57" s="107"/>
      <c r="J57" s="6"/>
    </row>
    <row r="58">
      <c r="I58" s="75"/>
    </row>
    <row r="59">
      <c r="A59" s="109"/>
      <c r="B59" s="109"/>
      <c r="C59" s="109"/>
      <c r="D59" s="109"/>
      <c r="E59" s="109"/>
      <c r="F59" s="109"/>
      <c r="G59" s="109"/>
      <c r="H59" s="109"/>
      <c r="I59" s="110"/>
      <c r="J59" s="109"/>
    </row>
    <row r="60" collapsed="1">
      <c r="A60" s="111" t="s">
        <v>128</v>
      </c>
      <c r="B60" s="16" t="s">
        <v>129</v>
      </c>
      <c r="C60" s="112"/>
      <c r="D60" s="112"/>
      <c r="E60" s="112"/>
      <c r="F60" s="113">
        <v>130.0</v>
      </c>
      <c r="H60" s="112"/>
      <c r="I60" s="111" t="s">
        <v>130</v>
      </c>
      <c r="J60" s="112"/>
    </row>
    <row r="61" ht="29.25" hidden="1" customHeight="1" outlineLevel="1">
      <c r="A61" s="31"/>
      <c r="B61" s="114" t="s">
        <v>131</v>
      </c>
      <c r="C61" s="12" t="s">
        <v>132</v>
      </c>
      <c r="D61" s="12" t="s">
        <v>133</v>
      </c>
      <c r="E61" s="12" t="s">
        <v>134</v>
      </c>
      <c r="F61" s="31"/>
      <c r="G61" s="31"/>
      <c r="H61" s="31"/>
      <c r="I61" s="115"/>
      <c r="J61" s="31"/>
    </row>
    <row r="62" ht="29.25" hidden="1" customHeight="1" outlineLevel="1">
      <c r="A62" s="31"/>
      <c r="B62" s="116" t="s">
        <v>135</v>
      </c>
      <c r="F62" s="31"/>
      <c r="G62" s="117"/>
      <c r="H62" s="31"/>
      <c r="I62" s="115"/>
      <c r="J62" s="31"/>
    </row>
    <row r="63" ht="29.25" hidden="1" customHeight="1" outlineLevel="1">
      <c r="A63" s="31"/>
      <c r="B63" s="118" t="s">
        <v>136</v>
      </c>
      <c r="F63" s="117"/>
      <c r="G63" s="117"/>
      <c r="H63" s="31"/>
      <c r="I63" s="115"/>
      <c r="J63" s="31"/>
    </row>
    <row r="64">
      <c r="A64" s="31"/>
      <c r="B64" s="31"/>
      <c r="C64" s="31"/>
      <c r="D64" s="119"/>
      <c r="E64" s="31"/>
      <c r="F64" s="31"/>
      <c r="G64" s="31"/>
      <c r="H64" s="31"/>
      <c r="I64" s="115"/>
      <c r="J64" s="31"/>
    </row>
    <row r="65">
      <c r="A65" s="15" t="s">
        <v>137</v>
      </c>
      <c r="B65" s="16" t="s">
        <v>138</v>
      </c>
      <c r="C65" s="35"/>
      <c r="D65" s="35"/>
      <c r="E65" s="35"/>
      <c r="F65" s="120">
        <v>40.0</v>
      </c>
      <c r="H65" s="35"/>
      <c r="I65" s="121"/>
      <c r="J65" s="35"/>
    </row>
    <row r="66" ht="54.75" customHeight="1" outlineLevel="1">
      <c r="A66" s="31"/>
      <c r="B66" s="122" t="s">
        <v>138</v>
      </c>
      <c r="C66" s="12" t="s">
        <v>139</v>
      </c>
      <c r="D66" s="31"/>
      <c r="E66" s="123"/>
      <c r="F66" s="124" t="s">
        <v>140</v>
      </c>
      <c r="G66" s="125">
        <v>40.0</v>
      </c>
      <c r="H66" s="31"/>
      <c r="I66" s="30"/>
      <c r="J66" s="31"/>
    </row>
    <row r="67" ht="54.75" customHeight="1" outlineLevel="1">
      <c r="A67" s="31"/>
      <c r="B67" s="122"/>
      <c r="C67" s="12"/>
      <c r="D67" s="31"/>
      <c r="E67" s="123"/>
      <c r="F67" s="124" t="s">
        <v>141</v>
      </c>
      <c r="G67" s="125">
        <f>Details!C19</f>
        <v>1</v>
      </c>
      <c r="H67" s="31"/>
      <c r="I67" s="30"/>
      <c r="J67" s="31"/>
    </row>
    <row r="68">
      <c r="A68" s="31"/>
      <c r="B68" s="31"/>
      <c r="C68" s="31"/>
      <c r="D68" s="31"/>
      <c r="E68" s="31"/>
      <c r="F68" s="31"/>
      <c r="G68" s="31"/>
      <c r="H68" s="31"/>
      <c r="I68" s="126"/>
      <c r="J68" s="31"/>
    </row>
    <row r="69">
      <c r="A69" s="31"/>
      <c r="B69" s="31"/>
      <c r="C69" s="31"/>
      <c r="D69" s="31"/>
      <c r="E69" s="31"/>
      <c r="F69" s="31"/>
      <c r="G69" s="31"/>
      <c r="H69" s="31"/>
      <c r="I69" s="126"/>
      <c r="J69" s="31"/>
    </row>
    <row r="70" ht="23.25" customHeight="1">
      <c r="A70" s="127" t="s">
        <v>142</v>
      </c>
      <c r="B70" s="123"/>
      <c r="C70" s="31"/>
      <c r="D70" s="31"/>
      <c r="E70" s="128" t="s">
        <v>143</v>
      </c>
      <c r="F70" s="129">
        <f>SUMIFS(F:F, A:A, "*•*") + SUMIFS(F:F, A:A, "*◆*") + SUMIFS(F:F, A:A, "*■*")</f>
        <v>1161</v>
      </c>
      <c r="G70" s="130"/>
      <c r="H70" s="131" t="s">
        <v>144</v>
      </c>
      <c r="I70" s="132">
        <f t="array" ref="I70">INDIRECT("Details!G26")</f>
        <v>1140.01</v>
      </c>
      <c r="J70" s="133"/>
    </row>
    <row r="71" ht="23.25" customHeight="1">
      <c r="A71" s="127"/>
      <c r="B71" s="123"/>
      <c r="C71" s="31"/>
      <c r="D71" s="31"/>
      <c r="E71" s="134"/>
      <c r="F71" s="135"/>
      <c r="G71" s="135"/>
      <c r="H71" s="136" t="s">
        <v>145</v>
      </c>
      <c r="I71" s="137">
        <f t="array" ref="I71">INDIRECT("Details!H26")</f>
        <v>1140.01</v>
      </c>
      <c r="J71" s="133"/>
    </row>
    <row r="72" ht="46.5" customHeight="1">
      <c r="A72" s="127" t="s">
        <v>146</v>
      </c>
      <c r="B72" s="123"/>
      <c r="C72" s="123"/>
      <c r="D72" s="123"/>
      <c r="E72" s="138" t="s">
        <v>147</v>
      </c>
      <c r="F72" s="139">
        <f>IFERROR(__xludf.DUMMYFUNCTION("ARRAYFORMULA(
  SUM(
    IF(
      REGEXMATCH(INDIRECT(""A4:A"" &amp; MATCH(""※"",A:A,0)-1), ""^[•◆■]""),
      INDIRECT(""F4:F"" &amp; MATCH(""※"",A:A,0)-1) * 
      IF(
        REGEXMATCH(INDIRECT(""A4:A"" &amp; MATCH(""※"",A:A,0)-1), ""^[•◆]""),
        Details!$C"&amp;"$11,
        IF(
          REGEXMATCH(INDIRECT(""A4:A"" &amp; MATCH(""※"",A:A,0)-1), ""^■""),
          Details!$C$17,
          0
        )
      ),
      0
    )
  )
)"),232200.0)</f>
        <v>232200</v>
      </c>
      <c r="G72" s="140"/>
      <c r="H72" s="141"/>
      <c r="I72" s="142"/>
      <c r="J72" s="133"/>
    </row>
    <row r="73" ht="46.5" customHeight="1">
      <c r="A73" s="123"/>
      <c r="B73" s="123"/>
      <c r="C73" s="123"/>
      <c r="D73" s="123"/>
      <c r="E73" s="143"/>
      <c r="F73" s="144"/>
      <c r="G73" s="144"/>
      <c r="H73" s="145"/>
      <c r="I73" s="115"/>
      <c r="J73" s="31"/>
    </row>
    <row r="74" ht="46.5" customHeight="1">
      <c r="A74" s="146" t="s">
        <v>148</v>
      </c>
      <c r="B74" s="147" t="s">
        <v>149</v>
      </c>
      <c r="C74" s="148"/>
      <c r="D74" s="148"/>
      <c r="E74" s="149"/>
      <c r="F74" s="150"/>
      <c r="G74" s="150"/>
      <c r="H74" s="151"/>
      <c r="I74" s="152"/>
      <c r="J74" s="153"/>
    </row>
  </sheetData>
  <mergeCells count="27">
    <mergeCell ref="A1:B1"/>
    <mergeCell ref="C1:E1"/>
    <mergeCell ref="F1:J1"/>
    <mergeCell ref="B5:D5"/>
    <mergeCell ref="E5:G5"/>
    <mergeCell ref="B6:D6"/>
    <mergeCell ref="E6:J6"/>
    <mergeCell ref="F7:G7"/>
    <mergeCell ref="F14:G14"/>
    <mergeCell ref="F18:G18"/>
    <mergeCell ref="F21:G21"/>
    <mergeCell ref="F29:G29"/>
    <mergeCell ref="F34:G34"/>
    <mergeCell ref="F37:G37"/>
    <mergeCell ref="D61:D63"/>
    <mergeCell ref="E61:E63"/>
    <mergeCell ref="E70:E71"/>
    <mergeCell ref="F70:G71"/>
    <mergeCell ref="F72:G72"/>
    <mergeCell ref="F41:G41"/>
    <mergeCell ref="F46:G46"/>
    <mergeCell ref="F50:G50"/>
    <mergeCell ref="F53:G53"/>
    <mergeCell ref="F56:G56"/>
    <mergeCell ref="F60:G60"/>
    <mergeCell ref="C61:C63"/>
    <mergeCell ref="F65:G65"/>
  </mergeCells>
  <dataValidations>
    <dataValidation type="list" allowBlank="1" showErrorMessage="1" sqref="H7 H14 H18 H21 H29 H34 H37 H41 H46 H50 H53 H56">
      <formula1>"High,Standard,Low"</formula1>
    </dataValidation>
    <dataValidation type="list" allowBlank="1" showErrorMessage="1" sqref="I8:I12 I15:I16 I19 I22:I27 I30:I32 I47:I48 I51 I54 I60">
      <formula1>"Consulting,Development,Project Management,Solutions Engineering,Strategy"</formula1>
    </dataValidation>
  </dataValidations>
  <hyperlinks>
    <hyperlink r:id="rId2" location="post-invoices" ref="E25"/>
    <hyperlink r:id="rId3" location="gid=182219424" ref="E38"/>
    <hyperlink r:id="rId4" ref="E51"/>
  </hyperlinks>
  <printOptions gridLines="1" horizontalCentered="1"/>
  <pageMargins bottom="0.75" footer="0.0" header="0.0" left="0.25" right="0.25" top="0.75"/>
  <pageSetup fitToHeight="0" cellComments="atEnd" orientation="landscape" pageOrder="overThenDown"/>
  <drawing r:id="rId5"/>
  <legacyDrawing r:id="rId6"/>
  <tableParts count="16">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8.13"/>
    <col customWidth="1" min="2" max="2" width="39.88"/>
    <col customWidth="1" min="3" max="3" width="46.13"/>
    <col customWidth="1" min="4" max="4" width="32.75"/>
    <col customWidth="1" min="5" max="5" width="56.0"/>
    <col customWidth="1" min="6" max="6" width="10.63"/>
    <col customWidth="1" min="7" max="7" width="11.13"/>
    <col customWidth="1" min="8" max="8" width="18.38"/>
    <col customWidth="1" min="9" max="9" width="19.0"/>
    <col customWidth="1" min="10" max="10" width="55.88"/>
  </cols>
  <sheetData>
    <row r="1">
      <c r="A1" s="154" t="s">
        <v>0</v>
      </c>
      <c r="C1" s="2" t="s">
        <v>1</v>
      </c>
      <c r="F1" s="1"/>
      <c r="J1" s="155"/>
    </row>
    <row r="2">
      <c r="A2" s="156"/>
      <c r="B2" s="4" t="s">
        <v>2</v>
      </c>
      <c r="C2" s="5" t="s">
        <v>3</v>
      </c>
      <c r="D2" s="5" t="s">
        <v>4</v>
      </c>
      <c r="E2" s="4" t="s">
        <v>5</v>
      </c>
      <c r="F2" s="5" t="s">
        <v>6</v>
      </c>
      <c r="G2" s="5" t="s">
        <v>7</v>
      </c>
      <c r="H2" s="4" t="s">
        <v>8</v>
      </c>
      <c r="I2" s="4" t="s">
        <v>9</v>
      </c>
      <c r="J2" s="4" t="s">
        <v>150</v>
      </c>
    </row>
    <row r="3" collapsed="1">
      <c r="A3" s="157"/>
      <c r="B3" s="7"/>
      <c r="C3" s="7"/>
      <c r="D3" s="7"/>
      <c r="E3" s="7"/>
      <c r="F3" s="7"/>
      <c r="G3" s="7"/>
      <c r="H3" s="7"/>
      <c r="I3" s="8"/>
      <c r="J3" s="8"/>
    </row>
    <row r="4" hidden="1" outlineLevel="1">
      <c r="A4" s="157"/>
      <c r="B4" s="12" t="s">
        <v>13</v>
      </c>
      <c r="E4" s="12"/>
      <c r="H4" s="13"/>
      <c r="I4" s="14"/>
      <c r="J4" s="14"/>
    </row>
    <row r="5">
      <c r="A5" s="15" t="s">
        <v>14</v>
      </c>
      <c r="B5" s="16" t="s">
        <v>15</v>
      </c>
      <c r="C5" s="17"/>
      <c r="D5" s="17"/>
      <c r="E5" s="17"/>
      <c r="F5" s="18">
        <f>IFERROR(__xludf.DUMMYFUNCTION("ROUNDUP(
  (
    SUM(
      INDIRECT(
        ""F""&amp;(ROW()+1)&amp;"":F""&amp;
        IFERROR(
          INDEX(
            FILTER(
              ROW(A:A),
              REGEXMATCH(A:A, ""^[•◆■※⊳]""),
              ROW(A:A) &gt; ROW()
            ),
            1
  "&amp;"        )-1,
          999
        )
      )
    )+
    SUM(
      INDIRECT(
        ""G""&amp;(ROW()+1)&amp;"":G""&amp;
        IFERROR(
          INDEX(
            FILTER(
              ROW(A:A),
              REGEXMATCH(A:A, ""^[•◆■※⊳]""),
              ROW(A:A) "&amp;"&gt; ROW()
            ),
            1
          )-1,
          999
        )
      )
    )
  )/2
)"),410.0)</f>
        <v>410</v>
      </c>
      <c r="H5" s="19" t="s">
        <v>16</v>
      </c>
      <c r="I5" s="20"/>
      <c r="J5" s="158"/>
    </row>
    <row r="6" ht="93.0" customHeight="1" outlineLevel="1">
      <c r="A6" s="159" t="s">
        <v>151</v>
      </c>
      <c r="B6" s="160" t="s">
        <v>17</v>
      </c>
      <c r="C6" s="161" t="s">
        <v>18</v>
      </c>
      <c r="D6" s="161" t="s">
        <v>19</v>
      </c>
      <c r="E6" s="161" t="s">
        <v>20</v>
      </c>
      <c r="F6" s="90">
        <v>120.0</v>
      </c>
      <c r="G6" s="90">
        <v>120.0</v>
      </c>
      <c r="H6" s="162"/>
      <c r="I6" s="163" t="s">
        <v>152</v>
      </c>
      <c r="J6" s="161"/>
    </row>
    <row r="7" outlineLevel="1">
      <c r="A7" s="159" t="s">
        <v>151</v>
      </c>
      <c r="B7" s="38" t="s">
        <v>21</v>
      </c>
      <c r="C7" s="76" t="s">
        <v>22</v>
      </c>
      <c r="D7" s="40" t="s">
        <v>23</v>
      </c>
      <c r="E7" s="40" t="s">
        <v>24</v>
      </c>
      <c r="F7" s="42">
        <v>180.0</v>
      </c>
      <c r="G7" s="42">
        <v>180.0</v>
      </c>
      <c r="H7" s="37"/>
      <c r="I7" s="163" t="s">
        <v>152</v>
      </c>
      <c r="J7" s="164"/>
    </row>
    <row r="8" outlineLevel="1">
      <c r="A8" s="159" t="s">
        <v>151</v>
      </c>
      <c r="B8" s="160" t="s">
        <v>25</v>
      </c>
      <c r="C8" s="161" t="s">
        <v>26</v>
      </c>
      <c r="D8" s="161" t="s">
        <v>27</v>
      </c>
      <c r="E8" s="161" t="s">
        <v>28</v>
      </c>
      <c r="F8" s="90">
        <v>25.0</v>
      </c>
      <c r="G8" s="90">
        <v>25.0</v>
      </c>
      <c r="H8" s="162"/>
      <c r="I8" s="163" t="s">
        <v>152</v>
      </c>
      <c r="J8" s="164"/>
    </row>
    <row r="9" outlineLevel="1">
      <c r="A9" s="159" t="s">
        <v>151</v>
      </c>
      <c r="B9" s="38" t="s">
        <v>29</v>
      </c>
      <c r="C9" s="40" t="s">
        <v>30</v>
      </c>
      <c r="D9" s="40" t="s">
        <v>31</v>
      </c>
      <c r="E9" s="76" t="s">
        <v>153</v>
      </c>
      <c r="F9" s="42">
        <v>60.0</v>
      </c>
      <c r="G9" s="42">
        <v>60.0</v>
      </c>
      <c r="H9" s="37"/>
      <c r="I9" s="163" t="s">
        <v>152</v>
      </c>
      <c r="J9" s="164"/>
    </row>
    <row r="10" ht="54.0" customHeight="1" outlineLevel="1">
      <c r="A10" s="159" t="s">
        <v>151</v>
      </c>
      <c r="B10" s="160" t="s">
        <v>33</v>
      </c>
      <c r="C10" s="161" t="s">
        <v>34</v>
      </c>
      <c r="D10" s="161" t="s">
        <v>35</v>
      </c>
      <c r="E10" s="161" t="s">
        <v>36</v>
      </c>
      <c r="F10" s="165">
        <v>25.0</v>
      </c>
      <c r="G10" s="90">
        <v>25.0</v>
      </c>
      <c r="H10" s="166"/>
      <c r="I10" s="163" t="s">
        <v>154</v>
      </c>
      <c r="J10" s="164"/>
    </row>
    <row r="11" outlineLevel="1">
      <c r="A11" s="40"/>
      <c r="B11" s="38"/>
      <c r="C11" s="39"/>
      <c r="D11" s="76"/>
      <c r="E11" s="167"/>
      <c r="F11" s="45"/>
      <c r="G11" s="45"/>
      <c r="H11" s="44"/>
      <c r="I11" s="54"/>
      <c r="J11" s="40"/>
    </row>
    <row r="12">
      <c r="A12" s="168" t="s">
        <v>14</v>
      </c>
      <c r="B12" s="16" t="s">
        <v>37</v>
      </c>
      <c r="C12" s="35"/>
      <c r="D12" s="35"/>
      <c r="E12" s="35"/>
      <c r="F12" s="18">
        <f>IFERROR(__xludf.DUMMYFUNCTION("ROUNDUP(
  (
    SUM(
      INDIRECT(
        ""F""&amp;(ROW()+1)&amp;"":F""&amp;
        IFERROR(
          INDEX(
            FILTER(
              ROW(A:A),
              REGEXMATCH(A:A, ""^[•◆■※⊳]""),
              ROW(A:A) &gt; ROW()
            ),
            1
  "&amp;"        )-1,
          999
        )
      )
    )+
    SUM(
      INDIRECT(
        ""G""&amp;(ROW()+1)&amp;"":G""&amp;
        IFERROR(
          INDEX(
            FILTER(
              ROW(A:A),
              REGEXMATCH(A:A, ""^[•◆■※⊳]""),
              ROW(A:A) "&amp;"&gt; ROW()
            ),
            1
          )-1,
          999
        )
      )
    )
  )/2
)"),30.0)</f>
        <v>30</v>
      </c>
      <c r="H12" s="19" t="s">
        <v>47</v>
      </c>
      <c r="I12" s="20"/>
      <c r="J12" s="158"/>
    </row>
    <row r="13" outlineLevel="1">
      <c r="A13" s="76" t="s">
        <v>155</v>
      </c>
      <c r="B13" s="63" t="s">
        <v>38</v>
      </c>
      <c r="C13" s="76" t="s">
        <v>156</v>
      </c>
      <c r="D13" s="76" t="s">
        <v>157</v>
      </c>
      <c r="E13" s="169" t="s">
        <v>158</v>
      </c>
      <c r="F13" s="45">
        <v>20.0</v>
      </c>
      <c r="G13" s="42">
        <v>20.0</v>
      </c>
      <c r="H13" s="44"/>
      <c r="I13" s="42" t="s">
        <v>110</v>
      </c>
      <c r="J13" s="40"/>
    </row>
    <row r="14" outlineLevel="1">
      <c r="A14" s="76" t="s">
        <v>155</v>
      </c>
      <c r="B14" s="63" t="s">
        <v>42</v>
      </c>
      <c r="C14" s="76" t="s">
        <v>159</v>
      </c>
      <c r="D14" s="76" t="s">
        <v>160</v>
      </c>
      <c r="E14" s="39" t="s">
        <v>161</v>
      </c>
      <c r="F14" s="45">
        <v>10.0</v>
      </c>
      <c r="G14" s="42">
        <v>10.0</v>
      </c>
      <c r="H14" s="44"/>
      <c r="I14" s="42" t="s">
        <v>110</v>
      </c>
      <c r="J14" s="40"/>
      <c r="K14" s="170"/>
      <c r="L14" s="170"/>
      <c r="M14" s="170"/>
      <c r="N14" s="170"/>
      <c r="O14" s="170"/>
      <c r="P14" s="170"/>
      <c r="Q14" s="170"/>
      <c r="R14" s="170"/>
      <c r="S14" s="170"/>
      <c r="T14" s="170"/>
      <c r="U14" s="170"/>
      <c r="V14" s="170"/>
      <c r="W14" s="170"/>
      <c r="X14" s="170"/>
      <c r="Y14" s="170"/>
      <c r="Z14" s="170"/>
      <c r="AA14" s="170"/>
    </row>
    <row r="15" outlineLevel="1">
      <c r="A15" s="76"/>
      <c r="B15" s="63"/>
      <c r="C15" s="76"/>
      <c r="D15" s="76"/>
      <c r="E15" s="39"/>
      <c r="F15" s="45"/>
      <c r="G15" s="42"/>
      <c r="H15" s="44"/>
      <c r="I15" s="171"/>
      <c r="J15" s="172"/>
      <c r="K15" s="170"/>
      <c r="L15" s="170"/>
      <c r="M15" s="170"/>
      <c r="N15" s="170"/>
      <c r="O15" s="170"/>
      <c r="P15" s="170"/>
      <c r="Q15" s="170"/>
      <c r="R15" s="170"/>
      <c r="S15" s="170"/>
      <c r="T15" s="170"/>
      <c r="U15" s="170"/>
      <c r="V15" s="170"/>
      <c r="W15" s="170"/>
      <c r="X15" s="170"/>
      <c r="Y15" s="170"/>
      <c r="Z15" s="170"/>
      <c r="AA15" s="170"/>
    </row>
    <row r="16">
      <c r="A16" s="168" t="s">
        <v>14</v>
      </c>
      <c r="B16" s="16" t="s">
        <v>52</v>
      </c>
      <c r="C16" s="34"/>
      <c r="D16" s="35"/>
      <c r="E16" s="17"/>
      <c r="F16" s="95">
        <v>70.0</v>
      </c>
      <c r="H16" s="19" t="s">
        <v>47</v>
      </c>
      <c r="I16" s="20"/>
      <c r="J16" s="158"/>
    </row>
    <row r="17" outlineLevel="1">
      <c r="A17" s="76" t="s">
        <v>155</v>
      </c>
      <c r="B17" s="38" t="s">
        <v>48</v>
      </c>
      <c r="C17" s="40" t="s">
        <v>162</v>
      </c>
      <c r="D17" s="76" t="s">
        <v>163</v>
      </c>
      <c r="E17" s="39" t="s">
        <v>164</v>
      </c>
      <c r="F17" s="45">
        <v>50.0</v>
      </c>
      <c r="G17" s="42">
        <v>50.0</v>
      </c>
      <c r="H17" s="40"/>
      <c r="I17" s="42" t="s">
        <v>110</v>
      </c>
      <c r="J17" s="40"/>
    </row>
    <row r="18" ht="156.75" customHeight="1" outlineLevel="1">
      <c r="A18" s="76" t="s">
        <v>165</v>
      </c>
      <c r="B18" s="38" t="s">
        <v>69</v>
      </c>
      <c r="C18" s="39" t="s">
        <v>166</v>
      </c>
      <c r="D18" s="76" t="s">
        <v>167</v>
      </c>
      <c r="E18" s="76" t="s">
        <v>168</v>
      </c>
      <c r="F18" s="45" t="s">
        <v>169</v>
      </c>
      <c r="G18" s="45" t="s">
        <v>169</v>
      </c>
      <c r="H18" s="76"/>
      <c r="I18" s="42" t="s">
        <v>110</v>
      </c>
      <c r="J18" s="40"/>
    </row>
    <row r="19" ht="156.75" customHeight="1" outlineLevel="1">
      <c r="A19" s="76" t="s">
        <v>155</v>
      </c>
      <c r="B19" s="38" t="s">
        <v>73</v>
      </c>
      <c r="C19" s="43" t="s">
        <v>74</v>
      </c>
      <c r="D19" s="40" t="s">
        <v>75</v>
      </c>
      <c r="E19" s="40" t="s">
        <v>76</v>
      </c>
      <c r="F19" s="41">
        <v>20.0</v>
      </c>
      <c r="G19" s="42">
        <v>20.0</v>
      </c>
      <c r="H19" s="76"/>
      <c r="I19" s="42" t="s">
        <v>170</v>
      </c>
      <c r="J19" s="40"/>
    </row>
    <row r="20" outlineLevel="1">
      <c r="A20" s="76"/>
      <c r="B20" s="38"/>
      <c r="C20" s="40"/>
      <c r="D20" s="76"/>
      <c r="E20" s="39"/>
      <c r="F20" s="45"/>
      <c r="G20" s="42"/>
      <c r="H20" s="44"/>
      <c r="I20" s="42"/>
      <c r="J20" s="40"/>
    </row>
    <row r="21" outlineLevel="1">
      <c r="A21" s="173" t="s">
        <v>14</v>
      </c>
      <c r="B21" s="71" t="s">
        <v>171</v>
      </c>
      <c r="C21" s="174"/>
      <c r="D21" s="74"/>
      <c r="E21" s="174"/>
      <c r="F21" s="18">
        <f>IFERROR(__xludf.DUMMYFUNCTION("ROUNDUP(
  (
    SUM(
      INDIRECT(
        ""F""&amp;(ROW()+1)&amp;"":F""&amp;
        IFERROR(
          INDEX(
            FILTER(
              ROW(A:A),
              REGEXMATCH(A:A, ""^[•◆■※⊳]""),
              ROW(A:A) &gt; ROW()
            ),
            1
  "&amp;"        )-1,
          999
        )
      )
    )+
    SUM(
      INDIRECT(
        ""G""&amp;(ROW()+1)&amp;"":G""&amp;
        IFERROR(
          INDEX(
            FILTER(
              ROW(A:A),
              REGEXMATCH(A:A, ""^[•◆■※⊳]""),
              ROW(A:A) "&amp;"&gt; ROW()
            ),
            1
          )-1,
          999
        )
      )
    )
  )/2
)"),55.0)</f>
        <v>55</v>
      </c>
      <c r="H21" s="19" t="s">
        <v>16</v>
      </c>
      <c r="I21" s="74"/>
      <c r="J21" s="175"/>
      <c r="K21" s="170"/>
      <c r="L21" s="170"/>
      <c r="M21" s="170"/>
      <c r="N21" s="170"/>
      <c r="O21" s="170"/>
      <c r="P21" s="170"/>
      <c r="Q21" s="170"/>
      <c r="R21" s="170"/>
      <c r="S21" s="170"/>
      <c r="T21" s="170"/>
      <c r="U21" s="170"/>
      <c r="V21" s="170"/>
      <c r="W21" s="170"/>
      <c r="X21" s="170"/>
      <c r="Y21" s="170"/>
      <c r="Z21" s="170"/>
      <c r="AA21" s="170"/>
    </row>
    <row r="22" outlineLevel="1">
      <c r="A22" s="76" t="s">
        <v>155</v>
      </c>
      <c r="B22" s="38" t="s">
        <v>172</v>
      </c>
      <c r="C22" s="40" t="s">
        <v>173</v>
      </c>
      <c r="D22" s="76" t="s">
        <v>174</v>
      </c>
      <c r="E22" s="39" t="s">
        <v>175</v>
      </c>
      <c r="F22" s="45">
        <v>10.0</v>
      </c>
      <c r="G22" s="42">
        <v>10.0</v>
      </c>
      <c r="H22" s="44"/>
      <c r="I22" s="42" t="s">
        <v>110</v>
      </c>
      <c r="J22" s="40"/>
    </row>
    <row r="23" outlineLevel="1">
      <c r="A23" s="76" t="s">
        <v>155</v>
      </c>
      <c r="B23" s="38" t="s">
        <v>176</v>
      </c>
      <c r="C23" s="40" t="s">
        <v>177</v>
      </c>
      <c r="D23" s="76" t="s">
        <v>178</v>
      </c>
      <c r="E23" s="39" t="s">
        <v>179</v>
      </c>
      <c r="F23" s="45">
        <v>15.0</v>
      </c>
      <c r="G23" s="42">
        <v>15.0</v>
      </c>
      <c r="H23" s="44"/>
      <c r="I23" s="42" t="s">
        <v>110</v>
      </c>
      <c r="J23" s="40"/>
    </row>
    <row r="24" outlineLevel="1">
      <c r="A24" s="76" t="s">
        <v>180</v>
      </c>
      <c r="B24" s="38" t="s">
        <v>181</v>
      </c>
      <c r="C24" s="76" t="s">
        <v>182</v>
      </c>
      <c r="D24" s="76" t="s">
        <v>183</v>
      </c>
      <c r="E24" s="176" t="s">
        <v>184</v>
      </c>
      <c r="F24" s="45">
        <v>15.0</v>
      </c>
      <c r="G24" s="42">
        <v>15.0</v>
      </c>
      <c r="H24" s="44"/>
      <c r="I24" s="42" t="s">
        <v>110</v>
      </c>
      <c r="J24" s="40"/>
    </row>
    <row r="25" outlineLevel="1">
      <c r="A25" s="76" t="s">
        <v>185</v>
      </c>
      <c r="B25" s="38" t="s">
        <v>61</v>
      </c>
      <c r="C25" s="40" t="s">
        <v>186</v>
      </c>
      <c r="D25" s="76" t="s">
        <v>187</v>
      </c>
      <c r="E25" s="39" t="s">
        <v>188</v>
      </c>
      <c r="F25" s="45">
        <v>15.0</v>
      </c>
      <c r="G25" s="45">
        <v>15.0</v>
      </c>
      <c r="H25" s="44"/>
      <c r="I25" s="42" t="s">
        <v>110</v>
      </c>
      <c r="J25" s="40"/>
    </row>
    <row r="26" outlineLevel="1">
      <c r="A26" s="76"/>
      <c r="B26" s="38"/>
      <c r="C26" s="40"/>
      <c r="D26" s="76"/>
      <c r="E26" s="39"/>
      <c r="F26" s="45"/>
      <c r="G26" s="45"/>
      <c r="H26" s="44"/>
      <c r="I26" s="42"/>
      <c r="J26" s="40"/>
    </row>
    <row r="27" outlineLevel="1">
      <c r="A27" s="173" t="s">
        <v>14</v>
      </c>
      <c r="B27" s="71" t="s">
        <v>189</v>
      </c>
      <c r="C27" s="174"/>
      <c r="D27" s="74"/>
      <c r="E27" s="174"/>
      <c r="F27" s="95">
        <v>95.0</v>
      </c>
      <c r="H27" s="19" t="s">
        <v>16</v>
      </c>
      <c r="I27" s="74"/>
      <c r="J27" s="175"/>
      <c r="K27" s="170"/>
      <c r="L27" s="170"/>
      <c r="M27" s="170"/>
      <c r="N27" s="170"/>
      <c r="O27" s="170"/>
      <c r="P27" s="170"/>
      <c r="Q27" s="170"/>
      <c r="R27" s="170"/>
      <c r="S27" s="170"/>
      <c r="T27" s="170"/>
      <c r="U27" s="170"/>
      <c r="V27" s="170"/>
      <c r="W27" s="170"/>
      <c r="X27" s="170"/>
      <c r="Y27" s="170"/>
      <c r="Z27" s="170"/>
      <c r="AA27" s="170"/>
    </row>
    <row r="28" outlineLevel="1">
      <c r="A28" s="76" t="s">
        <v>190</v>
      </c>
      <c r="B28" s="38" t="s">
        <v>191</v>
      </c>
      <c r="C28" s="76" t="s">
        <v>192</v>
      </c>
      <c r="D28" s="76" t="s">
        <v>193</v>
      </c>
      <c r="E28" s="39" t="s">
        <v>194</v>
      </c>
      <c r="F28" s="45">
        <v>20.0</v>
      </c>
      <c r="G28" s="42">
        <v>20.0</v>
      </c>
      <c r="H28" s="44"/>
      <c r="I28" s="42" t="s">
        <v>110</v>
      </c>
      <c r="J28" s="40"/>
    </row>
    <row r="29" outlineLevel="1">
      <c r="A29" s="76" t="s">
        <v>155</v>
      </c>
      <c r="B29" s="63" t="s">
        <v>195</v>
      </c>
      <c r="C29" s="76" t="s">
        <v>196</v>
      </c>
      <c r="D29" s="76" t="s">
        <v>197</v>
      </c>
      <c r="E29" s="176" t="s">
        <v>198</v>
      </c>
      <c r="F29" s="45">
        <v>75.0</v>
      </c>
      <c r="G29" s="42">
        <v>75.0</v>
      </c>
      <c r="H29" s="44"/>
      <c r="I29" s="42" t="s">
        <v>110</v>
      </c>
      <c r="J29" s="40"/>
    </row>
    <row r="30" outlineLevel="1">
      <c r="A30" s="76"/>
      <c r="B30" s="63"/>
      <c r="C30" s="40"/>
      <c r="D30" s="76"/>
      <c r="E30" s="39"/>
      <c r="F30" s="45"/>
      <c r="G30" s="42"/>
      <c r="H30" s="44"/>
      <c r="I30" s="42"/>
      <c r="J30" s="40"/>
    </row>
    <row r="31" outlineLevel="1">
      <c r="A31" s="173"/>
      <c r="B31" s="71" t="s">
        <v>199</v>
      </c>
      <c r="C31" s="174"/>
      <c r="D31" s="74"/>
      <c r="E31" s="174"/>
      <c r="F31" s="95">
        <v>124.0</v>
      </c>
      <c r="H31" s="19" t="s">
        <v>47</v>
      </c>
      <c r="I31" s="74"/>
      <c r="J31" s="175"/>
      <c r="K31" s="170"/>
      <c r="L31" s="170"/>
      <c r="M31" s="170"/>
      <c r="N31" s="170"/>
      <c r="O31" s="170"/>
      <c r="P31" s="170"/>
      <c r="Q31" s="170"/>
      <c r="R31" s="170"/>
      <c r="S31" s="170"/>
      <c r="T31" s="170"/>
      <c r="U31" s="170"/>
      <c r="V31" s="170"/>
      <c r="W31" s="170"/>
      <c r="X31" s="170"/>
      <c r="Y31" s="170"/>
      <c r="Z31" s="170"/>
      <c r="AA31" s="170"/>
    </row>
    <row r="32" outlineLevel="1">
      <c r="A32" s="76" t="s">
        <v>200</v>
      </c>
      <c r="B32" s="63" t="s">
        <v>201</v>
      </c>
      <c r="C32" s="40" t="s">
        <v>202</v>
      </c>
      <c r="D32" s="76" t="s">
        <v>203</v>
      </c>
      <c r="E32" s="176" t="s">
        <v>204</v>
      </c>
      <c r="F32" s="45">
        <v>25.0</v>
      </c>
      <c r="G32" s="42">
        <v>25.0</v>
      </c>
      <c r="H32" s="44"/>
      <c r="I32" s="42" t="s">
        <v>110</v>
      </c>
      <c r="J32" s="40"/>
    </row>
    <row r="33" outlineLevel="1">
      <c r="A33" s="76" t="s">
        <v>155</v>
      </c>
      <c r="B33" s="63" t="s">
        <v>205</v>
      </c>
      <c r="C33" s="40" t="s">
        <v>206</v>
      </c>
      <c r="D33" s="76" t="s">
        <v>207</v>
      </c>
      <c r="E33" s="176" t="s">
        <v>208</v>
      </c>
      <c r="F33" s="45">
        <v>12.0</v>
      </c>
      <c r="G33" s="42">
        <v>12.0</v>
      </c>
      <c r="H33" s="44"/>
      <c r="I33" s="42" t="s">
        <v>110</v>
      </c>
      <c r="J33" s="40"/>
    </row>
    <row r="34" outlineLevel="1">
      <c r="A34" s="76" t="s">
        <v>200</v>
      </c>
      <c r="B34" s="63" t="s">
        <v>209</v>
      </c>
      <c r="C34" s="40" t="s">
        <v>210</v>
      </c>
      <c r="D34" s="76" t="s">
        <v>211</v>
      </c>
      <c r="E34" s="176" t="s">
        <v>212</v>
      </c>
      <c r="F34" s="45">
        <v>26.0</v>
      </c>
      <c r="G34" s="42">
        <v>26.0</v>
      </c>
      <c r="H34" s="44"/>
      <c r="I34" s="42" t="s">
        <v>110</v>
      </c>
      <c r="J34" s="40"/>
    </row>
    <row r="35" outlineLevel="1">
      <c r="A35" s="76" t="s">
        <v>200</v>
      </c>
      <c r="B35" s="63" t="s">
        <v>213</v>
      </c>
      <c r="C35" s="40" t="s">
        <v>214</v>
      </c>
      <c r="D35" s="76" t="s">
        <v>215</v>
      </c>
      <c r="E35" s="176" t="s">
        <v>216</v>
      </c>
      <c r="F35" s="45">
        <v>46.0</v>
      </c>
      <c r="G35" s="42">
        <v>46.0</v>
      </c>
      <c r="H35" s="44"/>
      <c r="I35" s="42" t="s">
        <v>110</v>
      </c>
      <c r="J35" s="40"/>
    </row>
    <row r="36" outlineLevel="1">
      <c r="A36" s="76" t="s">
        <v>155</v>
      </c>
      <c r="B36" s="63" t="s">
        <v>217</v>
      </c>
      <c r="C36" s="40" t="s">
        <v>218</v>
      </c>
      <c r="D36" s="76" t="s">
        <v>219</v>
      </c>
      <c r="E36" s="39" t="s">
        <v>220</v>
      </c>
      <c r="F36" s="45">
        <v>15.0</v>
      </c>
      <c r="G36" s="42">
        <v>15.0</v>
      </c>
      <c r="H36" s="44"/>
      <c r="I36" s="42" t="s">
        <v>110</v>
      </c>
      <c r="J36" s="40"/>
    </row>
    <row r="37" outlineLevel="1">
      <c r="A37" s="76"/>
      <c r="B37" s="63"/>
      <c r="C37" s="40"/>
      <c r="D37" s="76"/>
      <c r="E37" s="39"/>
      <c r="F37" s="45"/>
      <c r="G37" s="42"/>
      <c r="H37" s="44"/>
      <c r="I37" s="42"/>
      <c r="J37" s="40"/>
    </row>
    <row r="38" outlineLevel="1">
      <c r="A38" s="173"/>
      <c r="B38" s="71" t="s">
        <v>221</v>
      </c>
      <c r="C38" s="174"/>
      <c r="D38" s="74"/>
      <c r="E38" s="174"/>
      <c r="F38" s="177">
        <v>200.0</v>
      </c>
      <c r="H38" s="19" t="s">
        <v>47</v>
      </c>
      <c r="I38" s="74"/>
      <c r="J38" s="175"/>
      <c r="K38" s="170"/>
      <c r="L38" s="170"/>
      <c r="M38" s="170"/>
      <c r="N38" s="170"/>
      <c r="O38" s="170"/>
      <c r="P38" s="170"/>
      <c r="Q38" s="170"/>
      <c r="R38" s="170"/>
      <c r="S38" s="170"/>
      <c r="T38" s="170"/>
      <c r="U38" s="170"/>
      <c r="V38" s="170"/>
      <c r="W38" s="170"/>
      <c r="X38" s="170"/>
      <c r="Y38" s="170"/>
      <c r="Z38" s="170"/>
      <c r="AA38" s="170"/>
    </row>
    <row r="39" outlineLevel="1">
      <c r="A39" s="76" t="s">
        <v>200</v>
      </c>
      <c r="B39" s="63" t="s">
        <v>222</v>
      </c>
      <c r="C39" s="40" t="s">
        <v>223</v>
      </c>
      <c r="D39" s="76" t="s">
        <v>224</v>
      </c>
      <c r="E39" s="176" t="s">
        <v>225</v>
      </c>
      <c r="F39" s="45">
        <v>40.0</v>
      </c>
      <c r="G39" s="42">
        <v>40.0</v>
      </c>
      <c r="H39" s="44"/>
      <c r="I39" s="42" t="s">
        <v>110</v>
      </c>
      <c r="J39" s="40"/>
    </row>
    <row r="40" outlineLevel="1">
      <c r="A40" s="76" t="s">
        <v>200</v>
      </c>
      <c r="B40" s="63" t="s">
        <v>226</v>
      </c>
      <c r="C40" s="40" t="s">
        <v>227</v>
      </c>
      <c r="D40" s="76" t="s">
        <v>228</v>
      </c>
      <c r="E40" s="176" t="s">
        <v>229</v>
      </c>
      <c r="F40" s="45">
        <v>60.0</v>
      </c>
      <c r="G40" s="42">
        <v>60.0</v>
      </c>
      <c r="H40" s="44"/>
      <c r="I40" s="42" t="s">
        <v>110</v>
      </c>
      <c r="J40" s="42" t="s">
        <v>230</v>
      </c>
    </row>
    <row r="41" outlineLevel="1">
      <c r="A41" s="76" t="s">
        <v>200</v>
      </c>
      <c r="B41" s="63" t="s">
        <v>231</v>
      </c>
      <c r="C41" s="40" t="s">
        <v>232</v>
      </c>
      <c r="D41" s="76" t="s">
        <v>233</v>
      </c>
      <c r="E41" s="176" t="s">
        <v>234</v>
      </c>
      <c r="F41" s="45">
        <v>40.0</v>
      </c>
      <c r="G41" s="42">
        <v>40.0</v>
      </c>
      <c r="H41" s="44"/>
      <c r="I41" s="42" t="s">
        <v>110</v>
      </c>
    </row>
    <row r="42" outlineLevel="1">
      <c r="A42" s="76" t="s">
        <v>200</v>
      </c>
      <c r="B42" s="63" t="s">
        <v>235</v>
      </c>
      <c r="C42" s="40" t="s">
        <v>236</v>
      </c>
      <c r="D42" s="76" t="s">
        <v>237</v>
      </c>
      <c r="E42" s="176" t="s">
        <v>238</v>
      </c>
      <c r="F42" s="45">
        <v>60.0</v>
      </c>
      <c r="G42" s="42">
        <v>60.0</v>
      </c>
      <c r="H42" s="44"/>
      <c r="I42" s="42" t="s">
        <v>110</v>
      </c>
    </row>
    <row r="43" outlineLevel="1">
      <c r="A43" s="76"/>
      <c r="B43" s="63"/>
      <c r="C43" s="40"/>
      <c r="D43" s="76"/>
      <c r="E43" s="39"/>
      <c r="F43" s="45"/>
      <c r="G43" s="42"/>
      <c r="H43" s="44"/>
      <c r="I43" s="42"/>
      <c r="J43" s="40"/>
    </row>
    <row r="44" outlineLevel="1">
      <c r="A44" s="173"/>
      <c r="B44" s="71" t="s">
        <v>239</v>
      </c>
      <c r="C44" s="174"/>
      <c r="D44" s="74"/>
      <c r="E44" s="174"/>
      <c r="F44" s="177">
        <v>30.0</v>
      </c>
      <c r="H44" s="19" t="s">
        <v>47</v>
      </c>
      <c r="I44" s="74"/>
      <c r="J44" s="175"/>
      <c r="K44" s="170"/>
      <c r="L44" s="170"/>
      <c r="M44" s="170"/>
      <c r="N44" s="170"/>
      <c r="O44" s="170"/>
      <c r="P44" s="170"/>
      <c r="Q44" s="170"/>
      <c r="R44" s="170"/>
      <c r="S44" s="170"/>
      <c r="T44" s="170"/>
      <c r="U44" s="170"/>
      <c r="V44" s="170"/>
      <c r="W44" s="170"/>
      <c r="X44" s="170"/>
      <c r="Y44" s="170"/>
      <c r="Z44" s="170"/>
      <c r="AA44" s="170"/>
    </row>
    <row r="45" outlineLevel="1">
      <c r="A45" s="76" t="s">
        <v>240</v>
      </c>
      <c r="B45" s="63" t="s">
        <v>241</v>
      </c>
      <c r="C45" s="40" t="s">
        <v>242</v>
      </c>
      <c r="D45" s="76" t="s">
        <v>243</v>
      </c>
      <c r="E45" s="176" t="s">
        <v>244</v>
      </c>
      <c r="F45" s="45">
        <v>30.0</v>
      </c>
      <c r="G45" s="42">
        <v>30.0</v>
      </c>
      <c r="H45" s="44"/>
      <c r="I45" s="42" t="s">
        <v>110</v>
      </c>
      <c r="J45" s="40"/>
    </row>
    <row r="46" outlineLevel="1">
      <c r="A46" s="76"/>
      <c r="B46" s="63"/>
      <c r="C46" s="40"/>
      <c r="D46" s="76"/>
      <c r="E46" s="39"/>
      <c r="F46" s="45"/>
      <c r="G46" s="42"/>
      <c r="H46" s="44"/>
      <c r="I46" s="42"/>
      <c r="J46" s="40"/>
    </row>
    <row r="47" outlineLevel="1">
      <c r="A47" s="173"/>
      <c r="B47" s="71" t="s">
        <v>96</v>
      </c>
      <c r="C47" s="174"/>
      <c r="D47" s="74"/>
      <c r="E47" s="174"/>
      <c r="F47" s="178">
        <v>20.0</v>
      </c>
      <c r="H47" s="19" t="s">
        <v>16</v>
      </c>
      <c r="I47" s="74"/>
      <c r="J47" s="175"/>
      <c r="K47" s="170"/>
      <c r="L47" s="170"/>
      <c r="M47" s="170"/>
      <c r="N47" s="170"/>
      <c r="O47" s="170"/>
      <c r="P47" s="170"/>
      <c r="Q47" s="170"/>
      <c r="R47" s="170"/>
      <c r="S47" s="170"/>
      <c r="T47" s="170"/>
      <c r="U47" s="170"/>
      <c r="V47" s="170"/>
      <c r="W47" s="170"/>
      <c r="X47" s="170"/>
      <c r="Y47" s="170"/>
      <c r="Z47" s="170"/>
      <c r="AA47" s="170"/>
    </row>
    <row r="48" outlineLevel="1">
      <c r="A48" s="76" t="s">
        <v>185</v>
      </c>
      <c r="B48" s="63" t="s">
        <v>96</v>
      </c>
      <c r="C48" s="40" t="s">
        <v>245</v>
      </c>
      <c r="D48" s="76" t="s">
        <v>246</v>
      </c>
      <c r="E48" s="176" t="s">
        <v>247</v>
      </c>
      <c r="F48" s="45">
        <v>20.0</v>
      </c>
      <c r="G48" s="42">
        <v>20.0</v>
      </c>
      <c r="H48" s="44"/>
      <c r="I48" s="42" t="s">
        <v>110</v>
      </c>
      <c r="J48" s="40"/>
    </row>
    <row r="49" outlineLevel="1">
      <c r="A49" s="76"/>
      <c r="B49" s="63"/>
      <c r="C49" s="40"/>
      <c r="D49" s="76"/>
      <c r="E49" s="39"/>
      <c r="F49" s="45"/>
      <c r="G49" s="42"/>
      <c r="H49" s="44"/>
      <c r="I49" s="42"/>
      <c r="J49" s="40"/>
    </row>
    <row r="50" outlineLevel="1">
      <c r="A50" s="173"/>
      <c r="B50" s="71" t="s">
        <v>100</v>
      </c>
      <c r="C50" s="174"/>
      <c r="D50" s="74"/>
      <c r="E50" s="174"/>
      <c r="F50" s="178">
        <v>120.0</v>
      </c>
      <c r="H50" s="19" t="s">
        <v>47</v>
      </c>
      <c r="I50" s="74"/>
      <c r="J50" s="175"/>
      <c r="K50" s="170"/>
      <c r="L50" s="170"/>
      <c r="M50" s="170"/>
      <c r="N50" s="170"/>
      <c r="O50" s="170"/>
      <c r="P50" s="170"/>
      <c r="Q50" s="170"/>
      <c r="R50" s="170"/>
      <c r="S50" s="170"/>
      <c r="T50" s="170"/>
      <c r="U50" s="170"/>
      <c r="V50" s="170"/>
      <c r="W50" s="170"/>
      <c r="X50" s="170"/>
      <c r="Y50" s="170"/>
      <c r="Z50" s="170"/>
      <c r="AA50" s="170"/>
    </row>
    <row r="51" outlineLevel="1">
      <c r="A51" s="179" t="s">
        <v>248</v>
      </c>
      <c r="B51" s="63" t="s">
        <v>101</v>
      </c>
      <c r="C51" s="40" t="s">
        <v>249</v>
      </c>
      <c r="D51" s="76" t="s">
        <v>250</v>
      </c>
      <c r="E51" s="39" t="s">
        <v>251</v>
      </c>
      <c r="F51" s="45">
        <v>120.0</v>
      </c>
      <c r="G51" s="42">
        <v>120.0</v>
      </c>
      <c r="H51" s="44"/>
      <c r="I51" s="42" t="s">
        <v>110</v>
      </c>
      <c r="J51" s="76" t="s">
        <v>252</v>
      </c>
    </row>
    <row r="52" outlineLevel="1">
      <c r="A52" s="76"/>
      <c r="B52" s="63"/>
      <c r="C52" s="40"/>
      <c r="D52" s="76"/>
      <c r="E52" s="39"/>
      <c r="F52" s="45"/>
      <c r="G52" s="42"/>
      <c r="H52" s="44"/>
      <c r="I52" s="42"/>
      <c r="J52" s="40"/>
    </row>
    <row r="53" outlineLevel="1">
      <c r="A53" s="173"/>
      <c r="B53" s="71" t="s">
        <v>253</v>
      </c>
      <c r="C53" s="174"/>
      <c r="D53" s="74"/>
      <c r="E53" s="174"/>
      <c r="F53" s="177">
        <v>325.0</v>
      </c>
      <c r="H53" s="19" t="s">
        <v>47</v>
      </c>
      <c r="I53" s="74"/>
      <c r="J53" s="175"/>
      <c r="K53" s="170"/>
      <c r="L53" s="170"/>
      <c r="M53" s="170"/>
      <c r="N53" s="170"/>
      <c r="O53" s="170"/>
      <c r="P53" s="170"/>
      <c r="Q53" s="170"/>
      <c r="R53" s="170"/>
      <c r="S53" s="170"/>
      <c r="T53" s="170"/>
      <c r="U53" s="170"/>
      <c r="V53" s="170"/>
      <c r="W53" s="170"/>
      <c r="X53" s="170"/>
      <c r="Y53" s="170"/>
      <c r="Z53" s="170"/>
      <c r="AA53" s="170"/>
    </row>
    <row r="54" outlineLevel="1">
      <c r="A54" s="76" t="s">
        <v>185</v>
      </c>
      <c r="B54" s="63" t="s">
        <v>106</v>
      </c>
      <c r="C54" s="40" t="s">
        <v>254</v>
      </c>
      <c r="D54" s="76" t="s">
        <v>255</v>
      </c>
      <c r="E54" s="39" t="s">
        <v>256</v>
      </c>
      <c r="F54" s="45">
        <v>15.0</v>
      </c>
      <c r="G54" s="42">
        <v>15.0</v>
      </c>
      <c r="H54" s="44"/>
      <c r="I54" s="42" t="s">
        <v>110</v>
      </c>
      <c r="J54" s="40"/>
    </row>
    <row r="55" outlineLevel="1">
      <c r="A55" s="76" t="s">
        <v>240</v>
      </c>
      <c r="B55" s="63" t="s">
        <v>257</v>
      </c>
      <c r="C55" s="40" t="s">
        <v>258</v>
      </c>
      <c r="D55" s="76" t="s">
        <v>259</v>
      </c>
      <c r="E55" s="77" t="s">
        <v>260</v>
      </c>
      <c r="F55" s="45">
        <v>25.0</v>
      </c>
      <c r="G55" s="42">
        <v>25.0</v>
      </c>
      <c r="H55" s="44"/>
      <c r="I55" s="42" t="s">
        <v>110</v>
      </c>
      <c r="J55" s="76" t="s">
        <v>261</v>
      </c>
    </row>
    <row r="56" outlineLevel="1">
      <c r="A56" s="76" t="s">
        <v>200</v>
      </c>
      <c r="B56" s="63" t="s">
        <v>262</v>
      </c>
      <c r="C56" s="40" t="s">
        <v>263</v>
      </c>
      <c r="D56" s="76" t="s">
        <v>264</v>
      </c>
      <c r="E56" s="176" t="s">
        <v>265</v>
      </c>
      <c r="F56" s="45">
        <v>130.0</v>
      </c>
      <c r="G56" s="42">
        <v>130.0</v>
      </c>
      <c r="H56" s="44"/>
      <c r="I56" s="42" t="s">
        <v>110</v>
      </c>
      <c r="J56" s="76" t="s">
        <v>261</v>
      </c>
    </row>
    <row r="57" outlineLevel="1">
      <c r="A57" s="76" t="s">
        <v>248</v>
      </c>
      <c r="B57" s="63" t="s">
        <v>266</v>
      </c>
      <c r="C57" s="40" t="s">
        <v>267</v>
      </c>
      <c r="D57" s="76" t="s">
        <v>268</v>
      </c>
      <c r="E57" s="176" t="s">
        <v>269</v>
      </c>
      <c r="F57" s="45">
        <v>155.0</v>
      </c>
      <c r="G57" s="42">
        <v>155.0</v>
      </c>
      <c r="H57" s="44"/>
      <c r="I57" s="42" t="s">
        <v>110</v>
      </c>
      <c r="J57" s="76" t="s">
        <v>261</v>
      </c>
    </row>
    <row r="58" outlineLevel="1">
      <c r="A58" s="76"/>
      <c r="B58" s="63"/>
      <c r="C58" s="40"/>
      <c r="D58" s="76"/>
      <c r="E58" s="39"/>
      <c r="F58" s="45"/>
      <c r="G58" s="42"/>
      <c r="H58" s="44"/>
      <c r="I58" s="42"/>
      <c r="J58" s="40"/>
    </row>
    <row r="59" outlineLevel="1">
      <c r="A59" s="173"/>
      <c r="B59" s="71" t="s">
        <v>270</v>
      </c>
      <c r="C59" s="174"/>
      <c r="D59" s="74"/>
      <c r="E59" s="174"/>
      <c r="F59" s="177">
        <v>240.0</v>
      </c>
      <c r="H59" s="19" t="s">
        <v>47</v>
      </c>
      <c r="I59" s="74"/>
      <c r="J59" s="175"/>
      <c r="K59" s="170"/>
      <c r="L59" s="170"/>
      <c r="M59" s="170"/>
      <c r="N59" s="170"/>
      <c r="O59" s="170"/>
      <c r="P59" s="170"/>
      <c r="Q59" s="170"/>
      <c r="R59" s="170"/>
      <c r="S59" s="170"/>
      <c r="T59" s="170"/>
      <c r="U59" s="170"/>
      <c r="V59" s="170"/>
      <c r="W59" s="170"/>
      <c r="X59" s="170"/>
      <c r="Y59" s="170"/>
      <c r="Z59" s="170"/>
      <c r="AA59" s="170"/>
    </row>
    <row r="60" outlineLevel="1">
      <c r="A60" s="76" t="s">
        <v>248</v>
      </c>
      <c r="B60" s="63" t="s">
        <v>271</v>
      </c>
      <c r="C60" s="40" t="s">
        <v>272</v>
      </c>
      <c r="D60" s="76" t="s">
        <v>273</v>
      </c>
      <c r="E60" s="176" t="s">
        <v>274</v>
      </c>
      <c r="F60" s="45">
        <v>195.0</v>
      </c>
      <c r="G60" s="42">
        <v>195.0</v>
      </c>
      <c r="H60" s="44"/>
      <c r="I60" s="42" t="s">
        <v>110</v>
      </c>
      <c r="J60" s="76" t="s">
        <v>275</v>
      </c>
    </row>
    <row r="61" outlineLevel="1">
      <c r="A61" s="76" t="s">
        <v>200</v>
      </c>
      <c r="B61" s="63" t="s">
        <v>276</v>
      </c>
      <c r="C61" s="40" t="s">
        <v>277</v>
      </c>
      <c r="D61" s="76" t="s">
        <v>278</v>
      </c>
      <c r="E61" s="176" t="s">
        <v>279</v>
      </c>
      <c r="F61" s="45">
        <v>45.0</v>
      </c>
      <c r="G61" s="42">
        <v>45.0</v>
      </c>
      <c r="H61" s="44"/>
      <c r="I61" s="42" t="s">
        <v>110</v>
      </c>
      <c r="J61" s="40"/>
    </row>
    <row r="62" outlineLevel="1">
      <c r="A62" s="76"/>
      <c r="B62" s="63"/>
      <c r="C62" s="40"/>
      <c r="D62" s="76"/>
      <c r="E62" s="39"/>
      <c r="F62" s="45"/>
      <c r="G62" s="42"/>
      <c r="H62" s="44"/>
      <c r="I62" s="42"/>
      <c r="J62" s="40"/>
    </row>
    <row r="63" outlineLevel="1">
      <c r="A63" s="173"/>
      <c r="B63" s="71" t="s">
        <v>280</v>
      </c>
      <c r="C63" s="174"/>
      <c r="D63" s="74"/>
      <c r="E63" s="174"/>
      <c r="F63" s="177">
        <v>60.0</v>
      </c>
      <c r="H63" s="180" t="s">
        <v>16</v>
      </c>
      <c r="I63" s="74"/>
      <c r="J63" s="175"/>
      <c r="K63" s="170"/>
      <c r="L63" s="170"/>
      <c r="M63" s="170"/>
      <c r="N63" s="170"/>
      <c r="O63" s="170"/>
      <c r="P63" s="170"/>
      <c r="Q63" s="170"/>
      <c r="R63" s="170"/>
      <c r="S63" s="170"/>
      <c r="T63" s="170"/>
      <c r="U63" s="170"/>
      <c r="V63" s="170"/>
      <c r="W63" s="170"/>
      <c r="X63" s="170"/>
      <c r="Y63" s="170"/>
      <c r="Z63" s="170"/>
      <c r="AA63" s="170"/>
    </row>
    <row r="64" outlineLevel="1">
      <c r="A64" s="76" t="s">
        <v>155</v>
      </c>
      <c r="B64" s="63" t="s">
        <v>120</v>
      </c>
      <c r="C64" s="40" t="s">
        <v>281</v>
      </c>
      <c r="D64" s="76" t="s">
        <v>282</v>
      </c>
      <c r="E64" s="39" t="s">
        <v>283</v>
      </c>
      <c r="F64" s="45">
        <v>60.0</v>
      </c>
      <c r="G64" s="42">
        <v>60.0</v>
      </c>
      <c r="H64" s="44"/>
      <c r="I64" s="42" t="s">
        <v>284</v>
      </c>
      <c r="J64" s="40"/>
    </row>
    <row r="65" outlineLevel="1">
      <c r="A65" s="76"/>
      <c r="B65" s="63"/>
      <c r="C65" s="40"/>
      <c r="D65" s="76"/>
      <c r="E65" s="39"/>
      <c r="F65" s="45"/>
      <c r="G65" s="42"/>
      <c r="H65" s="44"/>
      <c r="I65" s="42"/>
      <c r="J65" s="40"/>
    </row>
    <row r="66" outlineLevel="1">
      <c r="A66" s="173"/>
      <c r="B66" s="71" t="s">
        <v>130</v>
      </c>
      <c r="C66" s="174"/>
      <c r="D66" s="74"/>
      <c r="E66" s="174"/>
      <c r="F66" s="177">
        <v>360.0</v>
      </c>
      <c r="H66" s="180" t="s">
        <v>130</v>
      </c>
      <c r="I66" s="74"/>
      <c r="J66" s="175"/>
      <c r="K66" s="170"/>
      <c r="L66" s="170"/>
      <c r="M66" s="170"/>
      <c r="N66" s="170"/>
      <c r="O66" s="170"/>
      <c r="P66" s="170"/>
      <c r="Q66" s="170"/>
      <c r="R66" s="170"/>
      <c r="S66" s="170"/>
      <c r="T66" s="170"/>
      <c r="U66" s="170"/>
      <c r="V66" s="170"/>
      <c r="W66" s="170"/>
      <c r="X66" s="170"/>
      <c r="Y66" s="170"/>
      <c r="Z66" s="170"/>
      <c r="AA66" s="170"/>
    </row>
    <row r="67" outlineLevel="1">
      <c r="A67" s="76" t="s">
        <v>248</v>
      </c>
      <c r="B67" s="63" t="s">
        <v>285</v>
      </c>
      <c r="C67" s="40" t="s">
        <v>286</v>
      </c>
      <c r="D67" s="76" t="s">
        <v>287</v>
      </c>
      <c r="E67" s="39"/>
      <c r="F67" s="45">
        <v>5.0</v>
      </c>
      <c r="G67" s="42">
        <v>5.0</v>
      </c>
      <c r="H67" s="44"/>
      <c r="I67" s="42" t="s">
        <v>130</v>
      </c>
      <c r="J67" s="40"/>
    </row>
    <row r="68" outlineLevel="1">
      <c r="A68" s="76" t="s">
        <v>248</v>
      </c>
      <c r="B68" s="63" t="s">
        <v>288</v>
      </c>
      <c r="C68" s="40" t="s">
        <v>289</v>
      </c>
      <c r="D68" s="76" t="s">
        <v>290</v>
      </c>
      <c r="E68" s="39"/>
      <c r="F68" s="45">
        <v>5.0</v>
      </c>
      <c r="G68" s="42">
        <v>5.0</v>
      </c>
      <c r="H68" s="44"/>
      <c r="I68" s="42" t="s">
        <v>130</v>
      </c>
      <c r="J68" s="40"/>
    </row>
    <row r="69" outlineLevel="1">
      <c r="A69" s="76" t="s">
        <v>248</v>
      </c>
      <c r="B69" s="63" t="s">
        <v>291</v>
      </c>
      <c r="C69" s="40" t="s">
        <v>292</v>
      </c>
      <c r="D69" s="76" t="s">
        <v>293</v>
      </c>
      <c r="E69" s="39"/>
      <c r="F69" s="45">
        <v>100.0</v>
      </c>
      <c r="G69" s="42">
        <v>100.0</v>
      </c>
      <c r="H69" s="44"/>
      <c r="I69" s="42" t="s">
        <v>130</v>
      </c>
      <c r="J69" s="40"/>
    </row>
    <row r="70" outlineLevel="1">
      <c r="A70" s="76" t="s">
        <v>248</v>
      </c>
      <c r="B70" s="63" t="s">
        <v>294</v>
      </c>
      <c r="C70" s="40" t="s">
        <v>295</v>
      </c>
      <c r="D70" s="76" t="s">
        <v>296</v>
      </c>
      <c r="E70" s="39"/>
      <c r="F70" s="45">
        <v>250.0</v>
      </c>
      <c r="G70" s="45">
        <v>250.0</v>
      </c>
      <c r="H70" s="44"/>
      <c r="I70" s="42" t="s">
        <v>130</v>
      </c>
      <c r="J70" s="40"/>
    </row>
    <row r="71" outlineLevel="1">
      <c r="A71" s="76"/>
      <c r="B71" s="63"/>
      <c r="C71" s="40"/>
      <c r="D71" s="76"/>
      <c r="E71" s="39"/>
      <c r="F71" s="45"/>
      <c r="G71" s="42"/>
      <c r="H71" s="44"/>
      <c r="I71" s="42"/>
      <c r="J71" s="40"/>
    </row>
    <row r="72" outlineLevel="1">
      <c r="A72" s="181"/>
      <c r="B72" s="182"/>
      <c r="C72" s="183"/>
      <c r="D72" s="181"/>
      <c r="E72" s="184"/>
      <c r="F72" s="185"/>
      <c r="G72" s="186"/>
      <c r="H72" s="187"/>
      <c r="I72" s="186"/>
      <c r="J72" s="183"/>
      <c r="K72" s="188"/>
      <c r="L72" s="188"/>
      <c r="M72" s="188"/>
      <c r="N72" s="188"/>
      <c r="O72" s="188"/>
      <c r="P72" s="188"/>
      <c r="Q72" s="188"/>
      <c r="R72" s="188"/>
      <c r="S72" s="188"/>
      <c r="T72" s="188"/>
      <c r="U72" s="188"/>
      <c r="V72" s="188"/>
      <c r="W72" s="188"/>
      <c r="X72" s="188"/>
      <c r="Y72" s="188"/>
      <c r="Z72" s="188"/>
      <c r="AA72" s="188"/>
    </row>
    <row r="73">
      <c r="A73" s="189"/>
      <c r="J73" s="155"/>
    </row>
    <row r="74">
      <c r="A74" s="189"/>
      <c r="J74" s="155"/>
    </row>
    <row r="75">
      <c r="A75" s="189"/>
      <c r="J75" s="155"/>
    </row>
    <row r="76">
      <c r="A76" s="189"/>
      <c r="J76" s="155"/>
    </row>
    <row r="77">
      <c r="A77" s="189"/>
      <c r="J77" s="155"/>
    </row>
    <row r="78">
      <c r="A78" s="189"/>
      <c r="J78" s="155"/>
    </row>
    <row r="79" ht="13.5" customHeight="1">
      <c r="A79" s="189"/>
      <c r="J79" s="155"/>
    </row>
    <row r="80">
      <c r="A80" s="189"/>
      <c r="E80" s="128" t="s">
        <v>143</v>
      </c>
      <c r="F80" s="190">
        <f>sum(F66,F63,F59,F53,F50,F47,F44,F38,F31,F27,F21,F16,F12,F5)</f>
        <v>2139</v>
      </c>
      <c r="G80" s="191"/>
      <c r="H80" s="132"/>
      <c r="J80" s="155"/>
    </row>
    <row r="81">
      <c r="A81" s="189"/>
      <c r="E81" s="134"/>
      <c r="H81" s="137"/>
      <c r="J81" s="155"/>
    </row>
    <row r="82">
      <c r="A82" s="192"/>
      <c r="E82" s="138" t="s">
        <v>147</v>
      </c>
      <c r="F82" s="139">
        <f>F80*200</f>
        <v>427800</v>
      </c>
      <c r="G82" s="140"/>
      <c r="H82" s="142"/>
      <c r="J82" s="155"/>
    </row>
    <row r="83">
      <c r="A83" s="192"/>
      <c r="J83" s="155"/>
    </row>
    <row r="84">
      <c r="A84" s="192"/>
      <c r="J84" s="155"/>
    </row>
    <row r="85">
      <c r="A85" s="192"/>
      <c r="J85" s="155"/>
    </row>
    <row r="86">
      <c r="A86" s="192"/>
      <c r="J86" s="155"/>
    </row>
    <row r="87">
      <c r="A87" s="192"/>
      <c r="J87" s="155"/>
    </row>
    <row r="88">
      <c r="A88" s="192"/>
      <c r="J88" s="155"/>
    </row>
    <row r="89">
      <c r="A89" s="192"/>
      <c r="J89" s="155"/>
    </row>
    <row r="90">
      <c r="A90" s="192"/>
      <c r="J90" s="155"/>
    </row>
    <row r="91">
      <c r="A91" s="192"/>
      <c r="J91" s="155"/>
    </row>
    <row r="92">
      <c r="A92" s="192"/>
      <c r="J92" s="155"/>
    </row>
    <row r="93">
      <c r="A93" s="192"/>
      <c r="J93" s="155"/>
    </row>
    <row r="94">
      <c r="A94" s="192"/>
      <c r="J94" s="155"/>
    </row>
    <row r="95">
      <c r="A95" s="192"/>
      <c r="J95" s="155"/>
    </row>
    <row r="96">
      <c r="A96" s="192"/>
      <c r="J96" s="155"/>
    </row>
    <row r="97">
      <c r="A97" s="192"/>
      <c r="J97" s="155"/>
    </row>
    <row r="98">
      <c r="A98" s="192"/>
      <c r="J98" s="155"/>
    </row>
    <row r="99">
      <c r="A99" s="192"/>
      <c r="J99" s="155"/>
    </row>
    <row r="100">
      <c r="A100" s="192"/>
      <c r="J100" s="155"/>
    </row>
    <row r="101">
      <c r="A101" s="192"/>
      <c r="J101" s="155"/>
    </row>
    <row r="102">
      <c r="A102" s="192"/>
      <c r="J102" s="155"/>
    </row>
    <row r="103">
      <c r="A103" s="192"/>
      <c r="J103" s="155"/>
    </row>
    <row r="104">
      <c r="A104" s="192"/>
      <c r="J104" s="155"/>
    </row>
    <row r="105">
      <c r="A105" s="192"/>
      <c r="J105" s="155"/>
    </row>
    <row r="106">
      <c r="A106" s="192"/>
      <c r="J106" s="155"/>
    </row>
    <row r="107">
      <c r="A107" s="192"/>
      <c r="J107" s="155"/>
    </row>
    <row r="108">
      <c r="A108" s="192"/>
      <c r="J108" s="155"/>
    </row>
    <row r="109">
      <c r="A109" s="192"/>
      <c r="J109" s="155"/>
    </row>
    <row r="110">
      <c r="A110" s="192"/>
      <c r="J110" s="155"/>
    </row>
    <row r="111">
      <c r="A111" s="192"/>
      <c r="J111" s="155"/>
    </row>
    <row r="112">
      <c r="A112" s="192"/>
      <c r="J112" s="155"/>
    </row>
    <row r="113">
      <c r="A113" s="192"/>
      <c r="J113" s="155"/>
    </row>
    <row r="114">
      <c r="A114" s="192"/>
      <c r="J114" s="155"/>
    </row>
    <row r="115">
      <c r="A115" s="192"/>
      <c r="J115" s="155"/>
    </row>
    <row r="116">
      <c r="A116" s="192"/>
      <c r="J116" s="155"/>
    </row>
    <row r="117">
      <c r="A117" s="192"/>
      <c r="J117" s="155"/>
    </row>
    <row r="118">
      <c r="A118" s="192"/>
      <c r="J118" s="155"/>
    </row>
    <row r="119">
      <c r="A119" s="192"/>
      <c r="J119" s="155"/>
    </row>
    <row r="120">
      <c r="A120" s="192"/>
      <c r="J120" s="155"/>
    </row>
    <row r="121">
      <c r="A121" s="192"/>
      <c r="J121" s="155"/>
    </row>
    <row r="122">
      <c r="A122" s="192"/>
      <c r="J122" s="155"/>
    </row>
    <row r="123">
      <c r="A123" s="192"/>
      <c r="J123" s="155"/>
    </row>
    <row r="124">
      <c r="A124" s="192"/>
      <c r="J124" s="155"/>
    </row>
    <row r="125">
      <c r="A125" s="192"/>
      <c r="J125" s="155"/>
    </row>
    <row r="126">
      <c r="A126" s="192"/>
      <c r="J126" s="155"/>
    </row>
    <row r="127">
      <c r="A127" s="192"/>
      <c r="J127" s="155"/>
    </row>
    <row r="128">
      <c r="A128" s="192"/>
      <c r="J128" s="155"/>
    </row>
    <row r="129">
      <c r="A129" s="192"/>
      <c r="J129" s="155"/>
    </row>
    <row r="130">
      <c r="A130" s="192"/>
      <c r="J130" s="155"/>
    </row>
    <row r="131">
      <c r="A131" s="192"/>
      <c r="J131" s="155"/>
    </row>
    <row r="132">
      <c r="A132" s="192"/>
      <c r="J132" s="155"/>
    </row>
    <row r="133">
      <c r="A133" s="192"/>
      <c r="J133" s="155"/>
    </row>
    <row r="134">
      <c r="A134" s="192"/>
      <c r="J134" s="155"/>
    </row>
    <row r="135">
      <c r="A135" s="192"/>
      <c r="J135" s="155"/>
    </row>
    <row r="136">
      <c r="A136" s="192"/>
      <c r="J136" s="155"/>
    </row>
    <row r="137">
      <c r="A137" s="192"/>
      <c r="J137" s="155"/>
    </row>
    <row r="138">
      <c r="A138" s="192"/>
      <c r="J138" s="155"/>
    </row>
    <row r="139">
      <c r="A139" s="192"/>
      <c r="J139" s="155"/>
    </row>
    <row r="140">
      <c r="A140" s="192"/>
      <c r="J140" s="155"/>
    </row>
    <row r="141">
      <c r="A141" s="192"/>
      <c r="J141" s="155"/>
    </row>
    <row r="142">
      <c r="A142" s="192"/>
      <c r="J142" s="155"/>
    </row>
    <row r="143">
      <c r="A143" s="192"/>
      <c r="J143" s="155"/>
    </row>
    <row r="144">
      <c r="A144" s="192"/>
      <c r="J144" s="155"/>
    </row>
    <row r="145">
      <c r="A145" s="192"/>
      <c r="J145" s="155"/>
    </row>
    <row r="146">
      <c r="A146" s="192"/>
      <c r="J146" s="155"/>
    </row>
    <row r="147">
      <c r="A147" s="192"/>
      <c r="J147" s="155"/>
    </row>
    <row r="148">
      <c r="A148" s="192"/>
      <c r="J148" s="155"/>
    </row>
    <row r="149">
      <c r="A149" s="192"/>
      <c r="J149" s="155"/>
    </row>
    <row r="150">
      <c r="A150" s="192"/>
      <c r="J150" s="155"/>
    </row>
    <row r="151">
      <c r="A151" s="192"/>
      <c r="J151" s="155"/>
    </row>
    <row r="152">
      <c r="A152" s="192"/>
      <c r="J152" s="155"/>
    </row>
    <row r="153">
      <c r="A153" s="192"/>
      <c r="J153" s="155"/>
    </row>
    <row r="154">
      <c r="A154" s="192"/>
      <c r="J154" s="155"/>
    </row>
    <row r="155">
      <c r="A155" s="192"/>
      <c r="J155" s="155"/>
    </row>
    <row r="156">
      <c r="A156" s="192"/>
      <c r="J156" s="155"/>
    </row>
    <row r="157">
      <c r="A157" s="192"/>
      <c r="J157" s="155"/>
    </row>
    <row r="158">
      <c r="A158" s="192"/>
      <c r="J158" s="155"/>
    </row>
    <row r="159">
      <c r="A159" s="192"/>
      <c r="J159" s="155"/>
    </row>
    <row r="160">
      <c r="A160" s="192"/>
      <c r="J160" s="155"/>
    </row>
    <row r="161">
      <c r="A161" s="192"/>
      <c r="J161" s="155"/>
    </row>
    <row r="162">
      <c r="A162" s="192"/>
      <c r="J162" s="155"/>
    </row>
    <row r="163">
      <c r="A163" s="192"/>
      <c r="J163" s="155"/>
    </row>
    <row r="164">
      <c r="A164" s="192"/>
      <c r="J164" s="155"/>
    </row>
    <row r="165">
      <c r="A165" s="192"/>
      <c r="J165" s="155"/>
    </row>
    <row r="166">
      <c r="A166" s="192"/>
      <c r="J166" s="155"/>
    </row>
    <row r="167">
      <c r="A167" s="192"/>
      <c r="J167" s="155"/>
    </row>
    <row r="168">
      <c r="A168" s="192"/>
      <c r="J168" s="155"/>
    </row>
    <row r="169">
      <c r="A169" s="192"/>
      <c r="J169" s="155"/>
    </row>
    <row r="170">
      <c r="A170" s="192"/>
      <c r="J170" s="155"/>
    </row>
    <row r="171">
      <c r="A171" s="192"/>
      <c r="J171" s="155"/>
    </row>
    <row r="172">
      <c r="A172" s="192"/>
      <c r="J172" s="155"/>
    </row>
    <row r="173">
      <c r="A173" s="192"/>
      <c r="J173" s="155"/>
    </row>
    <row r="174">
      <c r="A174" s="192"/>
      <c r="J174" s="155"/>
    </row>
    <row r="175">
      <c r="A175" s="192"/>
      <c r="J175" s="155"/>
    </row>
    <row r="176">
      <c r="A176" s="192"/>
      <c r="J176" s="155"/>
    </row>
    <row r="177">
      <c r="A177" s="192"/>
      <c r="J177" s="155"/>
    </row>
    <row r="178">
      <c r="A178" s="192"/>
      <c r="J178" s="155"/>
    </row>
    <row r="179">
      <c r="A179" s="192"/>
      <c r="J179" s="155"/>
    </row>
    <row r="180">
      <c r="A180" s="192"/>
      <c r="J180" s="155"/>
    </row>
    <row r="181">
      <c r="A181" s="192"/>
      <c r="J181" s="155"/>
    </row>
    <row r="182">
      <c r="A182" s="192"/>
      <c r="J182" s="155"/>
    </row>
    <row r="183">
      <c r="A183" s="192"/>
      <c r="J183" s="155"/>
    </row>
    <row r="184">
      <c r="A184" s="192"/>
      <c r="J184" s="155"/>
    </row>
    <row r="185">
      <c r="A185" s="192"/>
      <c r="J185" s="155"/>
    </row>
    <row r="186">
      <c r="A186" s="192"/>
      <c r="J186" s="155"/>
    </row>
    <row r="187">
      <c r="A187" s="192"/>
      <c r="J187" s="155"/>
    </row>
    <row r="188">
      <c r="A188" s="192"/>
      <c r="J188" s="155"/>
    </row>
    <row r="189">
      <c r="A189" s="192"/>
      <c r="J189" s="155"/>
    </row>
    <row r="190">
      <c r="A190" s="192"/>
      <c r="J190" s="155"/>
    </row>
    <row r="191">
      <c r="A191" s="192"/>
      <c r="J191" s="155"/>
    </row>
    <row r="192">
      <c r="A192" s="192"/>
      <c r="J192" s="155"/>
    </row>
    <row r="193">
      <c r="A193" s="192"/>
      <c r="J193" s="155"/>
    </row>
    <row r="194">
      <c r="A194" s="192"/>
      <c r="J194" s="155"/>
    </row>
    <row r="195">
      <c r="A195" s="192"/>
      <c r="J195" s="155"/>
    </row>
    <row r="196">
      <c r="A196" s="192"/>
      <c r="J196" s="155"/>
    </row>
    <row r="197">
      <c r="A197" s="192"/>
      <c r="J197" s="155"/>
    </row>
    <row r="198">
      <c r="A198" s="192"/>
      <c r="J198" s="155"/>
    </row>
    <row r="199">
      <c r="A199" s="192"/>
      <c r="J199" s="155"/>
    </row>
    <row r="200">
      <c r="A200" s="192"/>
      <c r="J200" s="155"/>
    </row>
    <row r="201">
      <c r="A201" s="192"/>
      <c r="J201" s="155"/>
    </row>
    <row r="202">
      <c r="A202" s="192"/>
      <c r="J202" s="155"/>
    </row>
    <row r="203">
      <c r="A203" s="192"/>
      <c r="J203" s="155"/>
    </row>
    <row r="204">
      <c r="A204" s="192"/>
      <c r="J204" s="155"/>
    </row>
    <row r="205">
      <c r="A205" s="192"/>
      <c r="J205" s="155"/>
    </row>
    <row r="206">
      <c r="A206" s="192"/>
      <c r="J206" s="155"/>
    </row>
    <row r="207">
      <c r="A207" s="192"/>
      <c r="J207" s="155"/>
    </row>
    <row r="208">
      <c r="A208" s="192"/>
      <c r="J208" s="155"/>
    </row>
    <row r="209">
      <c r="A209" s="192"/>
      <c r="J209" s="155"/>
    </row>
    <row r="210">
      <c r="A210" s="192"/>
      <c r="J210" s="155"/>
    </row>
    <row r="211">
      <c r="A211" s="192"/>
      <c r="J211" s="155"/>
    </row>
    <row r="212">
      <c r="A212" s="192"/>
      <c r="J212" s="155"/>
    </row>
    <row r="213">
      <c r="A213" s="192"/>
      <c r="J213" s="155"/>
    </row>
    <row r="214">
      <c r="A214" s="192"/>
      <c r="J214" s="155"/>
    </row>
    <row r="215">
      <c r="A215" s="192"/>
      <c r="J215" s="155"/>
    </row>
    <row r="216">
      <c r="A216" s="192"/>
      <c r="J216" s="155"/>
    </row>
    <row r="217">
      <c r="A217" s="192"/>
      <c r="J217" s="155"/>
    </row>
    <row r="218">
      <c r="A218" s="192"/>
      <c r="J218" s="155"/>
    </row>
    <row r="219">
      <c r="A219" s="192"/>
      <c r="J219" s="155"/>
    </row>
    <row r="220">
      <c r="A220" s="192"/>
      <c r="J220" s="155"/>
    </row>
    <row r="221">
      <c r="A221" s="192"/>
      <c r="J221" s="155"/>
    </row>
    <row r="222">
      <c r="A222" s="192"/>
      <c r="J222" s="155"/>
    </row>
    <row r="223">
      <c r="A223" s="192"/>
      <c r="J223" s="155"/>
    </row>
    <row r="224">
      <c r="A224" s="192"/>
      <c r="J224" s="155"/>
    </row>
    <row r="225">
      <c r="A225" s="192"/>
      <c r="J225" s="155"/>
    </row>
    <row r="226">
      <c r="A226" s="192"/>
      <c r="J226" s="155"/>
    </row>
    <row r="227">
      <c r="A227" s="192"/>
      <c r="J227" s="155"/>
    </row>
    <row r="228">
      <c r="A228" s="192"/>
      <c r="J228" s="155"/>
    </row>
    <row r="229">
      <c r="A229" s="192"/>
      <c r="J229" s="155"/>
    </row>
    <row r="230">
      <c r="A230" s="192"/>
      <c r="J230" s="155"/>
    </row>
    <row r="231">
      <c r="A231" s="192"/>
      <c r="J231" s="155"/>
    </row>
    <row r="232">
      <c r="A232" s="192"/>
      <c r="J232" s="155"/>
    </row>
    <row r="233">
      <c r="A233" s="192"/>
      <c r="J233" s="155"/>
    </row>
    <row r="234">
      <c r="A234" s="192"/>
      <c r="J234" s="155"/>
    </row>
    <row r="235">
      <c r="A235" s="192"/>
      <c r="J235" s="155"/>
    </row>
    <row r="236">
      <c r="A236" s="192"/>
      <c r="J236" s="155"/>
    </row>
    <row r="237">
      <c r="A237" s="192"/>
      <c r="J237" s="155"/>
    </row>
    <row r="238">
      <c r="A238" s="192"/>
      <c r="J238" s="155"/>
    </row>
    <row r="239">
      <c r="A239" s="192"/>
      <c r="J239" s="155"/>
    </row>
    <row r="240">
      <c r="A240" s="192"/>
      <c r="J240" s="155"/>
    </row>
    <row r="241">
      <c r="A241" s="192"/>
      <c r="J241" s="155"/>
    </row>
    <row r="242">
      <c r="A242" s="192"/>
      <c r="J242" s="155"/>
    </row>
    <row r="243">
      <c r="A243" s="192"/>
      <c r="J243" s="155"/>
    </row>
    <row r="244">
      <c r="A244" s="192"/>
      <c r="J244" s="155"/>
    </row>
    <row r="245">
      <c r="A245" s="192"/>
      <c r="J245" s="155"/>
    </row>
    <row r="246">
      <c r="A246" s="192"/>
      <c r="J246" s="155"/>
    </row>
    <row r="247">
      <c r="A247" s="192"/>
      <c r="J247" s="155"/>
    </row>
    <row r="248">
      <c r="A248" s="192"/>
      <c r="J248" s="155"/>
    </row>
    <row r="249">
      <c r="A249" s="192"/>
      <c r="J249" s="155"/>
    </row>
    <row r="250">
      <c r="A250" s="192"/>
      <c r="J250" s="155"/>
    </row>
    <row r="251">
      <c r="A251" s="192"/>
      <c r="J251" s="155"/>
    </row>
    <row r="252">
      <c r="A252" s="192"/>
      <c r="J252" s="155"/>
    </row>
    <row r="253">
      <c r="A253" s="192"/>
      <c r="J253" s="155"/>
    </row>
    <row r="254">
      <c r="A254" s="192"/>
      <c r="J254" s="155"/>
    </row>
    <row r="255">
      <c r="A255" s="192"/>
      <c r="J255" s="155"/>
    </row>
    <row r="256">
      <c r="A256" s="192"/>
      <c r="J256" s="155"/>
    </row>
    <row r="257">
      <c r="A257" s="192"/>
      <c r="J257" s="155"/>
    </row>
    <row r="258">
      <c r="A258" s="192"/>
      <c r="J258" s="155"/>
    </row>
    <row r="259">
      <c r="A259" s="192"/>
      <c r="J259" s="155"/>
    </row>
    <row r="260">
      <c r="A260" s="192"/>
      <c r="J260" s="155"/>
    </row>
    <row r="261">
      <c r="A261" s="192"/>
      <c r="J261" s="155"/>
    </row>
    <row r="262">
      <c r="A262" s="192"/>
      <c r="J262" s="155"/>
    </row>
    <row r="263">
      <c r="A263" s="192"/>
      <c r="J263" s="155"/>
    </row>
    <row r="264">
      <c r="A264" s="192"/>
      <c r="J264" s="155"/>
    </row>
    <row r="265">
      <c r="A265" s="192"/>
      <c r="J265" s="155"/>
    </row>
    <row r="266">
      <c r="A266" s="192"/>
      <c r="J266" s="155"/>
    </row>
    <row r="267">
      <c r="A267" s="192"/>
      <c r="J267" s="155"/>
    </row>
    <row r="268">
      <c r="A268" s="192"/>
      <c r="J268" s="155"/>
    </row>
    <row r="269">
      <c r="A269" s="192"/>
      <c r="J269" s="155"/>
    </row>
    <row r="270">
      <c r="A270" s="192"/>
      <c r="J270" s="155"/>
    </row>
    <row r="271">
      <c r="A271" s="192"/>
      <c r="J271" s="155"/>
    </row>
    <row r="272">
      <c r="A272" s="192"/>
      <c r="J272" s="155"/>
    </row>
    <row r="273">
      <c r="A273" s="192"/>
      <c r="J273" s="155"/>
    </row>
    <row r="274">
      <c r="A274" s="192"/>
      <c r="J274" s="155"/>
    </row>
    <row r="275">
      <c r="A275" s="192"/>
      <c r="J275" s="155"/>
    </row>
    <row r="276">
      <c r="A276" s="192"/>
      <c r="J276" s="155"/>
    </row>
    <row r="277">
      <c r="A277" s="192"/>
      <c r="J277" s="155"/>
    </row>
    <row r="278">
      <c r="A278" s="192"/>
      <c r="J278" s="155"/>
    </row>
    <row r="279">
      <c r="A279" s="192"/>
      <c r="J279" s="155"/>
    </row>
    <row r="280">
      <c r="A280" s="192"/>
      <c r="J280" s="155"/>
    </row>
    <row r="281">
      <c r="A281" s="192"/>
      <c r="J281" s="155"/>
    </row>
    <row r="282">
      <c r="A282" s="192"/>
      <c r="J282" s="155"/>
    </row>
    <row r="283">
      <c r="A283" s="192"/>
      <c r="J283" s="155"/>
    </row>
    <row r="284">
      <c r="A284" s="192"/>
      <c r="J284" s="155"/>
    </row>
    <row r="285">
      <c r="A285" s="192"/>
      <c r="J285" s="155"/>
    </row>
    <row r="286">
      <c r="A286" s="192"/>
      <c r="J286" s="155"/>
    </row>
    <row r="287">
      <c r="A287" s="192"/>
      <c r="J287" s="155"/>
    </row>
    <row r="288">
      <c r="A288" s="192"/>
      <c r="J288" s="155"/>
    </row>
    <row r="289">
      <c r="A289" s="192"/>
      <c r="J289" s="155"/>
    </row>
    <row r="290">
      <c r="A290" s="192"/>
      <c r="J290" s="155"/>
    </row>
    <row r="291">
      <c r="A291" s="192"/>
      <c r="J291" s="155"/>
    </row>
    <row r="292">
      <c r="A292" s="192"/>
      <c r="J292" s="155"/>
    </row>
    <row r="293">
      <c r="A293" s="192"/>
      <c r="J293" s="155"/>
    </row>
    <row r="294">
      <c r="A294" s="192"/>
      <c r="J294" s="155"/>
    </row>
    <row r="295">
      <c r="A295" s="192"/>
      <c r="J295" s="155"/>
    </row>
    <row r="296">
      <c r="A296" s="192"/>
      <c r="J296" s="155"/>
    </row>
    <row r="297">
      <c r="A297" s="192"/>
      <c r="J297" s="155"/>
    </row>
    <row r="298">
      <c r="A298" s="192"/>
      <c r="J298" s="155"/>
    </row>
    <row r="299">
      <c r="A299" s="192"/>
      <c r="J299" s="155"/>
    </row>
    <row r="300">
      <c r="A300" s="192"/>
      <c r="J300" s="155"/>
    </row>
    <row r="301">
      <c r="A301" s="192"/>
      <c r="J301" s="155"/>
    </row>
    <row r="302">
      <c r="A302" s="192"/>
      <c r="J302" s="155"/>
    </row>
    <row r="303">
      <c r="A303" s="192"/>
      <c r="J303" s="155"/>
    </row>
    <row r="304">
      <c r="A304" s="192"/>
      <c r="J304" s="155"/>
    </row>
    <row r="305">
      <c r="A305" s="192"/>
      <c r="J305" s="155"/>
    </row>
    <row r="306">
      <c r="A306" s="192"/>
      <c r="J306" s="155"/>
    </row>
    <row r="307">
      <c r="A307" s="192"/>
      <c r="J307" s="155"/>
    </row>
    <row r="308">
      <c r="A308" s="192"/>
      <c r="J308" s="155"/>
    </row>
    <row r="309">
      <c r="A309" s="192"/>
      <c r="J309" s="155"/>
    </row>
    <row r="310">
      <c r="A310" s="192"/>
      <c r="J310" s="155"/>
    </row>
    <row r="311">
      <c r="A311" s="192"/>
      <c r="J311" s="155"/>
    </row>
    <row r="312">
      <c r="A312" s="192"/>
      <c r="J312" s="155"/>
    </row>
    <row r="313">
      <c r="A313" s="192"/>
      <c r="J313" s="155"/>
    </row>
    <row r="314">
      <c r="A314" s="192"/>
      <c r="J314" s="155"/>
    </row>
    <row r="315">
      <c r="A315" s="192"/>
      <c r="J315" s="155"/>
    </row>
    <row r="316">
      <c r="A316" s="192"/>
      <c r="J316" s="155"/>
    </row>
    <row r="317">
      <c r="A317" s="192"/>
      <c r="J317" s="155"/>
    </row>
    <row r="318">
      <c r="A318" s="192"/>
      <c r="J318" s="155"/>
    </row>
    <row r="319">
      <c r="A319" s="192"/>
      <c r="J319" s="155"/>
    </row>
    <row r="320">
      <c r="A320" s="192"/>
      <c r="J320" s="155"/>
    </row>
    <row r="321">
      <c r="A321" s="192"/>
      <c r="J321" s="155"/>
    </row>
    <row r="322">
      <c r="A322" s="192"/>
      <c r="J322" s="155"/>
    </row>
    <row r="323">
      <c r="A323" s="192"/>
      <c r="J323" s="155"/>
    </row>
    <row r="324">
      <c r="A324" s="192"/>
      <c r="J324" s="155"/>
    </row>
    <row r="325">
      <c r="A325" s="192"/>
      <c r="J325" s="155"/>
    </row>
    <row r="326">
      <c r="A326" s="192"/>
      <c r="J326" s="155"/>
    </row>
    <row r="327">
      <c r="A327" s="192"/>
      <c r="J327" s="155"/>
    </row>
    <row r="328">
      <c r="A328" s="192"/>
      <c r="J328" s="155"/>
    </row>
    <row r="329">
      <c r="A329" s="192"/>
      <c r="J329" s="155"/>
    </row>
    <row r="330">
      <c r="A330" s="192"/>
      <c r="J330" s="155"/>
    </row>
    <row r="331">
      <c r="A331" s="192"/>
      <c r="J331" s="155"/>
    </row>
    <row r="332">
      <c r="A332" s="192"/>
      <c r="J332" s="155"/>
    </row>
    <row r="333">
      <c r="A333" s="192"/>
      <c r="J333" s="155"/>
    </row>
    <row r="334">
      <c r="A334" s="192"/>
      <c r="J334" s="155"/>
    </row>
    <row r="335">
      <c r="A335" s="192"/>
      <c r="J335" s="155"/>
    </row>
    <row r="336">
      <c r="A336" s="192"/>
      <c r="J336" s="155"/>
    </row>
    <row r="337">
      <c r="A337" s="192"/>
      <c r="J337" s="155"/>
    </row>
    <row r="338">
      <c r="A338" s="192"/>
      <c r="J338" s="155"/>
    </row>
    <row r="339">
      <c r="A339" s="192"/>
      <c r="J339" s="155"/>
    </row>
    <row r="340">
      <c r="A340" s="192"/>
      <c r="J340" s="155"/>
    </row>
    <row r="341">
      <c r="A341" s="192"/>
      <c r="J341" s="155"/>
    </row>
    <row r="342">
      <c r="A342" s="192"/>
      <c r="J342" s="155"/>
    </row>
    <row r="343">
      <c r="A343" s="192"/>
      <c r="J343" s="155"/>
    </row>
    <row r="344">
      <c r="A344" s="192"/>
      <c r="J344" s="155"/>
    </row>
    <row r="345">
      <c r="A345" s="192"/>
      <c r="J345" s="155"/>
    </row>
    <row r="346">
      <c r="A346" s="192"/>
      <c r="J346" s="155"/>
    </row>
    <row r="347">
      <c r="A347" s="192"/>
      <c r="J347" s="155"/>
    </row>
    <row r="348">
      <c r="A348" s="192"/>
      <c r="J348" s="155"/>
    </row>
    <row r="349">
      <c r="A349" s="192"/>
      <c r="J349" s="155"/>
    </row>
    <row r="350">
      <c r="A350" s="192"/>
      <c r="J350" s="155"/>
    </row>
    <row r="351">
      <c r="A351" s="192"/>
      <c r="J351" s="155"/>
    </row>
    <row r="352">
      <c r="A352" s="192"/>
      <c r="J352" s="155"/>
    </row>
    <row r="353">
      <c r="A353" s="192"/>
      <c r="J353" s="155"/>
    </row>
    <row r="354">
      <c r="A354" s="192"/>
      <c r="J354" s="155"/>
    </row>
    <row r="355">
      <c r="A355" s="192"/>
      <c r="J355" s="155"/>
    </row>
    <row r="356">
      <c r="A356" s="192"/>
      <c r="J356" s="155"/>
    </row>
    <row r="357">
      <c r="A357" s="192"/>
      <c r="J357" s="155"/>
    </row>
    <row r="358">
      <c r="A358" s="192"/>
      <c r="J358" s="155"/>
    </row>
    <row r="359">
      <c r="A359" s="192"/>
      <c r="J359" s="155"/>
    </row>
    <row r="360">
      <c r="A360" s="192"/>
      <c r="J360" s="155"/>
    </row>
    <row r="361">
      <c r="A361" s="192"/>
      <c r="J361" s="155"/>
    </row>
    <row r="362">
      <c r="A362" s="192"/>
      <c r="J362" s="155"/>
    </row>
    <row r="363">
      <c r="A363" s="192"/>
      <c r="J363" s="155"/>
    </row>
    <row r="364">
      <c r="A364" s="192"/>
      <c r="J364" s="155"/>
    </row>
    <row r="365">
      <c r="A365" s="192"/>
      <c r="J365" s="155"/>
    </row>
    <row r="366">
      <c r="A366" s="192"/>
      <c r="J366" s="155"/>
    </row>
    <row r="367">
      <c r="A367" s="192"/>
      <c r="J367" s="155"/>
    </row>
    <row r="368">
      <c r="A368" s="192"/>
      <c r="J368" s="155"/>
    </row>
    <row r="369">
      <c r="A369" s="192"/>
      <c r="J369" s="155"/>
    </row>
    <row r="370">
      <c r="A370" s="192"/>
      <c r="J370" s="155"/>
    </row>
    <row r="371">
      <c r="A371" s="192"/>
      <c r="J371" s="155"/>
    </row>
    <row r="372">
      <c r="A372" s="192"/>
      <c r="J372" s="155"/>
    </row>
    <row r="373">
      <c r="A373" s="192"/>
      <c r="J373" s="155"/>
    </row>
    <row r="374">
      <c r="A374" s="192"/>
      <c r="J374" s="155"/>
    </row>
    <row r="375">
      <c r="A375" s="192"/>
      <c r="J375" s="155"/>
    </row>
    <row r="376">
      <c r="A376" s="192"/>
      <c r="J376" s="155"/>
    </row>
    <row r="377">
      <c r="A377" s="192"/>
      <c r="J377" s="155"/>
    </row>
    <row r="378">
      <c r="A378" s="192"/>
      <c r="J378" s="155"/>
    </row>
    <row r="379">
      <c r="A379" s="192"/>
      <c r="J379" s="155"/>
    </row>
    <row r="380">
      <c r="A380" s="192"/>
      <c r="J380" s="155"/>
    </row>
    <row r="381">
      <c r="A381" s="192"/>
      <c r="J381" s="155"/>
    </row>
    <row r="382">
      <c r="A382" s="192"/>
      <c r="J382" s="155"/>
    </row>
    <row r="383">
      <c r="A383" s="192"/>
      <c r="J383" s="155"/>
    </row>
    <row r="384">
      <c r="A384" s="192"/>
      <c r="J384" s="155"/>
    </row>
    <row r="385">
      <c r="A385" s="192"/>
      <c r="J385" s="155"/>
    </row>
    <row r="386">
      <c r="A386" s="192"/>
      <c r="J386" s="155"/>
    </row>
    <row r="387">
      <c r="A387" s="192"/>
      <c r="J387" s="155"/>
    </row>
    <row r="388">
      <c r="A388" s="192"/>
      <c r="J388" s="155"/>
    </row>
    <row r="389">
      <c r="A389" s="192"/>
      <c r="J389" s="155"/>
    </row>
    <row r="390">
      <c r="A390" s="192"/>
      <c r="J390" s="155"/>
    </row>
    <row r="391">
      <c r="A391" s="192"/>
      <c r="J391" s="155"/>
    </row>
    <row r="392">
      <c r="A392" s="192"/>
      <c r="J392" s="155"/>
    </row>
    <row r="393">
      <c r="A393" s="192"/>
      <c r="J393" s="155"/>
    </row>
    <row r="394">
      <c r="A394" s="192"/>
      <c r="J394" s="155"/>
    </row>
    <row r="395">
      <c r="A395" s="192"/>
      <c r="J395" s="155"/>
    </row>
    <row r="396">
      <c r="A396" s="192"/>
      <c r="J396" s="155"/>
    </row>
    <row r="397">
      <c r="A397" s="192"/>
      <c r="J397" s="155"/>
    </row>
    <row r="398">
      <c r="A398" s="192"/>
      <c r="J398" s="155"/>
    </row>
    <row r="399">
      <c r="A399" s="192"/>
      <c r="J399" s="155"/>
    </row>
    <row r="400">
      <c r="A400" s="192"/>
      <c r="J400" s="155"/>
    </row>
    <row r="401">
      <c r="A401" s="192"/>
      <c r="J401" s="155"/>
    </row>
    <row r="402">
      <c r="A402" s="192"/>
      <c r="J402" s="155"/>
    </row>
    <row r="403">
      <c r="A403" s="192"/>
      <c r="J403" s="155"/>
    </row>
    <row r="404">
      <c r="A404" s="192"/>
      <c r="J404" s="155"/>
    </row>
    <row r="405">
      <c r="A405" s="192"/>
      <c r="J405" s="155"/>
    </row>
    <row r="406">
      <c r="A406" s="192"/>
      <c r="J406" s="155"/>
    </row>
    <row r="407">
      <c r="A407" s="192"/>
      <c r="J407" s="155"/>
    </row>
    <row r="408">
      <c r="A408" s="192"/>
      <c r="J408" s="155"/>
    </row>
    <row r="409">
      <c r="A409" s="192"/>
      <c r="J409" s="155"/>
    </row>
    <row r="410">
      <c r="A410" s="192"/>
      <c r="J410" s="155"/>
    </row>
    <row r="411">
      <c r="A411" s="192"/>
      <c r="J411" s="155"/>
    </row>
    <row r="412">
      <c r="A412" s="192"/>
      <c r="J412" s="155"/>
    </row>
    <row r="413">
      <c r="A413" s="192"/>
      <c r="J413" s="155"/>
    </row>
    <row r="414">
      <c r="A414" s="192"/>
      <c r="J414" s="155"/>
    </row>
    <row r="415">
      <c r="A415" s="192"/>
      <c r="J415" s="155"/>
    </row>
    <row r="416">
      <c r="A416" s="192"/>
      <c r="J416" s="155"/>
    </row>
    <row r="417">
      <c r="A417" s="192"/>
      <c r="J417" s="155"/>
    </row>
    <row r="418">
      <c r="A418" s="192"/>
      <c r="J418" s="155"/>
    </row>
    <row r="419">
      <c r="A419" s="192"/>
      <c r="J419" s="155"/>
    </row>
    <row r="420">
      <c r="A420" s="192"/>
      <c r="J420" s="155"/>
    </row>
    <row r="421">
      <c r="A421" s="192"/>
      <c r="J421" s="155"/>
    </row>
    <row r="422">
      <c r="A422" s="192"/>
      <c r="J422" s="155"/>
    </row>
    <row r="423">
      <c r="A423" s="192"/>
      <c r="J423" s="155"/>
    </row>
    <row r="424">
      <c r="A424" s="192"/>
      <c r="J424" s="155"/>
    </row>
    <row r="425">
      <c r="A425" s="192"/>
      <c r="J425" s="155"/>
    </row>
    <row r="426">
      <c r="A426" s="192"/>
      <c r="J426" s="155"/>
    </row>
    <row r="427">
      <c r="A427" s="192"/>
      <c r="J427" s="155"/>
    </row>
    <row r="428">
      <c r="A428" s="192"/>
      <c r="J428" s="155"/>
    </row>
    <row r="429">
      <c r="A429" s="192"/>
      <c r="J429" s="155"/>
    </row>
    <row r="430">
      <c r="A430" s="192"/>
      <c r="J430" s="155"/>
    </row>
    <row r="431">
      <c r="A431" s="192"/>
      <c r="J431" s="155"/>
    </row>
    <row r="432">
      <c r="A432" s="192"/>
      <c r="J432" s="155"/>
    </row>
    <row r="433">
      <c r="A433" s="192"/>
      <c r="J433" s="155"/>
    </row>
    <row r="434">
      <c r="A434" s="192"/>
      <c r="J434" s="155"/>
    </row>
    <row r="435">
      <c r="A435" s="192"/>
      <c r="J435" s="155"/>
    </row>
    <row r="436">
      <c r="A436" s="192"/>
      <c r="J436" s="155"/>
    </row>
    <row r="437">
      <c r="A437" s="192"/>
      <c r="J437" s="155"/>
    </row>
    <row r="438">
      <c r="A438" s="192"/>
      <c r="J438" s="155"/>
    </row>
    <row r="439">
      <c r="A439" s="192"/>
      <c r="J439" s="155"/>
    </row>
    <row r="440">
      <c r="A440" s="192"/>
      <c r="J440" s="155"/>
    </row>
    <row r="441">
      <c r="A441" s="192"/>
      <c r="J441" s="155"/>
    </row>
    <row r="442">
      <c r="A442" s="192"/>
      <c r="J442" s="155"/>
    </row>
    <row r="443">
      <c r="A443" s="192"/>
      <c r="J443" s="155"/>
    </row>
    <row r="444">
      <c r="A444" s="192"/>
      <c r="J444" s="155"/>
    </row>
    <row r="445">
      <c r="A445" s="192"/>
      <c r="J445" s="155"/>
    </row>
    <row r="446">
      <c r="A446" s="192"/>
      <c r="J446" s="155"/>
    </row>
    <row r="447">
      <c r="A447" s="192"/>
      <c r="J447" s="155"/>
    </row>
    <row r="448">
      <c r="A448" s="192"/>
      <c r="J448" s="155"/>
    </row>
    <row r="449">
      <c r="A449" s="192"/>
      <c r="J449" s="155"/>
    </row>
    <row r="450">
      <c r="A450" s="192"/>
      <c r="J450" s="155"/>
    </row>
    <row r="451">
      <c r="A451" s="192"/>
      <c r="J451" s="155"/>
    </row>
    <row r="452">
      <c r="A452" s="192"/>
      <c r="J452" s="155"/>
    </row>
    <row r="453">
      <c r="A453" s="192"/>
      <c r="J453" s="155"/>
    </row>
    <row r="454">
      <c r="A454" s="192"/>
      <c r="J454" s="155"/>
    </row>
    <row r="455">
      <c r="A455" s="192"/>
      <c r="J455" s="155"/>
    </row>
    <row r="456">
      <c r="A456" s="192"/>
      <c r="J456" s="155"/>
    </row>
    <row r="457">
      <c r="A457" s="192"/>
      <c r="J457" s="155"/>
    </row>
    <row r="458">
      <c r="A458" s="192"/>
      <c r="J458" s="155"/>
    </row>
    <row r="459">
      <c r="A459" s="192"/>
      <c r="J459" s="155"/>
    </row>
    <row r="460">
      <c r="A460" s="192"/>
      <c r="J460" s="155"/>
    </row>
    <row r="461">
      <c r="A461" s="192"/>
      <c r="J461" s="155"/>
    </row>
    <row r="462">
      <c r="A462" s="192"/>
      <c r="J462" s="155"/>
    </row>
    <row r="463">
      <c r="A463" s="192"/>
      <c r="J463" s="155"/>
    </row>
    <row r="464">
      <c r="A464" s="192"/>
      <c r="J464" s="155"/>
    </row>
    <row r="465">
      <c r="A465" s="192"/>
      <c r="J465" s="155"/>
    </row>
    <row r="466">
      <c r="A466" s="192"/>
      <c r="J466" s="155"/>
    </row>
    <row r="467">
      <c r="A467" s="192"/>
      <c r="J467" s="155"/>
    </row>
    <row r="468">
      <c r="A468" s="192"/>
      <c r="J468" s="155"/>
    </row>
    <row r="469">
      <c r="A469" s="192"/>
      <c r="J469" s="155"/>
    </row>
    <row r="470">
      <c r="A470" s="192"/>
      <c r="J470" s="155"/>
    </row>
    <row r="471">
      <c r="A471" s="192"/>
      <c r="J471" s="155"/>
    </row>
    <row r="472">
      <c r="A472" s="192"/>
      <c r="J472" s="155"/>
    </row>
    <row r="473">
      <c r="A473" s="192"/>
      <c r="J473" s="155"/>
    </row>
    <row r="474">
      <c r="A474" s="192"/>
      <c r="J474" s="155"/>
    </row>
    <row r="475">
      <c r="A475" s="192"/>
      <c r="J475" s="155"/>
    </row>
    <row r="476">
      <c r="A476" s="192"/>
      <c r="J476" s="155"/>
    </row>
    <row r="477">
      <c r="A477" s="192"/>
      <c r="J477" s="155"/>
    </row>
    <row r="478">
      <c r="A478" s="192"/>
      <c r="J478" s="155"/>
    </row>
    <row r="479">
      <c r="A479" s="192"/>
      <c r="J479" s="155"/>
    </row>
    <row r="480">
      <c r="A480" s="192"/>
      <c r="J480" s="155"/>
    </row>
    <row r="481">
      <c r="A481" s="192"/>
      <c r="J481" s="155"/>
    </row>
    <row r="482">
      <c r="A482" s="192"/>
      <c r="J482" s="155"/>
    </row>
    <row r="483">
      <c r="A483" s="192"/>
      <c r="J483" s="155"/>
    </row>
    <row r="484">
      <c r="A484" s="192"/>
      <c r="J484" s="155"/>
    </row>
    <row r="485">
      <c r="A485" s="192"/>
      <c r="J485" s="155"/>
    </row>
    <row r="486">
      <c r="A486" s="192"/>
      <c r="J486" s="155"/>
    </row>
    <row r="487">
      <c r="A487" s="192"/>
      <c r="J487" s="155"/>
    </row>
    <row r="488">
      <c r="A488" s="192"/>
      <c r="J488" s="155"/>
    </row>
    <row r="489">
      <c r="A489" s="192"/>
      <c r="J489" s="155"/>
    </row>
    <row r="490">
      <c r="A490" s="192"/>
      <c r="J490" s="155"/>
    </row>
    <row r="491">
      <c r="A491" s="192"/>
      <c r="J491" s="155"/>
    </row>
    <row r="492">
      <c r="A492" s="192"/>
      <c r="J492" s="155"/>
    </row>
    <row r="493">
      <c r="A493" s="192"/>
      <c r="J493" s="155"/>
    </row>
    <row r="494">
      <c r="A494" s="192"/>
      <c r="J494" s="155"/>
    </row>
    <row r="495">
      <c r="A495" s="192"/>
      <c r="J495" s="155"/>
    </row>
    <row r="496">
      <c r="A496" s="192"/>
      <c r="J496" s="155"/>
    </row>
    <row r="497">
      <c r="A497" s="192"/>
      <c r="J497" s="155"/>
    </row>
    <row r="498">
      <c r="A498" s="192"/>
      <c r="J498" s="155"/>
    </row>
    <row r="499">
      <c r="A499" s="192"/>
      <c r="J499" s="155"/>
    </row>
    <row r="500">
      <c r="A500" s="192"/>
      <c r="J500" s="155"/>
    </row>
    <row r="501">
      <c r="A501" s="192"/>
      <c r="J501" s="155"/>
    </row>
    <row r="502">
      <c r="A502" s="192"/>
      <c r="J502" s="155"/>
    </row>
    <row r="503">
      <c r="A503" s="192"/>
      <c r="J503" s="155"/>
    </row>
    <row r="504">
      <c r="A504" s="192"/>
      <c r="J504" s="155"/>
    </row>
    <row r="505">
      <c r="A505" s="192"/>
      <c r="J505" s="155"/>
    </row>
    <row r="506">
      <c r="A506" s="192"/>
      <c r="J506" s="155"/>
    </row>
    <row r="507">
      <c r="A507" s="192"/>
      <c r="J507" s="155"/>
    </row>
    <row r="508">
      <c r="A508" s="192"/>
      <c r="J508" s="155"/>
    </row>
    <row r="509">
      <c r="A509" s="192"/>
      <c r="J509" s="155"/>
    </row>
    <row r="510">
      <c r="A510" s="192"/>
      <c r="J510" s="155"/>
    </row>
    <row r="511">
      <c r="A511" s="192"/>
      <c r="J511" s="155"/>
    </row>
    <row r="512">
      <c r="A512" s="192"/>
      <c r="J512" s="155"/>
    </row>
    <row r="513">
      <c r="A513" s="192"/>
      <c r="J513" s="155"/>
    </row>
    <row r="514">
      <c r="A514" s="192"/>
      <c r="J514" s="155"/>
    </row>
    <row r="515">
      <c r="A515" s="192"/>
      <c r="J515" s="155"/>
    </row>
    <row r="516">
      <c r="A516" s="192"/>
      <c r="J516" s="155"/>
    </row>
    <row r="517">
      <c r="A517" s="192"/>
      <c r="J517" s="155"/>
    </row>
    <row r="518">
      <c r="A518" s="192"/>
      <c r="J518" s="155"/>
    </row>
    <row r="519">
      <c r="A519" s="192"/>
      <c r="J519" s="155"/>
    </row>
    <row r="520">
      <c r="A520" s="192"/>
      <c r="J520" s="155"/>
    </row>
    <row r="521">
      <c r="A521" s="192"/>
      <c r="J521" s="155"/>
    </row>
    <row r="522">
      <c r="A522" s="192"/>
      <c r="J522" s="155"/>
    </row>
    <row r="523">
      <c r="A523" s="192"/>
      <c r="J523" s="155"/>
    </row>
    <row r="524">
      <c r="A524" s="192"/>
      <c r="J524" s="155"/>
    </row>
    <row r="525">
      <c r="A525" s="192"/>
      <c r="J525" s="155"/>
    </row>
    <row r="526">
      <c r="A526" s="192"/>
      <c r="J526" s="155"/>
    </row>
    <row r="527">
      <c r="A527" s="192"/>
      <c r="J527" s="155"/>
    </row>
    <row r="528">
      <c r="A528" s="192"/>
      <c r="J528" s="155"/>
    </row>
    <row r="529">
      <c r="A529" s="192"/>
      <c r="J529" s="155"/>
    </row>
    <row r="530">
      <c r="A530" s="192"/>
      <c r="J530" s="155"/>
    </row>
    <row r="531">
      <c r="A531" s="192"/>
      <c r="J531" s="155"/>
    </row>
    <row r="532">
      <c r="A532" s="192"/>
      <c r="J532" s="155"/>
    </row>
    <row r="533">
      <c r="A533" s="192"/>
      <c r="J533" s="155"/>
    </row>
    <row r="534">
      <c r="A534" s="192"/>
      <c r="J534" s="155"/>
    </row>
    <row r="535">
      <c r="A535" s="192"/>
      <c r="J535" s="155"/>
    </row>
    <row r="536">
      <c r="A536" s="192"/>
      <c r="J536" s="155"/>
    </row>
    <row r="537">
      <c r="A537" s="192"/>
      <c r="J537" s="155"/>
    </row>
    <row r="538">
      <c r="A538" s="192"/>
      <c r="J538" s="155"/>
    </row>
    <row r="539">
      <c r="A539" s="192"/>
      <c r="J539" s="155"/>
    </row>
    <row r="540">
      <c r="A540" s="192"/>
      <c r="J540" s="155"/>
    </row>
    <row r="541">
      <c r="A541" s="192"/>
      <c r="J541" s="155"/>
    </row>
    <row r="542">
      <c r="A542" s="192"/>
      <c r="J542" s="155"/>
    </row>
    <row r="543">
      <c r="A543" s="192"/>
      <c r="J543" s="155"/>
    </row>
    <row r="544">
      <c r="A544" s="192"/>
      <c r="J544" s="155"/>
    </row>
    <row r="545">
      <c r="A545" s="192"/>
      <c r="J545" s="155"/>
    </row>
    <row r="546">
      <c r="A546" s="192"/>
      <c r="J546" s="155"/>
    </row>
    <row r="547">
      <c r="A547" s="192"/>
      <c r="J547" s="155"/>
    </row>
    <row r="548">
      <c r="A548" s="192"/>
      <c r="J548" s="155"/>
    </row>
    <row r="549">
      <c r="A549" s="192"/>
      <c r="J549" s="155"/>
    </row>
    <row r="550">
      <c r="A550" s="192"/>
      <c r="J550" s="155"/>
    </row>
    <row r="551">
      <c r="A551" s="192"/>
      <c r="J551" s="155"/>
    </row>
    <row r="552">
      <c r="A552" s="192"/>
      <c r="J552" s="155"/>
    </row>
    <row r="553">
      <c r="A553" s="192"/>
      <c r="J553" s="155"/>
    </row>
    <row r="554">
      <c r="A554" s="192"/>
      <c r="J554" s="155"/>
    </row>
    <row r="555">
      <c r="A555" s="192"/>
      <c r="J555" s="155"/>
    </row>
    <row r="556">
      <c r="A556" s="192"/>
      <c r="J556" s="155"/>
    </row>
    <row r="557">
      <c r="A557" s="192"/>
      <c r="J557" s="155"/>
    </row>
    <row r="558">
      <c r="A558" s="192"/>
      <c r="J558" s="155"/>
    </row>
    <row r="559">
      <c r="A559" s="192"/>
      <c r="J559" s="155"/>
    </row>
    <row r="560">
      <c r="A560" s="192"/>
      <c r="J560" s="155"/>
    </row>
    <row r="561">
      <c r="A561" s="192"/>
      <c r="J561" s="155"/>
    </row>
    <row r="562">
      <c r="A562" s="192"/>
      <c r="J562" s="155"/>
    </row>
    <row r="563">
      <c r="A563" s="192"/>
      <c r="J563" s="155"/>
    </row>
    <row r="564">
      <c r="A564" s="192"/>
      <c r="J564" s="155"/>
    </row>
    <row r="565">
      <c r="A565" s="192"/>
      <c r="J565" s="155"/>
    </row>
    <row r="566">
      <c r="A566" s="192"/>
      <c r="J566" s="155"/>
    </row>
    <row r="567">
      <c r="A567" s="192"/>
      <c r="J567" s="155"/>
    </row>
    <row r="568">
      <c r="A568" s="192"/>
      <c r="J568" s="155"/>
    </row>
    <row r="569">
      <c r="A569" s="192"/>
      <c r="J569" s="155"/>
    </row>
    <row r="570">
      <c r="A570" s="192"/>
      <c r="J570" s="155"/>
    </row>
    <row r="571">
      <c r="A571" s="192"/>
      <c r="J571" s="155"/>
    </row>
    <row r="572">
      <c r="A572" s="192"/>
      <c r="J572" s="155"/>
    </row>
    <row r="573">
      <c r="A573" s="192"/>
      <c r="J573" s="155"/>
    </row>
    <row r="574">
      <c r="A574" s="192"/>
      <c r="J574" s="155"/>
    </row>
    <row r="575">
      <c r="A575" s="192"/>
      <c r="J575" s="155"/>
    </row>
    <row r="576">
      <c r="A576" s="192"/>
      <c r="J576" s="155"/>
    </row>
    <row r="577">
      <c r="A577" s="192"/>
      <c r="J577" s="155"/>
    </row>
    <row r="578">
      <c r="A578" s="192"/>
      <c r="J578" s="155"/>
    </row>
    <row r="579">
      <c r="A579" s="192"/>
      <c r="J579" s="155"/>
    </row>
    <row r="580">
      <c r="A580" s="192"/>
      <c r="J580" s="155"/>
    </row>
    <row r="581">
      <c r="A581" s="192"/>
      <c r="J581" s="155"/>
    </row>
    <row r="582">
      <c r="A582" s="192"/>
      <c r="J582" s="155"/>
    </row>
    <row r="583">
      <c r="A583" s="192"/>
      <c r="J583" s="155"/>
    </row>
    <row r="584">
      <c r="A584" s="192"/>
      <c r="J584" s="155"/>
    </row>
    <row r="585">
      <c r="A585" s="192"/>
      <c r="J585" s="155"/>
    </row>
    <row r="586">
      <c r="A586" s="192"/>
      <c r="J586" s="155"/>
    </row>
    <row r="587">
      <c r="A587" s="192"/>
      <c r="J587" s="155"/>
    </row>
    <row r="588">
      <c r="A588" s="192"/>
      <c r="J588" s="155"/>
    </row>
    <row r="589">
      <c r="A589" s="192"/>
      <c r="J589" s="155"/>
    </row>
    <row r="590">
      <c r="A590" s="192"/>
      <c r="J590" s="155"/>
    </row>
    <row r="591">
      <c r="A591" s="192"/>
      <c r="J591" s="155"/>
    </row>
    <row r="592">
      <c r="A592" s="192"/>
      <c r="J592" s="155"/>
    </row>
    <row r="593">
      <c r="A593" s="192"/>
      <c r="J593" s="155"/>
    </row>
    <row r="594">
      <c r="A594" s="192"/>
      <c r="J594" s="155"/>
    </row>
    <row r="595">
      <c r="A595" s="192"/>
      <c r="J595" s="155"/>
    </row>
    <row r="596">
      <c r="A596" s="192"/>
      <c r="J596" s="155"/>
    </row>
    <row r="597">
      <c r="A597" s="192"/>
      <c r="J597" s="155"/>
    </row>
    <row r="598">
      <c r="A598" s="192"/>
      <c r="J598" s="155"/>
    </row>
    <row r="599">
      <c r="A599" s="192"/>
      <c r="J599" s="155"/>
    </row>
    <row r="600">
      <c r="A600" s="192"/>
      <c r="J600" s="155"/>
    </row>
    <row r="601">
      <c r="A601" s="192"/>
      <c r="J601" s="155"/>
    </row>
    <row r="602">
      <c r="A602" s="192"/>
      <c r="J602" s="155"/>
    </row>
    <row r="603">
      <c r="A603" s="192"/>
      <c r="J603" s="155"/>
    </row>
    <row r="604">
      <c r="A604" s="192"/>
      <c r="J604" s="155"/>
    </row>
    <row r="605">
      <c r="A605" s="192"/>
      <c r="J605" s="155"/>
    </row>
    <row r="606">
      <c r="A606" s="192"/>
      <c r="J606" s="155"/>
    </row>
    <row r="607">
      <c r="A607" s="192"/>
      <c r="J607" s="155"/>
    </row>
    <row r="608">
      <c r="A608" s="192"/>
      <c r="J608" s="155"/>
    </row>
    <row r="609">
      <c r="A609" s="192"/>
      <c r="J609" s="155"/>
    </row>
    <row r="610">
      <c r="A610" s="192"/>
      <c r="J610" s="155"/>
    </row>
    <row r="611">
      <c r="A611" s="192"/>
      <c r="J611" s="155"/>
    </row>
    <row r="612">
      <c r="A612" s="192"/>
      <c r="J612" s="155"/>
    </row>
    <row r="613">
      <c r="A613" s="192"/>
      <c r="J613" s="155"/>
    </row>
    <row r="614">
      <c r="A614" s="192"/>
      <c r="J614" s="155"/>
    </row>
    <row r="615">
      <c r="A615" s="192"/>
      <c r="J615" s="155"/>
    </row>
    <row r="616">
      <c r="A616" s="192"/>
      <c r="J616" s="155"/>
    </row>
    <row r="617">
      <c r="A617" s="192"/>
      <c r="J617" s="155"/>
    </row>
    <row r="618">
      <c r="A618" s="192"/>
      <c r="J618" s="155"/>
    </row>
    <row r="619">
      <c r="A619" s="192"/>
      <c r="J619" s="155"/>
    </row>
    <row r="620">
      <c r="A620" s="192"/>
      <c r="J620" s="155"/>
    </row>
    <row r="621">
      <c r="A621" s="192"/>
      <c r="J621" s="155"/>
    </row>
    <row r="622">
      <c r="A622" s="192"/>
      <c r="J622" s="155"/>
    </row>
    <row r="623">
      <c r="A623" s="192"/>
      <c r="J623" s="155"/>
    </row>
    <row r="624">
      <c r="A624" s="192"/>
      <c r="J624" s="155"/>
    </row>
    <row r="625">
      <c r="A625" s="192"/>
      <c r="J625" s="155"/>
    </row>
    <row r="626">
      <c r="A626" s="192"/>
      <c r="J626" s="155"/>
    </row>
    <row r="627">
      <c r="A627" s="192"/>
      <c r="J627" s="155"/>
    </row>
    <row r="628">
      <c r="A628" s="192"/>
      <c r="J628" s="155"/>
    </row>
    <row r="629">
      <c r="A629" s="192"/>
      <c r="J629" s="155"/>
    </row>
    <row r="630">
      <c r="A630" s="192"/>
      <c r="J630" s="155"/>
    </row>
    <row r="631">
      <c r="A631" s="192"/>
      <c r="J631" s="155"/>
    </row>
    <row r="632">
      <c r="A632" s="192"/>
      <c r="J632" s="155"/>
    </row>
    <row r="633">
      <c r="A633" s="192"/>
      <c r="J633" s="155"/>
    </row>
    <row r="634">
      <c r="A634" s="192"/>
      <c r="J634" s="155"/>
    </row>
    <row r="635">
      <c r="A635" s="192"/>
      <c r="J635" s="155"/>
    </row>
    <row r="636">
      <c r="A636" s="192"/>
      <c r="J636" s="155"/>
    </row>
    <row r="637">
      <c r="A637" s="192"/>
      <c r="J637" s="155"/>
    </row>
    <row r="638">
      <c r="A638" s="192"/>
      <c r="J638" s="155"/>
    </row>
    <row r="639">
      <c r="A639" s="192"/>
      <c r="J639" s="155"/>
    </row>
    <row r="640">
      <c r="A640" s="192"/>
      <c r="J640" s="155"/>
    </row>
    <row r="641">
      <c r="A641" s="192"/>
      <c r="J641" s="155"/>
    </row>
    <row r="642">
      <c r="A642" s="192"/>
      <c r="J642" s="155"/>
    </row>
    <row r="643">
      <c r="A643" s="192"/>
      <c r="J643" s="155"/>
    </row>
    <row r="644">
      <c r="A644" s="192"/>
      <c r="J644" s="155"/>
    </row>
    <row r="645">
      <c r="A645" s="192"/>
      <c r="J645" s="155"/>
    </row>
    <row r="646">
      <c r="A646" s="192"/>
      <c r="J646" s="155"/>
    </row>
    <row r="647">
      <c r="A647" s="192"/>
      <c r="J647" s="155"/>
    </row>
    <row r="648">
      <c r="A648" s="192"/>
      <c r="J648" s="155"/>
    </row>
    <row r="649">
      <c r="A649" s="192"/>
      <c r="J649" s="155"/>
    </row>
    <row r="650">
      <c r="A650" s="192"/>
      <c r="J650" s="155"/>
    </row>
    <row r="651">
      <c r="A651" s="192"/>
      <c r="J651" s="155"/>
    </row>
    <row r="652">
      <c r="A652" s="192"/>
      <c r="J652" s="155"/>
    </row>
    <row r="653">
      <c r="A653" s="192"/>
      <c r="J653" s="155"/>
    </row>
    <row r="654">
      <c r="A654" s="192"/>
      <c r="J654" s="155"/>
    </row>
    <row r="655">
      <c r="A655" s="192"/>
      <c r="J655" s="155"/>
    </row>
    <row r="656">
      <c r="A656" s="192"/>
      <c r="J656" s="155"/>
    </row>
    <row r="657">
      <c r="A657" s="192"/>
      <c r="J657" s="155"/>
    </row>
    <row r="658">
      <c r="A658" s="192"/>
      <c r="J658" s="155"/>
    </row>
    <row r="659">
      <c r="A659" s="192"/>
      <c r="J659" s="155"/>
    </row>
    <row r="660">
      <c r="A660" s="192"/>
      <c r="J660" s="155"/>
    </row>
    <row r="661">
      <c r="A661" s="192"/>
      <c r="J661" s="155"/>
    </row>
    <row r="662">
      <c r="A662" s="192"/>
      <c r="J662" s="155"/>
    </row>
    <row r="663">
      <c r="A663" s="192"/>
      <c r="J663" s="155"/>
    </row>
    <row r="664">
      <c r="A664" s="192"/>
      <c r="J664" s="155"/>
    </row>
    <row r="665">
      <c r="A665" s="192"/>
      <c r="J665" s="155"/>
    </row>
    <row r="666">
      <c r="A666" s="192"/>
      <c r="J666" s="155"/>
    </row>
    <row r="667">
      <c r="A667" s="192"/>
      <c r="J667" s="155"/>
    </row>
    <row r="668">
      <c r="A668" s="192"/>
      <c r="J668" s="155"/>
    </row>
    <row r="669">
      <c r="A669" s="192"/>
      <c r="J669" s="155"/>
    </row>
    <row r="670">
      <c r="A670" s="192"/>
      <c r="J670" s="155"/>
    </row>
    <row r="671">
      <c r="A671" s="192"/>
      <c r="J671" s="155"/>
    </row>
    <row r="672">
      <c r="A672" s="192"/>
      <c r="J672" s="155"/>
    </row>
    <row r="673">
      <c r="A673" s="192"/>
      <c r="J673" s="155"/>
    </row>
    <row r="674">
      <c r="A674" s="192"/>
      <c r="J674" s="155"/>
    </row>
    <row r="675">
      <c r="A675" s="192"/>
      <c r="J675" s="155"/>
    </row>
    <row r="676">
      <c r="A676" s="192"/>
      <c r="J676" s="155"/>
    </row>
    <row r="677">
      <c r="A677" s="192"/>
      <c r="J677" s="155"/>
    </row>
    <row r="678">
      <c r="A678" s="192"/>
      <c r="J678" s="155"/>
    </row>
    <row r="679">
      <c r="A679" s="192"/>
      <c r="J679" s="155"/>
    </row>
    <row r="680">
      <c r="A680" s="192"/>
      <c r="J680" s="155"/>
    </row>
    <row r="681">
      <c r="A681" s="192"/>
      <c r="J681" s="155"/>
    </row>
    <row r="682">
      <c r="A682" s="192"/>
      <c r="J682" s="155"/>
    </row>
    <row r="683">
      <c r="A683" s="192"/>
      <c r="J683" s="155"/>
    </row>
    <row r="684">
      <c r="A684" s="192"/>
      <c r="J684" s="155"/>
    </row>
    <row r="685">
      <c r="A685" s="192"/>
      <c r="J685" s="155"/>
    </row>
    <row r="686">
      <c r="A686" s="192"/>
      <c r="J686" s="155"/>
    </row>
    <row r="687">
      <c r="A687" s="192"/>
      <c r="J687" s="155"/>
    </row>
    <row r="688">
      <c r="A688" s="192"/>
      <c r="J688" s="155"/>
    </row>
    <row r="689">
      <c r="A689" s="192"/>
      <c r="J689" s="155"/>
    </row>
    <row r="690">
      <c r="A690" s="192"/>
      <c r="J690" s="155"/>
    </row>
    <row r="691">
      <c r="A691" s="192"/>
      <c r="J691" s="155"/>
    </row>
    <row r="692">
      <c r="A692" s="192"/>
      <c r="J692" s="155"/>
    </row>
    <row r="693">
      <c r="A693" s="192"/>
      <c r="J693" s="155"/>
    </row>
    <row r="694">
      <c r="A694" s="192"/>
      <c r="J694" s="155"/>
    </row>
    <row r="695">
      <c r="A695" s="192"/>
      <c r="J695" s="155"/>
    </row>
    <row r="696">
      <c r="A696" s="192"/>
      <c r="J696" s="155"/>
    </row>
    <row r="697">
      <c r="A697" s="192"/>
      <c r="J697" s="155"/>
    </row>
    <row r="698">
      <c r="A698" s="192"/>
      <c r="J698" s="155"/>
    </row>
    <row r="699">
      <c r="A699" s="192"/>
      <c r="J699" s="155"/>
    </row>
    <row r="700">
      <c r="A700" s="192"/>
      <c r="J700" s="155"/>
    </row>
    <row r="701">
      <c r="A701" s="192"/>
      <c r="J701" s="155"/>
    </row>
    <row r="702">
      <c r="A702" s="192"/>
      <c r="J702" s="155"/>
    </row>
    <row r="703">
      <c r="A703" s="192"/>
      <c r="J703" s="155"/>
    </row>
    <row r="704">
      <c r="A704" s="192"/>
      <c r="J704" s="155"/>
    </row>
    <row r="705">
      <c r="A705" s="192"/>
      <c r="J705" s="155"/>
    </row>
    <row r="706">
      <c r="A706" s="192"/>
      <c r="J706" s="155"/>
    </row>
    <row r="707">
      <c r="A707" s="192"/>
      <c r="J707" s="155"/>
    </row>
    <row r="708">
      <c r="A708" s="192"/>
      <c r="J708" s="155"/>
    </row>
    <row r="709">
      <c r="A709" s="192"/>
      <c r="J709" s="155"/>
    </row>
    <row r="710">
      <c r="A710" s="192"/>
      <c r="J710" s="155"/>
    </row>
    <row r="711">
      <c r="A711" s="192"/>
      <c r="J711" s="155"/>
    </row>
    <row r="712">
      <c r="A712" s="192"/>
      <c r="J712" s="155"/>
    </row>
    <row r="713">
      <c r="A713" s="192"/>
      <c r="J713" s="155"/>
    </row>
    <row r="714">
      <c r="A714" s="192"/>
      <c r="J714" s="155"/>
    </row>
    <row r="715">
      <c r="A715" s="192"/>
      <c r="J715" s="155"/>
    </row>
    <row r="716">
      <c r="A716" s="192"/>
      <c r="J716" s="155"/>
    </row>
    <row r="717">
      <c r="A717" s="192"/>
      <c r="J717" s="155"/>
    </row>
    <row r="718">
      <c r="A718" s="192"/>
      <c r="J718" s="155"/>
    </row>
    <row r="719">
      <c r="A719" s="192"/>
      <c r="J719" s="155"/>
    </row>
    <row r="720">
      <c r="A720" s="192"/>
      <c r="J720" s="155"/>
    </row>
    <row r="721">
      <c r="A721" s="192"/>
      <c r="J721" s="155"/>
    </row>
    <row r="722">
      <c r="A722" s="192"/>
      <c r="J722" s="155"/>
    </row>
    <row r="723">
      <c r="A723" s="192"/>
      <c r="J723" s="155"/>
    </row>
    <row r="724">
      <c r="A724" s="192"/>
      <c r="J724" s="155"/>
    </row>
    <row r="725">
      <c r="A725" s="192"/>
      <c r="J725" s="155"/>
    </row>
    <row r="726">
      <c r="A726" s="192"/>
      <c r="J726" s="155"/>
    </row>
    <row r="727">
      <c r="A727" s="192"/>
      <c r="J727" s="155"/>
    </row>
    <row r="728">
      <c r="A728" s="192"/>
      <c r="J728" s="155"/>
    </row>
    <row r="729">
      <c r="A729" s="192"/>
      <c r="J729" s="155"/>
    </row>
    <row r="730">
      <c r="A730" s="192"/>
      <c r="J730" s="155"/>
    </row>
    <row r="731">
      <c r="A731" s="192"/>
      <c r="J731" s="155"/>
    </row>
    <row r="732">
      <c r="A732" s="192"/>
      <c r="J732" s="155"/>
    </row>
    <row r="733">
      <c r="A733" s="192"/>
      <c r="J733" s="155"/>
    </row>
    <row r="734">
      <c r="A734" s="192"/>
      <c r="J734" s="155"/>
    </row>
    <row r="735">
      <c r="A735" s="192"/>
      <c r="J735" s="155"/>
    </row>
    <row r="736">
      <c r="A736" s="192"/>
      <c r="J736" s="155"/>
    </row>
    <row r="737">
      <c r="A737" s="192"/>
      <c r="J737" s="155"/>
    </row>
    <row r="738">
      <c r="A738" s="192"/>
      <c r="J738" s="155"/>
    </row>
    <row r="739">
      <c r="A739" s="192"/>
      <c r="J739" s="155"/>
    </row>
    <row r="740">
      <c r="A740" s="192"/>
      <c r="J740" s="155"/>
    </row>
    <row r="741">
      <c r="A741" s="192"/>
      <c r="J741" s="155"/>
    </row>
    <row r="742">
      <c r="A742" s="192"/>
      <c r="J742" s="155"/>
    </row>
    <row r="743">
      <c r="A743" s="192"/>
      <c r="J743" s="155"/>
    </row>
    <row r="744">
      <c r="A744" s="192"/>
      <c r="J744" s="155"/>
    </row>
    <row r="745">
      <c r="A745" s="192"/>
      <c r="J745" s="155"/>
    </row>
    <row r="746">
      <c r="A746" s="192"/>
      <c r="J746" s="155"/>
    </row>
    <row r="747">
      <c r="A747" s="192"/>
      <c r="J747" s="155"/>
    </row>
    <row r="748">
      <c r="A748" s="192"/>
      <c r="J748" s="155"/>
    </row>
    <row r="749">
      <c r="A749" s="192"/>
      <c r="J749" s="155"/>
    </row>
    <row r="750">
      <c r="A750" s="192"/>
      <c r="J750" s="155"/>
    </row>
    <row r="751">
      <c r="A751" s="192"/>
      <c r="J751" s="155"/>
    </row>
    <row r="752">
      <c r="A752" s="192"/>
      <c r="J752" s="155"/>
    </row>
    <row r="753">
      <c r="A753" s="192"/>
      <c r="J753" s="155"/>
    </row>
    <row r="754">
      <c r="A754" s="192"/>
      <c r="J754" s="155"/>
    </row>
    <row r="755">
      <c r="A755" s="192"/>
      <c r="J755" s="155"/>
    </row>
    <row r="756">
      <c r="A756" s="192"/>
      <c r="J756" s="155"/>
    </row>
    <row r="757">
      <c r="A757" s="192"/>
      <c r="J757" s="155"/>
    </row>
    <row r="758">
      <c r="A758" s="192"/>
      <c r="J758" s="155"/>
    </row>
    <row r="759">
      <c r="A759" s="192"/>
      <c r="J759" s="155"/>
    </row>
    <row r="760">
      <c r="A760" s="192"/>
      <c r="J760" s="155"/>
    </row>
    <row r="761">
      <c r="A761" s="192"/>
      <c r="J761" s="155"/>
    </row>
    <row r="762">
      <c r="A762" s="192"/>
      <c r="J762" s="155"/>
    </row>
    <row r="763">
      <c r="A763" s="192"/>
      <c r="J763" s="155"/>
    </row>
    <row r="764">
      <c r="A764" s="192"/>
      <c r="J764" s="155"/>
    </row>
    <row r="765">
      <c r="A765" s="192"/>
      <c r="J765" s="155"/>
    </row>
    <row r="766">
      <c r="A766" s="192"/>
      <c r="J766" s="155"/>
    </row>
    <row r="767">
      <c r="A767" s="192"/>
      <c r="J767" s="155"/>
    </row>
    <row r="768">
      <c r="A768" s="192"/>
      <c r="J768" s="155"/>
    </row>
    <row r="769">
      <c r="A769" s="192"/>
      <c r="J769" s="155"/>
    </row>
    <row r="770">
      <c r="A770" s="192"/>
      <c r="J770" s="155"/>
    </row>
    <row r="771">
      <c r="A771" s="192"/>
      <c r="J771" s="155"/>
    </row>
    <row r="772">
      <c r="A772" s="192"/>
      <c r="J772" s="155"/>
    </row>
    <row r="773">
      <c r="A773" s="192"/>
      <c r="J773" s="155"/>
    </row>
    <row r="774">
      <c r="A774" s="192"/>
      <c r="J774" s="155"/>
    </row>
    <row r="775">
      <c r="A775" s="192"/>
      <c r="J775" s="155"/>
    </row>
    <row r="776">
      <c r="A776" s="192"/>
      <c r="J776" s="155"/>
    </row>
    <row r="777">
      <c r="A777" s="192"/>
      <c r="J777" s="155"/>
    </row>
    <row r="778">
      <c r="A778" s="192"/>
      <c r="J778" s="155"/>
    </row>
    <row r="779">
      <c r="A779" s="192"/>
      <c r="J779" s="155"/>
    </row>
    <row r="780">
      <c r="A780" s="192"/>
      <c r="J780" s="155"/>
    </row>
    <row r="781">
      <c r="A781" s="192"/>
      <c r="J781" s="155"/>
    </row>
    <row r="782">
      <c r="A782" s="192"/>
      <c r="J782" s="155"/>
    </row>
    <row r="783">
      <c r="A783" s="192"/>
      <c r="J783" s="155"/>
    </row>
    <row r="784">
      <c r="A784" s="192"/>
      <c r="J784" s="155"/>
    </row>
    <row r="785">
      <c r="A785" s="192"/>
      <c r="J785" s="155"/>
    </row>
    <row r="786">
      <c r="A786" s="192"/>
      <c r="J786" s="155"/>
    </row>
    <row r="787">
      <c r="A787" s="192"/>
      <c r="J787" s="155"/>
    </row>
    <row r="788">
      <c r="A788" s="192"/>
      <c r="J788" s="155"/>
    </row>
    <row r="789">
      <c r="A789" s="192"/>
      <c r="J789" s="155"/>
    </row>
    <row r="790">
      <c r="A790" s="192"/>
      <c r="J790" s="155"/>
    </row>
    <row r="791">
      <c r="A791" s="192"/>
      <c r="J791" s="155"/>
    </row>
    <row r="792">
      <c r="A792" s="192"/>
      <c r="J792" s="155"/>
    </row>
    <row r="793">
      <c r="A793" s="192"/>
      <c r="J793" s="155"/>
    </row>
    <row r="794">
      <c r="A794" s="192"/>
      <c r="J794" s="155"/>
    </row>
    <row r="795">
      <c r="A795" s="192"/>
      <c r="J795" s="155"/>
    </row>
    <row r="796">
      <c r="A796" s="192"/>
      <c r="J796" s="155"/>
    </row>
    <row r="797">
      <c r="A797" s="192"/>
      <c r="J797" s="155"/>
    </row>
    <row r="798">
      <c r="A798" s="192"/>
      <c r="J798" s="155"/>
    </row>
    <row r="799">
      <c r="A799" s="192"/>
      <c r="J799" s="155"/>
    </row>
    <row r="800">
      <c r="A800" s="192"/>
      <c r="J800" s="155"/>
    </row>
    <row r="801">
      <c r="A801" s="192"/>
      <c r="J801" s="155"/>
    </row>
    <row r="802">
      <c r="A802" s="192"/>
      <c r="J802" s="155"/>
    </row>
    <row r="803">
      <c r="A803" s="192"/>
      <c r="J803" s="155"/>
    </row>
    <row r="804">
      <c r="A804" s="192"/>
      <c r="J804" s="155"/>
    </row>
    <row r="805">
      <c r="A805" s="192"/>
      <c r="J805" s="155"/>
    </row>
    <row r="806">
      <c r="A806" s="192"/>
      <c r="J806" s="155"/>
    </row>
    <row r="807">
      <c r="A807" s="192"/>
      <c r="J807" s="155"/>
    </row>
    <row r="808">
      <c r="A808" s="192"/>
      <c r="J808" s="155"/>
    </row>
    <row r="809">
      <c r="A809" s="192"/>
      <c r="J809" s="155"/>
    </row>
    <row r="810">
      <c r="A810" s="192"/>
      <c r="J810" s="155"/>
    </row>
    <row r="811">
      <c r="A811" s="192"/>
      <c r="J811" s="155"/>
    </row>
    <row r="812">
      <c r="A812" s="192"/>
      <c r="J812" s="155"/>
    </row>
    <row r="813">
      <c r="A813" s="192"/>
      <c r="J813" s="155"/>
    </row>
    <row r="814">
      <c r="A814" s="192"/>
      <c r="J814" s="155"/>
    </row>
    <row r="815">
      <c r="A815" s="192"/>
      <c r="J815" s="155"/>
    </row>
    <row r="816">
      <c r="A816" s="192"/>
      <c r="J816" s="155"/>
    </row>
    <row r="817">
      <c r="A817" s="192"/>
      <c r="J817" s="155"/>
    </row>
    <row r="818">
      <c r="A818" s="192"/>
      <c r="J818" s="155"/>
    </row>
    <row r="819">
      <c r="A819" s="192"/>
      <c r="J819" s="155"/>
    </row>
    <row r="820">
      <c r="A820" s="192"/>
      <c r="J820" s="155"/>
    </row>
    <row r="821">
      <c r="A821" s="192"/>
      <c r="J821" s="155"/>
    </row>
    <row r="822">
      <c r="A822" s="192"/>
      <c r="J822" s="155"/>
    </row>
    <row r="823">
      <c r="A823" s="192"/>
      <c r="J823" s="155"/>
    </row>
    <row r="824">
      <c r="A824" s="192"/>
      <c r="J824" s="155"/>
    </row>
    <row r="825">
      <c r="A825" s="192"/>
      <c r="J825" s="155"/>
    </row>
    <row r="826">
      <c r="A826" s="192"/>
      <c r="J826" s="155"/>
    </row>
    <row r="827">
      <c r="A827" s="192"/>
      <c r="J827" s="155"/>
    </row>
    <row r="828">
      <c r="A828" s="192"/>
      <c r="J828" s="155"/>
    </row>
    <row r="829">
      <c r="A829" s="192"/>
      <c r="J829" s="155"/>
    </row>
    <row r="830">
      <c r="A830" s="192"/>
      <c r="J830" s="155"/>
    </row>
    <row r="831">
      <c r="A831" s="192"/>
      <c r="J831" s="155"/>
    </row>
    <row r="832">
      <c r="A832" s="192"/>
      <c r="J832" s="155"/>
    </row>
    <row r="833">
      <c r="A833" s="192"/>
      <c r="J833" s="155"/>
    </row>
    <row r="834">
      <c r="A834" s="192"/>
      <c r="J834" s="155"/>
    </row>
    <row r="835">
      <c r="A835" s="192"/>
      <c r="J835" s="155"/>
    </row>
    <row r="836">
      <c r="A836" s="192"/>
      <c r="J836" s="155"/>
    </row>
    <row r="837">
      <c r="A837" s="192"/>
      <c r="J837" s="155"/>
    </row>
    <row r="838">
      <c r="A838" s="192"/>
      <c r="J838" s="155"/>
    </row>
    <row r="839">
      <c r="A839" s="192"/>
      <c r="J839" s="155"/>
    </row>
    <row r="840">
      <c r="A840" s="192"/>
      <c r="J840" s="155"/>
    </row>
    <row r="841">
      <c r="A841" s="192"/>
      <c r="J841" s="155"/>
    </row>
    <row r="842">
      <c r="A842" s="192"/>
      <c r="J842" s="155"/>
    </row>
    <row r="843">
      <c r="A843" s="192"/>
      <c r="J843" s="155"/>
    </row>
    <row r="844">
      <c r="A844" s="192"/>
      <c r="J844" s="155"/>
    </row>
    <row r="845">
      <c r="A845" s="192"/>
      <c r="J845" s="155"/>
    </row>
    <row r="846">
      <c r="A846" s="192"/>
      <c r="J846" s="155"/>
    </row>
    <row r="847">
      <c r="A847" s="192"/>
      <c r="J847" s="155"/>
    </row>
    <row r="848">
      <c r="A848" s="192"/>
      <c r="J848" s="155"/>
    </row>
    <row r="849">
      <c r="A849" s="192"/>
      <c r="J849" s="155"/>
    </row>
    <row r="850">
      <c r="A850" s="192"/>
      <c r="J850" s="155"/>
    </row>
    <row r="851">
      <c r="A851" s="192"/>
      <c r="J851" s="155"/>
    </row>
    <row r="852">
      <c r="A852" s="192"/>
      <c r="J852" s="155"/>
    </row>
    <row r="853">
      <c r="A853" s="192"/>
      <c r="J853" s="155"/>
    </row>
    <row r="854">
      <c r="A854" s="192"/>
      <c r="J854" s="155"/>
    </row>
    <row r="855">
      <c r="A855" s="192"/>
      <c r="J855" s="155"/>
    </row>
    <row r="856">
      <c r="A856" s="192"/>
      <c r="J856" s="155"/>
    </row>
    <row r="857">
      <c r="A857" s="192"/>
      <c r="J857" s="155"/>
    </row>
    <row r="858">
      <c r="A858" s="192"/>
      <c r="J858" s="155"/>
    </row>
    <row r="859">
      <c r="A859" s="192"/>
      <c r="J859" s="155"/>
    </row>
    <row r="860">
      <c r="A860" s="192"/>
      <c r="J860" s="155"/>
    </row>
    <row r="861">
      <c r="A861" s="192"/>
      <c r="J861" s="155"/>
    </row>
    <row r="862">
      <c r="A862" s="192"/>
      <c r="J862" s="155"/>
    </row>
    <row r="863">
      <c r="A863" s="192"/>
      <c r="J863" s="155"/>
    </row>
    <row r="864">
      <c r="A864" s="192"/>
      <c r="J864" s="155"/>
    </row>
    <row r="865">
      <c r="A865" s="192"/>
      <c r="J865" s="155"/>
    </row>
    <row r="866">
      <c r="A866" s="192"/>
      <c r="J866" s="155"/>
    </row>
    <row r="867">
      <c r="A867" s="192"/>
      <c r="J867" s="155"/>
    </row>
    <row r="868">
      <c r="A868" s="192"/>
      <c r="J868" s="155"/>
    </row>
    <row r="869">
      <c r="A869" s="192"/>
      <c r="J869" s="155"/>
    </row>
    <row r="870">
      <c r="A870" s="192"/>
      <c r="J870" s="155"/>
    </row>
    <row r="871">
      <c r="A871" s="192"/>
      <c r="J871" s="155"/>
    </row>
    <row r="872">
      <c r="A872" s="192"/>
      <c r="J872" s="155"/>
    </row>
    <row r="873">
      <c r="A873" s="192"/>
      <c r="J873" s="155"/>
    </row>
    <row r="874">
      <c r="A874" s="192"/>
      <c r="J874" s="155"/>
    </row>
    <row r="875">
      <c r="A875" s="192"/>
      <c r="J875" s="155"/>
    </row>
    <row r="876">
      <c r="A876" s="192"/>
      <c r="J876" s="155"/>
    </row>
    <row r="877">
      <c r="A877" s="192"/>
      <c r="J877" s="155"/>
    </row>
    <row r="878">
      <c r="A878" s="192"/>
      <c r="J878" s="155"/>
    </row>
    <row r="879">
      <c r="A879" s="192"/>
      <c r="J879" s="155"/>
    </row>
    <row r="880">
      <c r="A880" s="192"/>
      <c r="J880" s="155"/>
    </row>
    <row r="881">
      <c r="A881" s="192"/>
      <c r="J881" s="155"/>
    </row>
    <row r="882">
      <c r="A882" s="192"/>
      <c r="J882" s="155"/>
    </row>
    <row r="883">
      <c r="A883" s="192"/>
      <c r="J883" s="155"/>
    </row>
    <row r="884">
      <c r="A884" s="192"/>
      <c r="J884" s="155"/>
    </row>
    <row r="885">
      <c r="A885" s="192"/>
      <c r="J885" s="155"/>
    </row>
    <row r="886">
      <c r="A886" s="192"/>
      <c r="J886" s="155"/>
    </row>
    <row r="887">
      <c r="A887" s="192"/>
      <c r="J887" s="155"/>
    </row>
    <row r="888">
      <c r="A888" s="192"/>
      <c r="J888" s="155"/>
    </row>
    <row r="889">
      <c r="A889" s="192"/>
      <c r="J889" s="155"/>
    </row>
    <row r="890">
      <c r="A890" s="192"/>
      <c r="J890" s="155"/>
    </row>
    <row r="891">
      <c r="A891" s="192"/>
      <c r="J891" s="155"/>
    </row>
    <row r="892">
      <c r="A892" s="192"/>
      <c r="J892" s="155"/>
    </row>
    <row r="893">
      <c r="A893" s="192"/>
      <c r="J893" s="155"/>
    </row>
    <row r="894">
      <c r="A894" s="192"/>
      <c r="J894" s="155"/>
    </row>
    <row r="895">
      <c r="A895" s="192"/>
      <c r="J895" s="155"/>
    </row>
    <row r="896">
      <c r="A896" s="192"/>
      <c r="J896" s="155"/>
    </row>
    <row r="897">
      <c r="A897" s="192"/>
      <c r="J897" s="155"/>
    </row>
    <row r="898">
      <c r="A898" s="192"/>
      <c r="J898" s="155"/>
    </row>
    <row r="899">
      <c r="A899" s="192"/>
      <c r="J899" s="155"/>
    </row>
    <row r="900">
      <c r="A900" s="192"/>
      <c r="J900" s="155"/>
    </row>
    <row r="901">
      <c r="A901" s="192"/>
      <c r="J901" s="155"/>
    </row>
    <row r="902">
      <c r="A902" s="192"/>
      <c r="J902" s="155"/>
    </row>
    <row r="903">
      <c r="A903" s="192"/>
      <c r="J903" s="155"/>
    </row>
    <row r="904">
      <c r="A904" s="192"/>
      <c r="J904" s="155"/>
    </row>
    <row r="905">
      <c r="A905" s="192"/>
      <c r="J905" s="155"/>
    </row>
    <row r="906">
      <c r="A906" s="192"/>
      <c r="J906" s="155"/>
    </row>
    <row r="907">
      <c r="A907" s="192"/>
      <c r="J907" s="155"/>
    </row>
    <row r="908">
      <c r="A908" s="192"/>
      <c r="J908" s="155"/>
    </row>
    <row r="909">
      <c r="A909" s="192"/>
      <c r="J909" s="155"/>
    </row>
    <row r="910">
      <c r="A910" s="192"/>
      <c r="J910" s="155"/>
    </row>
    <row r="911">
      <c r="A911" s="192"/>
      <c r="J911" s="155"/>
    </row>
    <row r="912">
      <c r="A912" s="192"/>
      <c r="J912" s="155"/>
    </row>
    <row r="913">
      <c r="A913" s="192"/>
      <c r="J913" s="155"/>
    </row>
    <row r="914">
      <c r="A914" s="192"/>
      <c r="J914" s="155"/>
    </row>
    <row r="915">
      <c r="A915" s="192"/>
      <c r="J915" s="155"/>
    </row>
    <row r="916">
      <c r="A916" s="192"/>
      <c r="J916" s="155"/>
    </row>
    <row r="917">
      <c r="A917" s="192"/>
      <c r="J917" s="155"/>
    </row>
    <row r="918">
      <c r="A918" s="192"/>
      <c r="J918" s="155"/>
    </row>
    <row r="919">
      <c r="A919" s="192"/>
      <c r="J919" s="155"/>
    </row>
    <row r="920">
      <c r="A920" s="192"/>
      <c r="J920" s="155"/>
    </row>
    <row r="921">
      <c r="A921" s="192"/>
      <c r="J921" s="155"/>
    </row>
    <row r="922">
      <c r="A922" s="192"/>
      <c r="J922" s="155"/>
    </row>
    <row r="923">
      <c r="A923" s="192"/>
      <c r="J923" s="155"/>
    </row>
    <row r="924">
      <c r="A924" s="192"/>
      <c r="J924" s="155"/>
    </row>
    <row r="925">
      <c r="A925" s="192"/>
      <c r="J925" s="155"/>
    </row>
    <row r="926">
      <c r="A926" s="192"/>
      <c r="J926" s="155"/>
    </row>
    <row r="927">
      <c r="A927" s="192"/>
      <c r="J927" s="155"/>
    </row>
    <row r="928">
      <c r="A928" s="192"/>
      <c r="J928" s="155"/>
    </row>
    <row r="929">
      <c r="A929" s="192"/>
      <c r="J929" s="155"/>
    </row>
    <row r="930">
      <c r="A930" s="192"/>
      <c r="J930" s="155"/>
    </row>
    <row r="931">
      <c r="A931" s="192"/>
      <c r="J931" s="155"/>
    </row>
    <row r="932">
      <c r="A932" s="192"/>
      <c r="J932" s="155"/>
    </row>
    <row r="933">
      <c r="A933" s="192"/>
      <c r="J933" s="155"/>
    </row>
    <row r="934">
      <c r="A934" s="192"/>
      <c r="J934" s="155"/>
    </row>
    <row r="935">
      <c r="A935" s="192"/>
      <c r="J935" s="155"/>
    </row>
    <row r="936">
      <c r="A936" s="192"/>
      <c r="J936" s="155"/>
    </row>
    <row r="937">
      <c r="A937" s="192"/>
      <c r="J937" s="155"/>
    </row>
    <row r="938">
      <c r="A938" s="192"/>
      <c r="J938" s="155"/>
    </row>
    <row r="939">
      <c r="A939" s="192"/>
      <c r="J939" s="155"/>
    </row>
    <row r="940">
      <c r="A940" s="192"/>
      <c r="J940" s="155"/>
    </row>
    <row r="941">
      <c r="A941" s="192"/>
      <c r="J941" s="155"/>
    </row>
    <row r="942">
      <c r="A942" s="192"/>
      <c r="J942" s="155"/>
    </row>
    <row r="943">
      <c r="A943" s="192"/>
      <c r="J943" s="155"/>
    </row>
    <row r="944">
      <c r="A944" s="192"/>
      <c r="J944" s="155"/>
    </row>
    <row r="945">
      <c r="A945" s="192"/>
      <c r="J945" s="155"/>
    </row>
    <row r="946">
      <c r="A946" s="192"/>
      <c r="J946" s="155"/>
    </row>
    <row r="947">
      <c r="A947" s="192"/>
      <c r="J947" s="155"/>
    </row>
    <row r="948">
      <c r="A948" s="192"/>
      <c r="J948" s="155"/>
    </row>
    <row r="949">
      <c r="A949" s="192"/>
      <c r="J949" s="155"/>
    </row>
    <row r="950">
      <c r="A950" s="192"/>
      <c r="J950" s="155"/>
    </row>
    <row r="951">
      <c r="A951" s="192"/>
      <c r="J951" s="155"/>
    </row>
    <row r="952">
      <c r="A952" s="192"/>
      <c r="J952" s="155"/>
    </row>
    <row r="953">
      <c r="A953" s="192"/>
      <c r="J953" s="155"/>
    </row>
    <row r="954">
      <c r="A954" s="192"/>
      <c r="J954" s="155"/>
    </row>
    <row r="955">
      <c r="A955" s="192"/>
      <c r="J955" s="155"/>
    </row>
    <row r="956">
      <c r="A956" s="192"/>
      <c r="J956" s="155"/>
    </row>
    <row r="957">
      <c r="A957" s="192"/>
      <c r="J957" s="155"/>
    </row>
    <row r="958">
      <c r="A958" s="192"/>
      <c r="J958" s="155"/>
    </row>
    <row r="959">
      <c r="A959" s="192"/>
      <c r="J959" s="155"/>
    </row>
    <row r="960">
      <c r="A960" s="192"/>
      <c r="J960" s="155"/>
    </row>
    <row r="961">
      <c r="A961" s="192"/>
      <c r="J961" s="155"/>
    </row>
    <row r="962">
      <c r="A962" s="192"/>
      <c r="J962" s="155"/>
    </row>
    <row r="963">
      <c r="A963" s="192"/>
      <c r="J963" s="155"/>
    </row>
    <row r="964">
      <c r="A964" s="192"/>
      <c r="J964" s="155"/>
    </row>
    <row r="965">
      <c r="A965" s="192"/>
      <c r="J965" s="155"/>
    </row>
    <row r="966">
      <c r="A966" s="192"/>
      <c r="J966" s="155"/>
    </row>
    <row r="967">
      <c r="A967" s="192"/>
      <c r="J967" s="155"/>
    </row>
    <row r="968">
      <c r="A968" s="192"/>
      <c r="J968" s="155"/>
    </row>
    <row r="969">
      <c r="A969" s="192"/>
      <c r="J969" s="155"/>
    </row>
    <row r="970">
      <c r="A970" s="192"/>
      <c r="J970" s="155"/>
    </row>
    <row r="971">
      <c r="A971" s="192"/>
      <c r="J971" s="155"/>
    </row>
    <row r="972">
      <c r="A972" s="192"/>
      <c r="J972" s="155"/>
    </row>
    <row r="973">
      <c r="A973" s="192"/>
      <c r="J973" s="155"/>
    </row>
    <row r="974">
      <c r="A974" s="192"/>
      <c r="J974" s="155"/>
    </row>
    <row r="975">
      <c r="A975" s="192"/>
      <c r="J975" s="155"/>
    </row>
    <row r="976">
      <c r="A976" s="192"/>
      <c r="J976" s="155"/>
    </row>
    <row r="977">
      <c r="A977" s="192"/>
      <c r="J977" s="155"/>
    </row>
    <row r="978">
      <c r="A978" s="192"/>
      <c r="J978" s="155"/>
    </row>
    <row r="979">
      <c r="A979" s="192"/>
      <c r="J979" s="155"/>
    </row>
    <row r="980">
      <c r="A980" s="192"/>
      <c r="J980" s="155"/>
    </row>
    <row r="981">
      <c r="A981" s="192"/>
      <c r="J981" s="155"/>
    </row>
    <row r="982">
      <c r="A982" s="192"/>
      <c r="J982" s="155"/>
    </row>
    <row r="983">
      <c r="A983" s="192"/>
      <c r="J983" s="155"/>
    </row>
    <row r="984">
      <c r="A984" s="192"/>
      <c r="J984" s="155"/>
    </row>
    <row r="985">
      <c r="A985" s="192"/>
      <c r="J985" s="155"/>
    </row>
    <row r="986">
      <c r="A986" s="192"/>
      <c r="J986" s="155"/>
    </row>
    <row r="987">
      <c r="A987" s="192"/>
      <c r="J987" s="155"/>
    </row>
    <row r="988">
      <c r="A988" s="192"/>
      <c r="J988" s="155"/>
    </row>
    <row r="989">
      <c r="A989" s="192"/>
      <c r="J989" s="155"/>
    </row>
    <row r="990">
      <c r="A990" s="192"/>
      <c r="J990" s="155"/>
    </row>
    <row r="991">
      <c r="A991" s="192"/>
      <c r="J991" s="155"/>
    </row>
    <row r="992">
      <c r="A992" s="192"/>
      <c r="J992" s="155"/>
    </row>
    <row r="993">
      <c r="A993" s="192"/>
      <c r="J993" s="155"/>
    </row>
    <row r="994">
      <c r="A994" s="192"/>
      <c r="J994" s="155"/>
    </row>
    <row r="995">
      <c r="A995" s="192"/>
      <c r="J995" s="155"/>
    </row>
    <row r="996">
      <c r="A996" s="192"/>
      <c r="J996" s="155"/>
    </row>
    <row r="997">
      <c r="A997" s="192"/>
      <c r="J997" s="155"/>
    </row>
    <row r="998">
      <c r="A998" s="192"/>
      <c r="J998" s="155"/>
    </row>
    <row r="999">
      <c r="A999" s="192"/>
      <c r="J999" s="155"/>
    </row>
    <row r="1000">
      <c r="A1000" s="192"/>
      <c r="J1000" s="155"/>
    </row>
    <row r="1001">
      <c r="A1001" s="192"/>
      <c r="J1001" s="155"/>
    </row>
    <row r="1002">
      <c r="A1002" s="192"/>
      <c r="J1002" s="155"/>
    </row>
    <row r="1003">
      <c r="A1003" s="192"/>
      <c r="J1003" s="155"/>
    </row>
    <row r="1004">
      <c r="A1004" s="192"/>
      <c r="J1004" s="155"/>
    </row>
    <row r="1005">
      <c r="A1005" s="192"/>
      <c r="J1005" s="155"/>
    </row>
    <row r="1006">
      <c r="A1006" s="192"/>
      <c r="J1006" s="155"/>
    </row>
    <row r="1007">
      <c r="A1007" s="192"/>
      <c r="J1007" s="155"/>
    </row>
    <row r="1008">
      <c r="A1008" s="192"/>
      <c r="J1008" s="155"/>
    </row>
    <row r="1009">
      <c r="A1009" s="192"/>
      <c r="J1009" s="155"/>
    </row>
    <row r="1010">
      <c r="A1010" s="192"/>
      <c r="J1010" s="155"/>
    </row>
    <row r="1011">
      <c r="A1011" s="192"/>
      <c r="J1011" s="155"/>
    </row>
    <row r="1012">
      <c r="A1012" s="192"/>
      <c r="J1012" s="155"/>
    </row>
    <row r="1013">
      <c r="A1013" s="192"/>
      <c r="J1013" s="155"/>
    </row>
    <row r="1014">
      <c r="A1014" s="192"/>
      <c r="J1014" s="155"/>
    </row>
    <row r="1015">
      <c r="A1015" s="192"/>
      <c r="J1015" s="155"/>
    </row>
    <row r="1016">
      <c r="A1016" s="192"/>
      <c r="J1016" s="155"/>
    </row>
    <row r="1017">
      <c r="A1017" s="192"/>
      <c r="J1017" s="155"/>
    </row>
    <row r="1018">
      <c r="A1018" s="192"/>
      <c r="J1018" s="155"/>
    </row>
    <row r="1019">
      <c r="A1019" s="192"/>
      <c r="J1019" s="155"/>
    </row>
    <row r="1020">
      <c r="A1020" s="192"/>
      <c r="J1020" s="155"/>
    </row>
    <row r="1021">
      <c r="A1021" s="192"/>
      <c r="J1021" s="155"/>
    </row>
    <row r="1022">
      <c r="A1022" s="192"/>
      <c r="J1022" s="155"/>
    </row>
    <row r="1023">
      <c r="A1023" s="192"/>
      <c r="J1023" s="155"/>
    </row>
    <row r="1024">
      <c r="A1024" s="192"/>
      <c r="J1024" s="155"/>
    </row>
    <row r="1025">
      <c r="A1025" s="192"/>
      <c r="J1025" s="155"/>
    </row>
    <row r="1026">
      <c r="A1026" s="192"/>
      <c r="J1026" s="155"/>
    </row>
    <row r="1027">
      <c r="A1027" s="192"/>
      <c r="J1027" s="155"/>
    </row>
    <row r="1028">
      <c r="A1028" s="192"/>
      <c r="J1028" s="155"/>
    </row>
    <row r="1029">
      <c r="A1029" s="192"/>
      <c r="J1029" s="155"/>
    </row>
    <row r="1030">
      <c r="A1030" s="192"/>
      <c r="J1030" s="155"/>
    </row>
    <row r="1031">
      <c r="A1031" s="192"/>
      <c r="J1031" s="155"/>
    </row>
    <row r="1032">
      <c r="A1032" s="192"/>
      <c r="J1032" s="155"/>
    </row>
    <row r="1033">
      <c r="A1033" s="192"/>
      <c r="J1033" s="155"/>
    </row>
    <row r="1034">
      <c r="A1034" s="192"/>
      <c r="J1034" s="155"/>
    </row>
    <row r="1035">
      <c r="A1035" s="192"/>
      <c r="J1035" s="155"/>
    </row>
    <row r="1036">
      <c r="A1036" s="192"/>
      <c r="J1036" s="155"/>
    </row>
    <row r="1037">
      <c r="A1037" s="192"/>
      <c r="J1037" s="155"/>
    </row>
    <row r="1038">
      <c r="A1038" s="192"/>
      <c r="J1038" s="155"/>
    </row>
    <row r="1039">
      <c r="A1039" s="192"/>
      <c r="J1039" s="155"/>
    </row>
    <row r="1040">
      <c r="A1040" s="192"/>
      <c r="J1040" s="155"/>
    </row>
    <row r="1041">
      <c r="A1041" s="192"/>
      <c r="J1041" s="155"/>
    </row>
    <row r="1042">
      <c r="A1042" s="192"/>
      <c r="J1042" s="155"/>
    </row>
    <row r="1043">
      <c r="A1043" s="192"/>
      <c r="J1043" s="155"/>
    </row>
  </sheetData>
  <mergeCells count="23">
    <mergeCell ref="A1:B1"/>
    <mergeCell ref="C1:E1"/>
    <mergeCell ref="F1:I1"/>
    <mergeCell ref="B4:D4"/>
    <mergeCell ref="E4:G4"/>
    <mergeCell ref="F5:G5"/>
    <mergeCell ref="F12:G12"/>
    <mergeCell ref="F16:G16"/>
    <mergeCell ref="F21:G21"/>
    <mergeCell ref="F27:G27"/>
    <mergeCell ref="F31:G31"/>
    <mergeCell ref="F38:G38"/>
    <mergeCell ref="J40:J42"/>
    <mergeCell ref="F44:G44"/>
    <mergeCell ref="F80:G81"/>
    <mergeCell ref="F82:G82"/>
    <mergeCell ref="F47:G47"/>
    <mergeCell ref="F50:G50"/>
    <mergeCell ref="F53:G53"/>
    <mergeCell ref="F59:G59"/>
    <mergeCell ref="F63:G63"/>
    <mergeCell ref="F66:G66"/>
    <mergeCell ref="E80:E81"/>
  </mergeCells>
  <dataValidations>
    <dataValidation type="list" allowBlank="1" showErrorMessage="1" sqref="H5 H12 H16 H21 H27 H31 H38 H44 H47 H50 H53 H59">
      <formula1>"High,Standard,Low"</formula1>
    </dataValidation>
    <dataValidation type="list" allowBlank="1" showErrorMessage="1" sqref="I6:I10 I13:I14 I17:I19 I22:I25 I28:I29 I32:I36 I39:I42 I45 I48 I51 I54:I57 I60:I61 I64 I67:I70">
      <formula1>"Consulting,Development,Project Management,Solutions Engineering,Strategy"</formula1>
    </dataValidation>
  </dataValidations>
  <hyperlinks>
    <hyperlink r:id="rId1" location="heading=h.3dcbnmjir33l" ref="E24"/>
    <hyperlink r:id="rId2" ref="E29"/>
    <hyperlink r:id="rId3" ref="E32"/>
    <hyperlink r:id="rId4" ref="E33"/>
    <hyperlink r:id="rId5" ref="E34"/>
    <hyperlink r:id="rId6" ref="E35"/>
    <hyperlink r:id="rId7" ref="E39"/>
    <hyperlink r:id="rId8" ref="E40"/>
    <hyperlink r:id="rId9" ref="E41"/>
    <hyperlink r:id="rId10" ref="E42"/>
    <hyperlink r:id="rId11" ref="E45"/>
    <hyperlink r:id="rId12" location="gid=182219424" ref="E48"/>
    <hyperlink r:id="rId13" ref="E55"/>
    <hyperlink r:id="rId14" ref="E56"/>
    <hyperlink r:id="rId15" ref="E57"/>
    <hyperlink r:id="rId16" ref="E60"/>
    <hyperlink r:id="rId17" ref="E61"/>
  </hyperlinks>
  <drawing r:id="rId18"/>
  <tableParts count="2">
    <tablePart r:id="rId2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9.5"/>
    <col customWidth="1" min="3" max="4" width="17.63"/>
    <col customWidth="1" min="5" max="5" width="5.75"/>
    <col customWidth="1" min="6" max="6" width="36.5"/>
    <col customWidth="1" min="9" max="9" width="6.0"/>
  </cols>
  <sheetData>
    <row r="1" ht="54.0" customHeight="1">
      <c r="A1" s="187"/>
      <c r="B1" s="187"/>
      <c r="D1" s="2" t="s">
        <v>297</v>
      </c>
      <c r="G1" s="193" t="s">
        <v>298</v>
      </c>
      <c r="H1" s="1"/>
      <c r="I1" s="1"/>
    </row>
    <row r="2">
      <c r="A2" s="15" t="s">
        <v>14</v>
      </c>
      <c r="B2" s="194" t="s">
        <v>299</v>
      </c>
      <c r="C2" s="195"/>
      <c r="D2" s="196"/>
      <c r="E2" s="197"/>
      <c r="F2" s="71" t="s">
        <v>300</v>
      </c>
      <c r="G2" s="198"/>
      <c r="H2" s="95"/>
      <c r="I2" s="95"/>
    </row>
    <row r="3">
      <c r="A3" s="199"/>
      <c r="B3" s="200" t="s">
        <v>301</v>
      </c>
      <c r="C3" s="201"/>
      <c r="D3" s="202"/>
      <c r="E3" s="102"/>
      <c r="F3" s="199" t="s">
        <v>302</v>
      </c>
      <c r="G3" s="203"/>
      <c r="H3" s="102"/>
      <c r="I3" s="75"/>
    </row>
    <row r="4">
      <c r="A4" s="199"/>
      <c r="B4" s="200" t="s">
        <v>303</v>
      </c>
      <c r="C4" s="204"/>
      <c r="D4" s="205"/>
      <c r="E4" s="102"/>
      <c r="F4" s="199" t="s">
        <v>304</v>
      </c>
      <c r="G4" s="206"/>
      <c r="H4" s="102"/>
      <c r="I4" s="75"/>
    </row>
    <row r="5">
      <c r="A5" s="199"/>
      <c r="B5" s="200" t="s">
        <v>305</v>
      </c>
      <c r="C5" s="207">
        <v>45784.32094907408</v>
      </c>
      <c r="D5" s="205"/>
      <c r="E5" s="102"/>
      <c r="F5" s="199" t="s">
        <v>306</v>
      </c>
      <c r="G5" s="208"/>
      <c r="H5" s="102"/>
      <c r="I5" s="75"/>
    </row>
    <row r="6">
      <c r="A6" s="199"/>
      <c r="B6" s="200" t="s">
        <v>307</v>
      </c>
      <c r="C6" s="209"/>
      <c r="D6" s="205" t="s">
        <v>308</v>
      </c>
      <c r="E6" s="204"/>
      <c r="F6" s="199" t="s">
        <v>309</v>
      </c>
      <c r="G6" s="210"/>
      <c r="H6" s="102"/>
      <c r="I6" s="75"/>
    </row>
    <row r="7">
      <c r="A7" s="199"/>
      <c r="B7" s="200" t="s">
        <v>310</v>
      </c>
      <c r="C7" s="209"/>
      <c r="D7" s="205" t="s">
        <v>311</v>
      </c>
      <c r="E7" s="204"/>
      <c r="H7" s="211"/>
      <c r="I7" s="211"/>
    </row>
    <row r="8">
      <c r="A8" s="199"/>
      <c r="B8" s="200"/>
      <c r="C8" s="212"/>
      <c r="D8" s="202"/>
      <c r="E8" s="102"/>
      <c r="F8" s="213"/>
      <c r="G8" s="211"/>
      <c r="H8" s="211"/>
      <c r="I8" s="211"/>
    </row>
    <row r="9">
      <c r="A9" s="71"/>
      <c r="B9" s="214" t="s">
        <v>312</v>
      </c>
      <c r="C9" s="197"/>
      <c r="D9" s="215"/>
      <c r="E9" s="216"/>
      <c r="F9" s="217"/>
      <c r="G9" s="218"/>
      <c r="H9" s="219"/>
      <c r="I9" s="219"/>
    </row>
    <row r="10">
      <c r="A10" s="199"/>
      <c r="B10" s="220" t="s">
        <v>313</v>
      </c>
      <c r="C10" s="221"/>
      <c r="D10" s="222"/>
      <c r="E10" s="102"/>
      <c r="F10" s="223"/>
      <c r="G10" s="203"/>
      <c r="H10" s="102"/>
      <c r="I10" s="102"/>
    </row>
    <row r="11">
      <c r="A11" s="199"/>
      <c r="B11" s="200" t="s">
        <v>314</v>
      </c>
      <c r="C11" s="209">
        <v>200.0</v>
      </c>
      <c r="D11" s="205" t="s">
        <v>315</v>
      </c>
      <c r="E11" s="102"/>
      <c r="F11" s="223"/>
      <c r="G11" s="203"/>
      <c r="H11" s="102"/>
      <c r="I11" s="102"/>
    </row>
    <row r="12">
      <c r="A12" s="199"/>
      <c r="B12" s="200" t="s">
        <v>316</v>
      </c>
      <c r="C12" s="224">
        <v>0.11</v>
      </c>
      <c r="D12" s="202"/>
      <c r="E12" s="216"/>
      <c r="F12" s="223"/>
      <c r="G12" s="203"/>
      <c r="H12" s="102"/>
      <c r="I12" s="102"/>
    </row>
    <row r="13">
      <c r="A13" s="199"/>
      <c r="B13" s="225" t="s">
        <v>317</v>
      </c>
      <c r="C13" s="226">
        <v>45817.0</v>
      </c>
      <c r="D13" s="202"/>
      <c r="E13" s="102"/>
      <c r="F13" s="223"/>
      <c r="G13" s="203"/>
      <c r="H13" s="102"/>
      <c r="I13" s="102"/>
    </row>
    <row r="14">
      <c r="A14" s="227"/>
      <c r="B14" s="225" t="s">
        <v>318</v>
      </c>
      <c r="C14" s="93">
        <v>5.0</v>
      </c>
      <c r="D14" s="205" t="s">
        <v>319</v>
      </c>
      <c r="E14" s="102"/>
      <c r="F14" s="223"/>
      <c r="G14" s="203"/>
      <c r="H14" s="102"/>
      <c r="I14" s="102"/>
    </row>
    <row r="15">
      <c r="A15" s="227"/>
      <c r="B15" s="200"/>
      <c r="C15" s="209"/>
      <c r="D15" s="202"/>
      <c r="E15" s="102"/>
      <c r="F15" s="223"/>
      <c r="G15" s="228"/>
      <c r="H15" s="102"/>
      <c r="I15" s="102"/>
    </row>
    <row r="16">
      <c r="A16" s="199"/>
      <c r="B16" s="220" t="s">
        <v>320</v>
      </c>
      <c r="C16" s="229"/>
      <c r="D16" s="222"/>
      <c r="E16" s="102"/>
      <c r="F16" s="223"/>
      <c r="G16" s="203"/>
      <c r="H16" s="102"/>
      <c r="I16" s="102"/>
    </row>
    <row r="17">
      <c r="A17" s="227"/>
      <c r="B17" s="200" t="s">
        <v>321</v>
      </c>
      <c r="C17" s="209">
        <v>200.0</v>
      </c>
      <c r="D17" s="205" t="s">
        <v>322</v>
      </c>
      <c r="E17" s="102"/>
      <c r="F17" s="223"/>
      <c r="G17" s="203"/>
      <c r="H17" s="102"/>
      <c r="I17" s="102"/>
    </row>
    <row r="18">
      <c r="A18" s="227"/>
      <c r="B18" s="225" t="s">
        <v>323</v>
      </c>
      <c r="C18" s="93">
        <v>40.0</v>
      </c>
      <c r="D18" s="205" t="s">
        <v>324</v>
      </c>
      <c r="E18" s="102"/>
      <c r="F18" s="223"/>
      <c r="G18" s="203"/>
      <c r="H18" s="102"/>
      <c r="I18" s="102"/>
    </row>
    <row r="19">
      <c r="A19" s="227"/>
      <c r="B19" s="225" t="s">
        <v>325</v>
      </c>
      <c r="C19" s="93">
        <v>1.0</v>
      </c>
      <c r="D19" s="205" t="s">
        <v>326</v>
      </c>
      <c r="E19" s="102"/>
      <c r="F19" s="223"/>
      <c r="G19" s="203"/>
      <c r="H19" s="102"/>
      <c r="I19" s="102"/>
    </row>
    <row r="20">
      <c r="A20" s="227"/>
      <c r="B20" s="230"/>
      <c r="C20" s="231"/>
      <c r="D20" s="232"/>
      <c r="E20" s="102"/>
      <c r="F20" s="223"/>
      <c r="G20" s="203"/>
      <c r="H20" s="102"/>
      <c r="I20" s="102"/>
    </row>
    <row r="21">
      <c r="A21" s="227"/>
      <c r="B21" s="227"/>
      <c r="C21" s="93"/>
      <c r="D21" s="233"/>
      <c r="E21" s="102"/>
      <c r="F21" s="102"/>
      <c r="G21" s="203"/>
      <c r="H21" s="102"/>
      <c r="I21" s="102"/>
    </row>
    <row r="22">
      <c r="A22" s="234"/>
      <c r="B22" s="234" t="s">
        <v>327</v>
      </c>
      <c r="C22" s="235"/>
      <c r="D22" s="236"/>
      <c r="E22" s="237"/>
      <c r="F22" s="234" t="s">
        <v>328</v>
      </c>
      <c r="G22" s="238" t="s">
        <v>329</v>
      </c>
      <c r="H22" s="239" t="s">
        <v>330</v>
      </c>
      <c r="I22" s="239"/>
    </row>
    <row r="23">
      <c r="A23" s="227"/>
      <c r="B23" s="227" t="s">
        <v>331</v>
      </c>
      <c r="C23" s="240">
        <f t="array" ref="C23">INDEX(Overview!F:G, MATCH("⚑", Overview!A:A, 0), 1)</f>
        <v>232200</v>
      </c>
      <c r="D23" s="241" t="s">
        <v>332</v>
      </c>
      <c r="E23" s="102"/>
      <c r="F23" s="199" t="s">
        <v>333</v>
      </c>
      <c r="G23" s="242">
        <f>IFERROR(__xludf.DUMMYFUNCTION("ARRAYFORMULA(
  SUMIFS(
    Overview!F:F, 
    Overview!F:F, ""&gt;0"",
    Overview!A:A, ""&lt;&gt;•*"",
    Overview!A:A, ""&lt;&gt;◆*"",
    ROW(Overview!A:A), ""&gt;""&amp;MIN(IF(REGEXMATCH(Overview!A:A,""^•""),ROW(Overview!A:A))),
    ROW(Overview!A:A), ""&lt;""&amp;MIN(IF(REGEX"&amp;"MATCH(Overview!A:A,""^※|^◆""),ROW(Overview!A:A),99999))
  )
)"),991.0)</f>
        <v>991</v>
      </c>
      <c r="H23" s="75">
        <f>IFERROR(__xludf.DUMMYFUNCTION("ARRAYFORMULA(
  SUMIFS(
    Overview!G:G, 
    Overview!G:G, ""&gt;0"",
    Overview!A:A, ""&lt;&gt;•*"",
    Overview!A:A, ""&lt;&gt;◆*"",
    ROW(Overview!A:A), ""&gt;""&amp;MIN(IF(REGEXMATCH(Overview!A:A,""^•""),ROW(Overview!A:A))),
    ROW(Overview!A:A), ""&lt;""&amp;MIN(IF(REGEX"&amp;"MATCH(Overview!A:A,""^◆""),ROW(Overview!A:A),99999))
  )
)"),991.0)</f>
        <v>991</v>
      </c>
      <c r="I23" s="75"/>
    </row>
    <row r="24">
      <c r="A24" s="227"/>
      <c r="B24" s="227" t="s">
        <v>334</v>
      </c>
      <c r="C24" s="93">
        <f>SUMIFS(Overview!F:F, Overview!A:A, "*•*") + SUMIFS(Overview!F:F, Overview!A:A, "*◆*") + SUMIFS(Overview!F:F, Overview!A:A, "*■*")</f>
        <v>1161</v>
      </c>
      <c r="D24" s="241" t="s">
        <v>335</v>
      </c>
      <c r="E24" s="102"/>
      <c r="F24" s="199" t="s">
        <v>336</v>
      </c>
      <c r="G24" s="242">
        <f>G23 * C12</f>
        <v>109.01</v>
      </c>
      <c r="H24" s="75">
        <f>H23 * C12</f>
        <v>109.01</v>
      </c>
      <c r="I24" s="75"/>
    </row>
    <row r="25">
      <c r="A25" s="227"/>
      <c r="B25" s="227" t="s">
        <v>337</v>
      </c>
      <c r="C25" s="75">
        <f>SUMIFS(Overview!F:F, Overview!A:A, "*•*") + SUMIFS(Overview!F:F, Overview!A:A, "*◆*")</f>
        <v>1121</v>
      </c>
      <c r="D25" s="241" t="s">
        <v>338</v>
      </c>
      <c r="E25" s="102"/>
      <c r="F25" s="199" t="s">
        <v>339</v>
      </c>
      <c r="G25" s="242">
        <f t="array" ref="G25">INDEX(Overview!F:G, MATCH("■*", Overview!A:A, 0), 1)</f>
        <v>40</v>
      </c>
      <c r="H25" s="75">
        <f t="array" ref="H25">INDEX(Overview!F:G, MATCH("■*", Overview!A:A, 0), 1)</f>
        <v>40</v>
      </c>
      <c r="I25" s="75"/>
    </row>
    <row r="26">
      <c r="A26" s="227"/>
      <c r="B26" s="227" t="s">
        <v>340</v>
      </c>
      <c r="C26" s="75">
        <f>SUMIFS(Overview!F:F, Overview!A:A, "*■*")</f>
        <v>40</v>
      </c>
      <c r="D26" s="233"/>
      <c r="E26" s="102"/>
      <c r="F26" s="199" t="s">
        <v>341</v>
      </c>
      <c r="G26" s="242">
        <f t="shared" ref="G26:H26" si="1">SUM(G23:G25)</f>
        <v>1140.01</v>
      </c>
      <c r="H26" s="75">
        <f t="shared" si="1"/>
        <v>1140.01</v>
      </c>
      <c r="I26" s="75"/>
    </row>
    <row r="27">
      <c r="A27" s="227"/>
      <c r="B27" s="227" t="s">
        <v>342</v>
      </c>
      <c r="C27" s="243">
        <f>EDATE(C13, C14)</f>
        <v>45970</v>
      </c>
      <c r="D27" s="233"/>
      <c r="E27" s="102"/>
      <c r="F27" s="199" t="s">
        <v>343</v>
      </c>
      <c r="G27" s="244">
        <f>G26*C11</f>
        <v>228002</v>
      </c>
      <c r="H27" s="245">
        <f>H26*C11</f>
        <v>228002</v>
      </c>
      <c r="I27" s="75"/>
    </row>
    <row r="28">
      <c r="A28" s="246"/>
      <c r="B28" s="227" t="s">
        <v>344</v>
      </c>
      <c r="C28" s="75">
        <f>roundup(C25/C14,0)</f>
        <v>225</v>
      </c>
      <c r="D28" s="233"/>
      <c r="E28" s="102"/>
      <c r="F28" s="102"/>
      <c r="G28" s="102"/>
      <c r="H28" s="102"/>
      <c r="I28" s="75"/>
    </row>
    <row r="29">
      <c r="A29" s="247"/>
      <c r="B29" s="227" t="s">
        <v>345</v>
      </c>
      <c r="C29" s="75">
        <f>roundup(C28/4.3,0)</f>
        <v>53</v>
      </c>
      <c r="D29" s="233"/>
      <c r="E29" s="102"/>
      <c r="F29" s="199" t="s">
        <v>346</v>
      </c>
      <c r="G29" s="110">
        <f>SUMIFS(Overview!F:F, Overview!A:A, "*•*") + SUMIFS(Overview!F:F, Overview!A:A, "*◆*") + SUMIFS(Overview!F:F, Overview!A:A, "*■*")</f>
        <v>1161</v>
      </c>
      <c r="I29" s="75"/>
    </row>
    <row r="30">
      <c r="A30" s="227"/>
      <c r="B30" s="227" t="s">
        <v>347</v>
      </c>
      <c r="C30" s="75">
        <f>C29*1.2</f>
        <v>63.6</v>
      </c>
      <c r="D30" s="241"/>
      <c r="E30" s="102"/>
      <c r="F30" s="199" t="s">
        <v>348</v>
      </c>
      <c r="G30" s="248">
        <f t="array" ref="G30">INDEX(Overview!F:G, MATCH("⚑", Overview!A:A, 0), 1)</f>
        <v>232200</v>
      </c>
      <c r="I30" s="102"/>
    </row>
    <row r="31">
      <c r="A31" s="227"/>
      <c r="B31" s="227" t="s">
        <v>349</v>
      </c>
      <c r="C31" s="75">
        <f>C29*0.5</f>
        <v>26.5</v>
      </c>
      <c r="D31" s="241"/>
      <c r="E31" s="102"/>
      <c r="F31" s="204"/>
      <c r="G31" s="204"/>
      <c r="H31" s="102"/>
      <c r="I31" s="102"/>
    </row>
    <row r="32">
      <c r="A32" s="102"/>
      <c r="B32" s="227" t="s">
        <v>350</v>
      </c>
      <c r="C32" s="249">
        <f>C39/C44</f>
        <v>0.178412132</v>
      </c>
      <c r="D32" s="241" t="s">
        <v>351</v>
      </c>
      <c r="E32" s="102"/>
      <c r="F32" s="102"/>
      <c r="G32" s="203"/>
      <c r="H32" s="102"/>
      <c r="I32" s="102"/>
    </row>
    <row r="33">
      <c r="A33" s="102"/>
      <c r="B33" s="227" t="s">
        <v>352</v>
      </c>
      <c r="C33" s="249">
        <f>C41/C44</f>
        <v>0</v>
      </c>
      <c r="D33" s="241" t="s">
        <v>353</v>
      </c>
      <c r="E33" s="102"/>
      <c r="F33" s="102"/>
      <c r="G33" s="203"/>
      <c r="H33" s="102"/>
      <c r="I33" s="102"/>
    </row>
    <row r="34">
      <c r="A34" s="102"/>
      <c r="B34" s="102"/>
      <c r="C34" s="102"/>
      <c r="D34" s="102"/>
      <c r="E34" s="102"/>
      <c r="F34" s="102"/>
      <c r="G34" s="203"/>
      <c r="H34" s="102"/>
      <c r="I34" s="102"/>
    </row>
    <row r="35">
      <c r="A35" s="102"/>
      <c r="B35" s="102"/>
      <c r="C35" s="102"/>
      <c r="D35" s="102"/>
      <c r="E35" s="102"/>
      <c r="F35" s="102"/>
      <c r="G35" s="203"/>
      <c r="H35" s="102"/>
      <c r="I35" s="102"/>
    </row>
    <row r="36">
      <c r="A36" s="250" t="s">
        <v>142</v>
      </c>
      <c r="B36" s="251" t="s">
        <v>354</v>
      </c>
      <c r="C36" s="252"/>
      <c r="D36" s="252"/>
      <c r="E36" s="216"/>
      <c r="F36" s="251" t="s">
        <v>355</v>
      </c>
      <c r="G36" s="253"/>
      <c r="H36" s="252"/>
      <c r="I36" s="252"/>
    </row>
    <row r="37">
      <c r="A37" s="254"/>
      <c r="B37" s="254" t="str">
        <f>IFERROR(__xludf.DUMMYFUNCTION("LET(
  square_row, MATCH(""■"", Overview!A:A, 0) - 1,
  valid_range, SEQUENCE(square_row),
  raw_calcs, QUERY(
    ARRAYFORMULA({
      IF(INDIRECT(""Overview!I1:I""&amp;square_row) = """", ""Unassigned"", INDIRECT(""Overview!I1:I""&amp;square_row)),
      IF(
  "&amp;"      REGEXMATCH(INDIRECT(""Overview!A1:A""&amp;square_row), ""•""),
        0,
        IF(
          REGEXMATCH(INDIRECT(""Overview!A1:A""&amp;square_row), ""◆""),
          INDIRECT(""Overview!F1:F""&amp;square_row),
          (INDIRECT(""Overview!F1:F""&amp;square_row"&amp;") + INDIRECT(""Overview!G1:G""&amp;square_row))/2
        )
      )
    }),
    ""select Col1, sum(Col2) 
     where Col1 is not null 
     and Col2 is not null 
     group by Col1 
     label Col1 'Function', sum(Col2) 'Hours'"",
    0
  ),
  functions, {""F"&amp;"unction"", ""Hours""; 
              ""Consulting"", IFERROR(VLOOKUP(""Consulting"", raw_calcs, 2, FALSE), 0);
              ""Development"", IFERROR(VLOOKUP(""Development"", raw_calcs, 2, FALSE), 0);
              ""Project Management"", IFERROR(VLOOKUP("&amp;"""Project Management"", raw_calcs, 2, FALSE), 0);
              ""Solutions Engineering"", IFERROR(VLOOKUP(""Solutions Engineering"", raw_calcs, 2, FALSE), 0);
              ""Strategy"", IFERROR(VLOOKUP(""Strategy"", raw_calcs, 2, FALSE), 0);
           "&amp;"   ""Unassigned"", IFERROR(VLOOKUP(""Unassigned"", raw_calcs, 2, FALSE), 0)},
  functions
)"),"Function")</f>
        <v>Function</v>
      </c>
      <c r="C37" s="255" t="str">
        <f>IFERROR(__xludf.DUMMYFUNCTION("""COMPUTED_VALUE"""),"Hours")</f>
        <v>Hours</v>
      </c>
      <c r="D37" s="256" t="s">
        <v>356</v>
      </c>
      <c r="E37" s="102"/>
      <c r="F37" s="203" t="str">
        <f>IFERROR(__xludf.DUMMYFUNCTION("QUERY(
  Overview!A7:F58, 
  ""select B, F where (A = '•' or A = '◆' or A = '■') and B is not null""
)"),"Requirements + Solutioning Workshops")</f>
        <v>Requirements + Solutioning Workshops</v>
      </c>
      <c r="G37" s="257">
        <f>IFERROR(__xludf.DUMMYFUNCTION("""COMPUTED_VALUE"""),150.0)</f>
        <v>150</v>
      </c>
      <c r="H37" s="102"/>
      <c r="I37" s="102"/>
    </row>
    <row r="38">
      <c r="A38" s="258"/>
      <c r="B38" s="258" t="str">
        <f>IFERROR(__xludf.DUMMYFUNCTION("""COMPUTED_VALUE"""),"Consulting")</f>
        <v>Consulting</v>
      </c>
      <c r="C38" s="259">
        <f>IFERROR(__xludf.DUMMYFUNCTION("""COMPUTED_VALUE"""),0.0)</f>
        <v>0</v>
      </c>
      <c r="D38" s="224">
        <v>0.2</v>
      </c>
      <c r="E38" s="102"/>
      <c r="F38" s="203" t="str">
        <f>IFERROR(__xludf.DUMMYFUNCTION("""COMPUTED_VALUE"""),"HubSpot Configuration - Data Model, Users, and Permissions")</f>
        <v>HubSpot Configuration - Data Model, Users, and Permissions</v>
      </c>
      <c r="G38" s="257">
        <f>IFERROR(__xludf.DUMMYFUNCTION("""COMPUTED_VALUE"""),25.0)</f>
        <v>25</v>
      </c>
      <c r="H38" s="102"/>
      <c r="I38" s="102"/>
    </row>
    <row r="39">
      <c r="A39" s="258"/>
      <c r="B39" s="258" t="str">
        <f>IFERROR(__xludf.DUMMYFUNCTION("""COMPUTED_VALUE"""),"Development")</f>
        <v>Development</v>
      </c>
      <c r="C39" s="259">
        <f>IFERROR(__xludf.DUMMYFUNCTION("""COMPUTED_VALUE"""),200.0)</f>
        <v>200</v>
      </c>
      <c r="D39" s="224">
        <f t="shared" ref="D39:D43" si="2">C39/$C$44</f>
        <v>0.178412132</v>
      </c>
      <c r="E39" s="102"/>
      <c r="F39" s="203" t="str">
        <f>IFERROR(__xludf.DUMMYFUNCTION("""COMPUTED_VALUE"""),"Data Migration")</f>
        <v>Data Migration</v>
      </c>
      <c r="G39" s="257">
        <f>IFERROR(__xludf.DUMMYFUNCTION("""COMPUTED_VALUE"""),50.0)</f>
        <v>50</v>
      </c>
      <c r="H39" s="102"/>
      <c r="I39" s="102"/>
    </row>
    <row r="40">
      <c r="A40" s="258"/>
      <c r="B40" s="258" t="str">
        <f>IFERROR(__xludf.DUMMYFUNCTION("""COMPUTED_VALUE"""),"Project Management")</f>
        <v>Project Management</v>
      </c>
      <c r="C40" s="259">
        <f>IFERROR(__xludf.DUMMYFUNCTION("""COMPUTED_VALUE"""),130.0)</f>
        <v>130</v>
      </c>
      <c r="D40" s="224">
        <f t="shared" si="2"/>
        <v>0.1159678858</v>
      </c>
      <c r="E40" s="102"/>
      <c r="F40" s="203" t="str">
        <f>IFERROR(__xludf.DUMMYFUNCTION("""COMPUTED_VALUE"""),"HubSpot Implementation - SalesHub")</f>
        <v>HubSpot Implementation - SalesHub</v>
      </c>
      <c r="G40" s="257">
        <f>IFERROR(__xludf.DUMMYFUNCTION("""COMPUTED_VALUE"""),133.0)</f>
        <v>133</v>
      </c>
      <c r="H40" s="102"/>
      <c r="I40" s="102"/>
    </row>
    <row r="41">
      <c r="A41" s="258"/>
      <c r="B41" s="258" t="str">
        <f>IFERROR(__xludf.DUMMYFUNCTION("""COMPUTED_VALUE"""),"Solutions Engineering")</f>
        <v>Solutions Engineering</v>
      </c>
      <c r="C41" s="259">
        <f>IFERROR(__xludf.DUMMYFUNCTION("""COMPUTED_VALUE"""),0.0)</f>
        <v>0</v>
      </c>
      <c r="D41" s="224">
        <f t="shared" si="2"/>
        <v>0</v>
      </c>
      <c r="E41" s="102"/>
      <c r="F41" s="203" t="str">
        <f>IFERROR(__xludf.DUMMYFUNCTION("""COMPUTED_VALUE"""),"B2C Sales Team Process Optimization")</f>
        <v>B2C Sales Team Process Optimization</v>
      </c>
      <c r="G41" s="257">
        <f>IFERROR(__xludf.DUMMYFUNCTION("""COMPUTED_VALUE"""),95.0)</f>
        <v>95</v>
      </c>
      <c r="H41" s="102"/>
      <c r="I41" s="102"/>
    </row>
    <row r="42">
      <c r="A42" s="258"/>
      <c r="B42" s="258" t="str">
        <f>IFERROR(__xludf.DUMMYFUNCTION("""COMPUTED_VALUE"""),"Strategy")</f>
        <v>Strategy</v>
      </c>
      <c r="C42" s="259">
        <f>IFERROR(__xludf.DUMMYFUNCTION("""COMPUTED_VALUE"""),0.0)</f>
        <v>0</v>
      </c>
      <c r="D42" s="224">
        <f t="shared" si="2"/>
        <v>0</v>
      </c>
      <c r="E42" s="102"/>
      <c r="F42" s="203" t="str">
        <f>IFERROR(__xludf.DUMMYFUNCTION("""COMPUTED_VALUE"""),"Self-Serve Checkout Implementation")</f>
        <v>Self-Serve Checkout Implementation</v>
      </c>
      <c r="G42" s="257">
        <f>IFERROR(__xludf.DUMMYFUNCTION("""COMPUTED_VALUE"""),60.0)</f>
        <v>60</v>
      </c>
      <c r="H42" s="102"/>
      <c r="I42" s="102"/>
    </row>
    <row r="43">
      <c r="A43" s="258"/>
      <c r="B43" s="258" t="str">
        <f>IFERROR(__xludf.DUMMYFUNCTION("""COMPUTED_VALUE"""),"Unassigned")</f>
        <v>Unassigned</v>
      </c>
      <c r="C43" s="259">
        <f>IFERROR(__xludf.DUMMYFUNCTION("""COMPUTED_VALUE"""),791.0)</f>
        <v>791</v>
      </c>
      <c r="D43" s="224">
        <f t="shared" si="2"/>
        <v>0.7056199822</v>
      </c>
      <c r="E43" s="102"/>
      <c r="F43" s="203" t="str">
        <f>IFERROR(__xludf.DUMMYFUNCTION("""COMPUTED_VALUE"""),"Transactional Email Migration")</f>
        <v>Transactional Email Migration</v>
      </c>
      <c r="G43" s="257">
        <f>IFERROR(__xludf.DUMMYFUNCTION("""COMPUTED_VALUE"""),20.0)</f>
        <v>20</v>
      </c>
      <c r="H43" s="102"/>
      <c r="I43" s="102"/>
    </row>
    <row r="44">
      <c r="A44" s="199"/>
      <c r="B44" s="199" t="s">
        <v>357</v>
      </c>
      <c r="C44" s="259">
        <f>sum(C38:C43)</f>
        <v>1121</v>
      </c>
      <c r="D44" s="75"/>
      <c r="E44" s="102"/>
      <c r="F44" s="203" t="str">
        <f>IFERROR(__xludf.DUMMYFUNCTION("""COMPUTED_VALUE"""),"Repair Requests Process Implementation")</f>
        <v>Repair Requests Process Implementation</v>
      </c>
      <c r="G44" s="257">
        <f>IFERROR(__xludf.DUMMYFUNCTION("""COMPUTED_VALUE"""),120.0)</f>
        <v>120</v>
      </c>
      <c r="H44" s="102"/>
      <c r="I44" s="102"/>
    </row>
    <row r="45">
      <c r="A45" s="102"/>
      <c r="B45" s="102"/>
      <c r="C45" s="260"/>
      <c r="D45" s="102"/>
      <c r="E45" s="102"/>
      <c r="F45" s="203" t="str">
        <f>IFERROR(__xludf.DUMMYFUNCTION("""COMPUTED_VALUE"""),"Dealership Portal Implementation")</f>
        <v>Dealership Portal Implementation</v>
      </c>
      <c r="G45" s="257">
        <f>IFERROR(__xludf.DUMMYFUNCTION("""COMPUTED_VALUE"""),120.0)</f>
        <v>120</v>
      </c>
      <c r="H45" s="102"/>
      <c r="I45" s="102"/>
    </row>
    <row r="46">
      <c r="A46" s="102"/>
      <c r="B46" s="102"/>
      <c r="C46" s="260"/>
      <c r="D46" s="102"/>
      <c r="E46" s="102"/>
      <c r="F46" s="102" t="str">
        <f>IFERROR(__xludf.DUMMYFUNCTION("""COMPUTED_VALUE"""),"Planholder Portal Implementation")</f>
        <v>Planholder Portal Implementation</v>
      </c>
      <c r="G46" s="257">
        <f>IFERROR(__xludf.DUMMYFUNCTION("""COMPUTED_VALUE"""),80.0)</f>
        <v>80</v>
      </c>
      <c r="H46" s="102"/>
      <c r="I46" s="102"/>
    </row>
    <row r="47">
      <c r="A47" s="261"/>
      <c r="B47" s="261"/>
      <c r="C47" s="262"/>
      <c r="D47" s="102"/>
      <c r="E47" s="102"/>
      <c r="F47" s="102" t="str">
        <f>IFERROR(__xludf.DUMMYFUNCTION("""COMPUTED_VALUE"""),"Training &amp; Documentation")</f>
        <v>Training &amp; Documentation</v>
      </c>
      <c r="G47" s="257">
        <f>IFERROR(__xludf.DUMMYFUNCTION("""COMPUTED_VALUE"""),30.0)</f>
        <v>30</v>
      </c>
      <c r="H47" s="102"/>
      <c r="I47" s="102"/>
    </row>
    <row r="48">
      <c r="A48" s="102"/>
      <c r="B48" s="102"/>
      <c r="C48" s="102"/>
      <c r="D48" s="102"/>
      <c r="E48" s="102"/>
      <c r="F48" s="102" t="str">
        <f>IFERROR(__xludf.DUMMYFUNCTION("""COMPUTED_VALUE"""),"Contingency Hours")</f>
        <v>Contingency Hours</v>
      </c>
      <c r="G48" s="257">
        <f>IFERROR(__xludf.DUMMYFUNCTION("""COMPUTED_VALUE"""),108.0)</f>
        <v>108</v>
      </c>
      <c r="H48" s="102"/>
      <c r="I48" s="102"/>
    </row>
    <row r="49">
      <c r="A49" s="102"/>
      <c r="B49" s="102"/>
      <c r="C49" s="102"/>
      <c r="D49" s="102"/>
      <c r="E49" s="102"/>
      <c r="F49" s="102" t="str">
        <f>IFERROR(__xludf.DUMMYFUNCTION("""COMPUTED_VALUE"""),"Project Management + Strategy")</f>
        <v>Project Management + Strategy</v>
      </c>
      <c r="G49" s="257">
        <f>IFERROR(__xludf.DUMMYFUNCTION("""COMPUTED_VALUE"""),130.0)</f>
        <v>130</v>
      </c>
      <c r="H49" s="102"/>
      <c r="I49" s="102"/>
    </row>
    <row r="50">
      <c r="A50" s="102"/>
      <c r="B50" s="102"/>
      <c r="C50" s="102"/>
      <c r="D50" s="102"/>
      <c r="E50" s="102"/>
      <c r="F50" s="102" t="str">
        <f>IFERROR(__xludf.DUMMYFUNCTION("""COMPUTED_VALUE"""),"NEXT Post-Launch Support")</f>
        <v>NEXT Post-Launch Support</v>
      </c>
      <c r="G50" s="257">
        <f>IFERROR(__xludf.DUMMYFUNCTION("""COMPUTED_VALUE"""),40.0)</f>
        <v>40</v>
      </c>
      <c r="H50" s="102"/>
      <c r="I50" s="102"/>
    </row>
    <row r="51">
      <c r="A51" s="102"/>
      <c r="B51" s="102"/>
      <c r="C51" s="102"/>
      <c r="D51" s="102"/>
      <c r="E51" s="102"/>
      <c r="F51" s="102"/>
      <c r="G51" s="203"/>
      <c r="H51" s="102"/>
      <c r="I51" s="102"/>
    </row>
    <row r="52">
      <c r="A52" s="263"/>
      <c r="B52" s="263"/>
      <c r="C52" s="264"/>
      <c r="D52" s="265"/>
      <c r="E52" s="102"/>
      <c r="F52" s="92"/>
      <c r="G52" s="203"/>
      <c r="H52" s="102"/>
      <c r="I52" s="102"/>
    </row>
    <row r="53">
      <c r="A53" s="246"/>
      <c r="B53" s="246"/>
      <c r="C53" s="266"/>
      <c r="D53" s="267"/>
      <c r="E53" s="102"/>
      <c r="F53" s="102"/>
      <c r="G53" s="203"/>
      <c r="H53" s="102"/>
      <c r="I53" s="102"/>
    </row>
    <row r="54">
      <c r="A54" s="246"/>
      <c r="B54" s="246"/>
      <c r="C54" s="266"/>
      <c r="D54" s="267"/>
      <c r="E54" s="102"/>
      <c r="F54" s="102"/>
      <c r="G54" s="203"/>
      <c r="H54" s="102"/>
      <c r="I54" s="102"/>
    </row>
    <row r="55">
      <c r="A55" s="246"/>
      <c r="B55" s="246"/>
      <c r="C55" s="266"/>
      <c r="D55" s="267"/>
      <c r="E55" s="102"/>
      <c r="F55" s="102"/>
      <c r="G55" s="203"/>
      <c r="H55" s="102"/>
      <c r="I55" s="102"/>
    </row>
    <row r="56">
      <c r="A56" s="246"/>
      <c r="B56" s="246"/>
      <c r="C56" s="266"/>
      <c r="D56" s="267"/>
      <c r="E56" s="102"/>
      <c r="F56" s="102"/>
      <c r="G56" s="203"/>
      <c r="H56" s="102"/>
      <c r="I56" s="102"/>
    </row>
    <row r="57">
      <c r="A57" s="246"/>
      <c r="B57" s="246"/>
      <c r="C57" s="266"/>
      <c r="D57" s="267"/>
      <c r="E57" s="102"/>
      <c r="F57" s="102"/>
      <c r="G57" s="203"/>
      <c r="H57" s="102"/>
      <c r="I57" s="102"/>
    </row>
    <row r="58">
      <c r="E58" s="102"/>
      <c r="F58" s="102"/>
      <c r="G58" s="203"/>
      <c r="H58" s="102"/>
      <c r="I58" s="102"/>
    </row>
  </sheetData>
  <mergeCells count="4">
    <mergeCell ref="B1:C1"/>
    <mergeCell ref="D1:F1"/>
    <mergeCell ref="G29:H29"/>
    <mergeCell ref="G30:H30"/>
  </mergeCells>
  <dataValidations>
    <dataValidation type="list" allowBlank="1" showErrorMessage="1" sqref="C6:C7">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63"/>
    <col customWidth="1" min="2" max="10" width="20.75"/>
  </cols>
  <sheetData>
    <row r="1" ht="52.5" customHeight="1">
      <c r="A1" s="151"/>
      <c r="B1" s="151" t="s">
        <v>358</v>
      </c>
      <c r="C1" s="2"/>
      <c r="D1" s="2"/>
      <c r="E1" s="2"/>
      <c r="F1" s="151"/>
      <c r="G1" s="151"/>
      <c r="H1" s="151"/>
      <c r="I1" s="151"/>
      <c r="J1" s="151"/>
    </row>
    <row r="2">
      <c r="B2" s="179"/>
    </row>
    <row r="4">
      <c r="A4" s="70" t="s">
        <v>14</v>
      </c>
      <c r="B4" s="71" t="s">
        <v>359</v>
      </c>
      <c r="C4" s="72"/>
      <c r="D4" s="72"/>
      <c r="E4" s="72"/>
      <c r="F4" s="18">
        <f>IFERROR(__xludf.DUMMYFUNCTION("ROUNDUP(
  (
    SUM(
      INDIRECT(
        ""F""&amp;(ROW()+1)&amp;"":F""&amp;
        IFERROR(
          INDEX(
            FILTER(
              ROW(A:A),
              REGEXMATCH(A:A, ""^[•◆■※⊳]""),
              ROW(A:A) &gt; ROW()
            ),
            1
  "&amp;"        )-1,
          999
        )
      )
    )+
    SUM(
      INDIRECT(
        ""G""&amp;(ROW()+1)&amp;"":G""&amp;
        IFERROR(
          INDEX(
            FILTER(
              ROW(A:A),
              REGEXMATCH(A:A, ""^[•◆■※⊳]""),
              ROW(A:A) "&amp;"&gt; ROW()
            ),
            1
          )-1,
          999
        )
      )
    )
  )/2
)"),23.0)</f>
        <v>23</v>
      </c>
      <c r="H4" s="180" t="s">
        <v>78</v>
      </c>
      <c r="I4" s="74"/>
      <c r="J4" s="74"/>
    </row>
    <row r="5" outlineLevel="1">
      <c r="A5" s="85"/>
      <c r="B5" s="91" t="s">
        <v>360</v>
      </c>
      <c r="C5" s="92" t="s">
        <v>360</v>
      </c>
      <c r="D5" s="92" t="s">
        <v>360</v>
      </c>
      <c r="E5" s="92" t="s">
        <v>360</v>
      </c>
      <c r="F5" s="93">
        <v>5.0</v>
      </c>
      <c r="G5" s="93">
        <v>10.0</v>
      </c>
      <c r="H5" s="85"/>
      <c r="I5" s="94"/>
      <c r="J5" s="85"/>
    </row>
    <row r="6" outlineLevel="1">
      <c r="A6" s="85"/>
      <c r="B6" s="91" t="s">
        <v>360</v>
      </c>
      <c r="C6" s="92" t="s">
        <v>360</v>
      </c>
      <c r="D6" s="92" t="s">
        <v>360</v>
      </c>
      <c r="E6" s="92" t="s">
        <v>360</v>
      </c>
      <c r="F6" s="93">
        <v>5.0</v>
      </c>
      <c r="G6" s="93">
        <v>10.0</v>
      </c>
      <c r="H6" s="85"/>
      <c r="I6" s="94"/>
      <c r="J6" s="85"/>
    </row>
    <row r="7" outlineLevel="1">
      <c r="A7" s="85"/>
      <c r="B7" s="91" t="s">
        <v>360</v>
      </c>
      <c r="C7" s="92" t="s">
        <v>360</v>
      </c>
      <c r="D7" s="92" t="s">
        <v>360</v>
      </c>
      <c r="E7" s="92" t="s">
        <v>360</v>
      </c>
      <c r="F7" s="93">
        <v>5.0</v>
      </c>
      <c r="G7" s="93">
        <v>10.0</v>
      </c>
      <c r="H7" s="85"/>
      <c r="I7" s="94"/>
      <c r="J7" s="85"/>
    </row>
    <row r="8">
      <c r="I8" s="75"/>
    </row>
    <row r="12">
      <c r="A12" s="95" t="s">
        <v>361</v>
      </c>
      <c r="B12" s="71" t="s">
        <v>362</v>
      </c>
      <c r="C12" s="268"/>
      <c r="D12" s="268"/>
      <c r="E12" s="268"/>
      <c r="F12" s="95">
        <f>IFERROR(__xludf.DUMMYFUNCTION("ROUNDUP(
  (
    SUM(
      INDIRECT(
        ""F""&amp;(ROW()+1)&amp;"":F""&amp;
        IFERROR(
          INDEX(
            FILTER(
              ROW(A:A),
              REGEXMATCH(A:A, ""^[•◆■※⊳]""),
              ROW(A:A) &gt; ROW()
            ),
            1
  "&amp;"        )-1,
          999
        )
      )
    )+
    SUM(
      INDIRECT(
        ""G""&amp;(ROW()+1)&amp;"":G""&amp;
        IFERROR(
          INDEX(
            FILTER(
              ROW(A:A),
              REGEXMATCH(A:A, ""^[•◆■※⊳]""),
              ROW(A:A) "&amp;"&gt; ROW()
            ),
            1
          )-1,
          999
        )
      )
    )
  )/2
)"),30.0)</f>
        <v>30</v>
      </c>
      <c r="H12" s="73" t="s">
        <v>78</v>
      </c>
      <c r="I12" s="269"/>
      <c r="J12" s="270"/>
    </row>
    <row r="13" outlineLevel="1">
      <c r="A13" s="13"/>
      <c r="B13" s="91" t="s">
        <v>360</v>
      </c>
      <c r="C13" s="92" t="s">
        <v>360</v>
      </c>
      <c r="D13" s="92" t="s">
        <v>360</v>
      </c>
      <c r="E13" s="92" t="s">
        <v>360</v>
      </c>
      <c r="F13" s="93">
        <v>10.0</v>
      </c>
      <c r="G13" s="93">
        <v>10.0</v>
      </c>
      <c r="H13" s="13"/>
      <c r="I13" s="94"/>
      <c r="J13" s="13"/>
    </row>
    <row r="14" outlineLevel="1">
      <c r="A14" s="13"/>
      <c r="B14" s="91" t="s">
        <v>360</v>
      </c>
      <c r="C14" s="92" t="s">
        <v>360</v>
      </c>
      <c r="D14" s="92" t="s">
        <v>360</v>
      </c>
      <c r="E14" s="92" t="s">
        <v>360</v>
      </c>
      <c r="F14" s="93">
        <v>10.0</v>
      </c>
      <c r="G14" s="93">
        <v>10.0</v>
      </c>
      <c r="H14" s="13"/>
      <c r="I14" s="94"/>
      <c r="J14" s="13"/>
    </row>
    <row r="15" outlineLevel="1">
      <c r="A15" s="13"/>
      <c r="B15" s="91" t="s">
        <v>360</v>
      </c>
      <c r="C15" s="92" t="s">
        <v>360</v>
      </c>
      <c r="D15" s="92" t="s">
        <v>360</v>
      </c>
      <c r="E15" s="92" t="s">
        <v>360</v>
      </c>
      <c r="F15" s="93">
        <v>10.0</v>
      </c>
      <c r="G15" s="93">
        <v>10.0</v>
      </c>
      <c r="H15" s="13"/>
      <c r="I15" s="94"/>
      <c r="J15" s="13"/>
    </row>
    <row r="16">
      <c r="A16" s="123"/>
      <c r="B16" s="123"/>
      <c r="C16" s="123"/>
      <c r="D16" s="123"/>
      <c r="E16" s="143"/>
      <c r="F16" s="144"/>
      <c r="G16" s="144"/>
      <c r="H16" s="145"/>
      <c r="I16" s="110"/>
      <c r="J16" s="31"/>
    </row>
  </sheetData>
  <mergeCells count="2">
    <mergeCell ref="F4:G4"/>
    <mergeCell ref="F12:G12"/>
  </mergeCells>
  <dataValidations>
    <dataValidation type="list" allowBlank="1" showErrorMessage="1" sqref="H4 H12">
      <formula1>"High,Standard,Low"</formula1>
    </dataValidation>
    <dataValidation type="list" allowBlank="1" showErrorMessage="1" sqref="I5:I7">
      <formula1>"Consulting,Development,Project Management,Solutions Engineering,Strategy"</formula1>
    </dataValidation>
  </dataValidations>
  <drawing r:id="rId1"/>
</worksheet>
</file>