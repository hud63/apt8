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onfig" sheetId="2" r:id="rId5"/>
    <sheet state="visible" name="Calculations" sheetId="3" r:id="rId6"/>
  </sheets>
  <definedNames/>
  <calcPr/>
</workbook>
</file>

<file path=xl/sharedStrings.xml><?xml version="1.0" encoding="utf-8"?>
<sst xmlns="http://schemas.openxmlformats.org/spreadsheetml/2006/main" count="232" uniqueCount="201">
  <si>
    <t>Display</t>
  </si>
  <si>
    <t>Workstream</t>
  </si>
  <si>
    <t>Service_Title</t>
  </si>
  <si>
    <t>Customer_Story</t>
  </si>
  <si>
    <t>Suggested_Path</t>
  </si>
  <si>
    <t>Assumptions</t>
  </si>
  <si>
    <t>Estimated_Low_Hours</t>
  </si>
  <si>
    <t>Estimated_High_Hours</t>
  </si>
  <si>
    <t>Contracted_Hours</t>
  </si>
  <si>
    <t>Requires_Clarification</t>
  </si>
  <si>
    <t>Function</t>
  </si>
  <si>
    <t>Library_ID</t>
  </si>
  <si>
    <t>Project_ID</t>
  </si>
  <si>
    <t>Internal_Notes</t>
  </si>
  <si>
    <t>Task_Link</t>
  </si>
  <si>
    <t>Now</t>
  </si>
  <si>
    <t>Mobilization</t>
  </si>
  <si>
    <t xml:space="preserve">Project Setup
</t>
  </si>
  <si>
    <t>As a project team and client stakeholders, we want to align on project scope, timeline, deliverables, and stakeholders so that the project begins with shared clarity, expectations, and the right people involved.</t>
  </si>
  <si>
    <t>Internal alignment session with Aptitude 8 delivery team to review sales conversations, reverse demo findings, and audit results
External kickoff with Katie Macer, Director of Customer Experience, Senior Marketing Specialist, and key sales leadership (VP North America Sales, VP Technology Sales, Director Technology Sales, Chairman of the Board)
Review organizational structure across regions (North America, Australia, Chile, Peru, Brazil, Southern Africa)
Stakeholder mapping across 6 regional sales managers and 10+ total management levels
Confirm access to key systems: HubSpot (Sales Enterprise, Service Professional/Enterprise, Marketing), Infor Syteline ERP documentation</t>
  </si>
  <si>
    <t>Includes one internal alignment session and one external kickoff
Client to provide NDA (already signed), ERP documentation, and any existing process documentation
Stakeholder mapping covers regional managers and business unit leaders
Excludes extensive role-based training during discovery phase</t>
  </si>
  <si>
    <t>Consulting</t>
  </si>
  <si>
    <t>Technical Assessment</t>
  </si>
  <si>
    <t xml:space="preserve">HubSpot Portal Audit </t>
  </si>
  <si>
    <t>As a technical consultant, I want to conduct a high-level HubSpot audit to determine current feature usage so that we understand existing portal capabilities and utilization.</t>
  </si>
  <si>
    <t>Targeted deep dive into:
Deal pipeline architecture and stage progression logic
Ticket-to-Deal association workflows (quote request process)
Conditional property dependencies per product line
Custom object usage for draglines, haul trucks, shovels
Association labels and relationship mapping
Mobile optimization opportunities</t>
  </si>
  <si>
    <t>Super Admin access already granted
Focus on sales and service hubs given minimal marketing maturity
Review existing workflows for optimization opportunities vs. complete rebuild
Document current state for comparison to future state recommendations</t>
  </si>
  <si>
    <t>Development</t>
  </si>
  <si>
    <t xml:space="preserve">Data Quality &amp; Structure Assessment
</t>
  </si>
  <si>
    <t>As a data analyst, I want to assess current data quality and structure so that we can identify cleansing and migration requirements prior to ERP integration.</t>
  </si>
  <si>
    <t>Analyze deal data across 16 pipelines for consistency, required properties, and stage progression patterns
Review company/contact association quality and customer classification (A/B/C/D tiers)
Assess custom object data completeness (draglines database from third-party source)
Evaluate target account usage and ICP definition gaps
Review lifecycle stage alignment across 8 stages
Identify duplicate records and data hygiene issues
Map critical fields that will need to sync with Infor Syteline Cloud</t>
  </si>
  <si>
    <t>Focus on sales and service data quality given business priority
Review sample of deals across different pipelines and regions
Client to provide ERP field mapping documentation when available
Recommendations for data cleanse prior to integration project
Excludes full data cleanse execution (can be scoped separately)</t>
  </si>
  <si>
    <t xml:space="preserve">Integration Architecture Review
</t>
  </si>
  <si>
    <t>As a sales operations leader, I want to understand integration options between HubSpot and our future Infor Syteline Cloud ERP so that we can plan for seamless data flow and reduce manual processes.</t>
  </si>
  <si>
    <t>Document current manual processes between systems (quote generation, order entry, invoicing)
Review Infor Syteline Cloud API capabilities and integration readiness
Identify critical data sync requirements (orders, quotes, customer data, pricing tiers)
Evaluate middleware options (native HubSpot integration, iPaaS solutions)
Define integration priorities aligned with 2026 ERP upgrade timeline
Map current state manual workflows vs. future state integrated workflows</t>
  </si>
  <si>
    <t>Infor Syteline Cloud upgrade timeline confirmed by client
Client to provide ERP system documentation and API specifications
Integration build-out will be separate project post-optimization
Focus on planning and requirements gathering during assessment
Assumes standard REST API availability from Infor Syteline</t>
  </si>
  <si>
    <t>Process Discovery &amp; Documentation</t>
  </si>
  <si>
    <t xml:space="preserve">Sales Process Mapping by Product Line
</t>
  </si>
  <si>
    <t>As a sales leader, I want to document our distinct sales processes for each product line so that we can optimize HubSpot to support our actual selling motions rather than generic deal stages.</t>
  </si>
  <si>
    <t xml:space="preserve">Repair Business (core, high volume, quick turnaround)
Technology Products (Aardvark, Dragline Shovels, Haul Trucks, Wisdom - long cycle)
Field Service, Distribution, Storage (varied complexity)
Cross-functional Process Documentation
</t>
  </si>
  <si>
    <t>Includes interviews with sales managers across key regions
Focus on 3-4 primary product lines given resource constraints
Client to provide sample opportunities at various stages
Excludes formal documentation; focus on practical HubSpot configuration
Sessions conducted virtually given distributed team</t>
  </si>
  <si>
    <t xml:space="preserve">Service &amp; Support Process Discovery
</t>
  </si>
  <si>
    <t>As a customer experience leader, I want to document our customer service workflows so that we can determine whether HubSpot Service Hub is the right tool or if we need alternative solutions.</t>
  </si>
  <si>
    <t>Review current ticket pipeline usage (Legal, Bids, Distribution Quotes, Repair Quotes, Claims, etc.)
Analyze shared inbox workflows (quoting@flandersinc.com)
Document internal ticketing vs. external customer service distinction
Evaluate customer portal usage and customer self-service opportunities
Review NPS survey program and feedback loop processes
Assess knowledge base utilization and content strategy</t>
  </si>
  <si>
    <t>Includes interview with Director of Customer Experience
Review of Service Hub professional/enterprise feature utilization
Focus on determining optimal use cases vs. misuse of Help Desk for internal workflows
Recommendations may include alternative internal tools for operations coordination
Customer portal review limited to current state assessment</t>
  </si>
  <si>
    <t xml:space="preserve">Marketing Process &amp; Lead Flow Assessment
</t>
  </si>
  <si>
    <t>As a marketing specialist, I want to understand how marketing can better support our account-based selling motion and leverage HubSpot capabilities despite limited resources.</t>
  </si>
  <si>
    <t>Review current marketing asset creation and campaign execution (1-person team)
Assess lead sources and lead flow (note: minimal inbound, relationship-driven business)
Evaluate form strategy and trade show lead capture processes
Review email marketing and sequence programs
Analyze landing page performance and content strategy
Assess marketing event tracking and campaign attribution
Explore marketing agency coordination and collaboration needs</t>
  </si>
  <si>
    <t>Single marketing specialist as primary stakeholder
Focus on practical quick wins vs. comprehensive marketing transformation
Recognize relationship-driven business model with limited inbound lead generation
Marketing recommendations aligned with account-based approach
Coordinate with marketing agency partner where applicable</t>
  </si>
  <si>
    <t>Reporting &amp; Analytics Strategy</t>
  </si>
  <si>
    <t xml:space="preserve">Executive Dashboard Development
</t>
  </si>
  <si>
    <t>As the CEO and executive team, we want consolidated visibility into sales performance across regions and product lines so that we can make data-driven decisions as we scale the business.</t>
  </si>
  <si>
    <t>Define key metrics by business unit (Repair, Field Service, Technology)
Design CEO dashboard with consistent reporting across international operations
Create regional performance dashboards for sales managers
Build pipeline health and forecast accuracy reports
Develop customer engagement and account health scoring
Design activity-based reports (in-person meetings, calls, touchpoints by customer tier)
Create quota attainment and rep performance views</t>
  </si>
  <si>
    <t>Leverage existing quarterly review report structure as foundation
Includes mock-ups of 3-5 key dashboards
Focus on actionable metrics vs. vanity metrics
Client to confirm data availability for historical trending
Excludes complex revenue attribution modeling in initial phase</t>
  </si>
  <si>
    <t xml:space="preserve">Sales Activity &amp; Pipeline Management Reporting
</t>
  </si>
  <si>
    <t>As a sales manager, I want visibility into rep activity and pipeline health so that I can coach my team and forecast accurately in our long sales cycles.</t>
  </si>
  <si>
    <t>Design activity tracking for field-based sales team (meetings, calls, site visits)
Create pipeline velocity reports by product line
Build deal age and stagnation alerts
Develop forecast vs. actual analysis
Design customer tiering and target account engagement reports
Create quote turnaround time and bottleneck identification reports</t>
  </si>
  <si>
    <t>Leverage existing deal count and revenue forecast reports as starting point
Design for mobile visibility given field sales team
Focus on leading indicators appropriate for multi-year sales cycles
Includes recommendations for sales process improvements based on data
Client to define acceptable activity thresholds by customer tier</t>
  </si>
  <si>
    <t>Optimization Recommendations</t>
  </si>
  <si>
    <t xml:space="preserve">Sales Hub Configuration Strategy
</t>
  </si>
  <si>
    <t>As a sales operations manager, I want a clear roadmap for optimizing our deal pipelines, properties, and automation so that HubSpot truly supports our field sales team rather than creating administrative burden.</t>
  </si>
  <si>
    <t>Pipeline Architecture Recommendations
Evaluate 16 pipeline structure (regional vs. product-based)
Recommend consolidation opportunities while preserving regional nuances
Design stage progression logic and probability mapping
Define required vs. optional properties by pipeline/stage
Property Optimization
Audit 822 deal properties for utilization and relevance
Recommend property rationalization and archiving strategy
Design conditional property logic for mobile-friendly data collection
Create property governance and naming conventions
Automation Strategy
Design playbooks for quote request submissions
Build automated task routing to quoting team
Create stage progression workflows with appropriate triggers
Develop notification and escalation automations
Design target account engagement sequences
Mobile Optimization
Recommend mobile app configuration for field sales
Design simplified deal creation process
Create mobile-friendly views and dashboards
Develop voice note and photo attachment workflows</t>
  </si>
  <si>
    <t>Recommendations based on best practices for complex B2B sales
Prioritized roadmap (quick wins vs. long-term enhancements)
Change management considerations given sales team resistance to complexity
Focus on reducing manual data entry while maintaining data quality
Includes mock-ups of key workflow examples</t>
  </si>
  <si>
    <t xml:space="preserve">Service Hub Optimization Strategy
</t>
  </si>
  <si>
    <t xml:space="preserve">As an operations leader, I want to determine the right use of Service Hub for external customer service vs. finding alternative solutions for internal coordination so that we stop misusing ticketing for operations workflows.
</t>
  </si>
  <si>
    <t>Service Hub Appropriate Use Cases
External customer inquiries and support requests
Claims management and resolution tracking
Customer portal optimization
NPS program enhancement and feedback loop closure
Knowledge base content strategy
Internal Workflow Alternative Recommendations
Evaluate quote request workflow alternatives (form-based, CRM card solutions)
Recommend tools for operations/quoting/sales coordination
Design cross-functional communication protocols
Explore project management tool integration for engineering involvement
Customer Experience Enhancement
Design improved customer journey mapping
Create proactive service workflows
Build customer health scoring
Develop retention and expansion playbooks</t>
  </si>
  <si>
    <t>Recognize current misuse of Help Desk for internal operations
Recommendations may include non-HubSpot tools for internal processes
Focus on customer-facing service excellence
Includes evaluation of Service Hub tier (Professional vs. Enterprise features)
Client to confirm budget for additional tools if recommended</t>
  </si>
  <si>
    <t xml:space="preserve">Marketing Hub Quick Wins Strategy
</t>
  </si>
  <si>
    <t>As a marketing specialist with limited resources, I want practical recommendations for leveraging HubSpot Marketing Hub to support our account-based selling motion and improve sales enablement.</t>
  </si>
  <si>
    <t>Account-Based Marketing Foundation
Sales Enablement Content
Lead Source &amp; Attribution
Marketing &amp; Sales Agency Collaboration</t>
  </si>
  <si>
    <t>Focus on high-impact, low-effort tactics given 1-person team
Leverage marketing agency for execution support
Realistic expectations for inbound lead generation
Recommendations support long sales cycle nurturing
Includes coordination plan with sales sequences</t>
  </si>
  <si>
    <t>Custom Object Strategy for Equipment Tracking</t>
  </si>
  <si>
    <t>As a technology sales leader, I want to effectively track haul trucks, draglines, and shovels as individual assets so that we can identify cross-sell opportunities and target our selling efforts.</t>
  </si>
  <si>
    <t>Review current custom object structure for draglines (206 records)
Design scalable data model for 20,000+ haul trucks
Create import strategy from third-party databases and spreadsheets
Build association logic to companies, contacts, and deals
Design opportunity identification workflows and scoring
Create playbooks for sales team to update equipment records
Develop equipment-based reporting and account insights</t>
  </si>
  <si>
    <t>Current dragline custom object serves as foundation
Client to provide haul truck and shovel databases
Focus on technology sales team adoption and usability
Includes data import plan but not full execution
Recommendations for ongoing data maintenance and updates</t>
  </si>
  <si>
    <t xml:space="preserve">ERP Integration Readiness Roadmap
</t>
  </si>
  <si>
    <t>As a sales operations manager, I want a clear roadmap for preparing HubSpot for Infor Syteline Cloud integration so that we maximize the value of both systems and eliminate manual data transfer.</t>
  </si>
  <si>
    <t xml:space="preserve">Pre-Integration Data Cleanup
Integration Architecture Design
Process Alignment
</t>
  </si>
  <si>
    <t>Infor Syteline Cloud timeline confirmed for 2026
Client to provide ERP migration plan and API documentation
Integration build separate project following optimization
Focus on requirements and readiness during assessment
Includes high-level integration architecture diagram</t>
  </si>
  <si>
    <t>Strategic Planning &amp; Roadmap</t>
  </si>
  <si>
    <t xml:space="preserve">Prioritized Implementation Roadmap
</t>
  </si>
  <si>
    <t>As a project stakeholder team, we want a clear prioritized roadmap for implementing optimization recommendations so that we can budget appropriately and sequence work for maximum impact.</t>
  </si>
  <si>
    <t>Phase 1: Foundation &amp; Quick Wins (Pre-ERP Integration)
Phase 2: Process Automation &amp; Enhancement (2025 Q4 - 2026 Q1)
Phase 3: ERP Integration &amp; Advanced Features (2026)</t>
  </si>
  <si>
    <t>Roadmap aligned with client budget cycles and ERP timeline
Includes effort estimates and cost ranges for each phase
Prioritization based on ROI and business impact
Flexibility for adjustments based on business changes
Change management and training considerations throughout</t>
  </si>
  <si>
    <t xml:space="preserve">Change Management &amp; Adoption Strategy
</t>
  </si>
  <si>
    <t>As a sales operations manager who has experienced multiple leadership changes, I want a change management plan that will drive adoption and sustain improvements regardless of future organizational changes.</t>
  </si>
  <si>
    <t>Stakeholder Engagement Plan
Executive sponsor alignment and communication
Regional sales manager buy-in strategy
Sales rep training and support approach
Service and marketing team onboarding
Training &amp; Enablement
Role-based training modules (sales, service, operations)
Mobile app training for field sales team
Admin training for Katie and future team members
Create internal documentation and reference guides
Adoption Measurement
Define success metrics and KPIs
Create adoption dashboards and scorecards
Design feedback loops and continuous improvement process
Plan for regular check-ins and optimization cycles</t>
  </si>
  <si>
    <t>Includes change management framework and communication templates
Training plan outline with recommendations for execution
Client responsible for ongoing adoption reinforcement
Aptitude 8 can provide training delivery as separate engagement
Success metrics defined collaboratively with leadership</t>
  </si>
  <si>
    <t>Presentation</t>
  </si>
  <si>
    <t>Executive Presentation Preparation</t>
  </si>
  <si>
    <t>As a strategy consultant, I want to prepare executive presentation so that we effectively communicate findings and recommendations.</t>
  </si>
  <si>
    <t>Summarize insights, quick wins, long-term plan.</t>
  </si>
  <si>
    <t>• Includes one executive-ready slide deck.
• Excludes additional department-level versions.
• Client to confirm final audience.</t>
  </si>
  <si>
    <t xml:space="preserve">Implementation Support </t>
  </si>
  <si>
    <t>Strategy to Delivery Handoff</t>
  </si>
  <si>
    <t>As a delivery team receiving a completed optimization assessment, we want to conduct a comprehensive handoff session with the strategy team and client stakeholders so that we fully understand the current state challenges, strategic recommendations, prioritized roadmap, and client context needed to successfully execute the implementation project.</t>
  </si>
  <si>
    <t xml:space="preserve">Internal Handoff Session (Strategy Team → Delivery Team)
Client Transition Call (Strategy Team + Delivery Team + Client)
Delivery Team Onboarding
</t>
  </si>
  <si>
    <t>Receive complete strategy assessment documentation including technical audit findings, process discovery notes, and optimization recommendations</t>
  </si>
  <si>
    <t>Configuration</t>
  </si>
  <si>
    <t>Value</t>
  </si>
  <si>
    <t>Description</t>
  </si>
  <si>
    <t>HubSpot Property</t>
  </si>
  <si>
    <t>Gdrvie + Deal Inputs</t>
  </si>
  <si>
    <t>Company Name</t>
  </si>
  <si>
    <t>Flanders</t>
  </si>
  <si>
    <t>Client company name for proposals</t>
  </si>
  <si>
    <t>Google Folder</t>
  </si>
  <si>
    <t>https://drive.google.com/drive/folders/1plB3ne9dulMHvuRiGkkuA91iAHs6oM_U</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</si>
  <si>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</si>
  <si>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</si>
  <si>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</si>
  <si>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</si>
  <si>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</si>
  <si>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Client Page</t>
  </si>
  <si>
    <t>Client Page URL</t>
  </si>
  <si>
    <t>https://script.google.com/macros/s/AKfycbzGfZXXrB8GB7kt-FSeTA8sL0Rw3BzaXwifNA9CDpjsqe8NBn4EL159NLqLBYwGjqUw/exec?sheetId=1Q6S47MCBPBi__7_ddV-STx-yXQL5e5L80MiCRCPIUpQ</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</si>
  <si>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</si>
  <si>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</si>
  <si>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</si>
  <si>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</si>
  <si>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</si>
  <si>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</si>
  <si>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</si>
  <si>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Project ID</t>
  </si>
  <si>
    <t>------</t>
  </si>
  <si>
    <t>TBD on usage to facilitate project creation</t>
  </si>
  <si>
    <t>Solutions Architect</t>
  </si>
  <si>
    <t>SA assigned to this project</t>
  </si>
  <si>
    <t>Request Scope Review</t>
  </si>
  <si>
    <t>Future-state functionality incoming</t>
  </si>
  <si>
    <t>Scope Reviewed</t>
  </si>
  <si>
    <t>NOW Project</t>
  </si>
  <si>
    <t>Hourly Project Rate</t>
  </si>
  <si>
    <t>Standard hourly rate for most services</t>
  </si>
  <si>
    <t>project_hourly_rate</t>
  </si>
  <si>
    <t>Project Management Factor</t>
  </si>
  <si>
    <t>Percentage markup for project management</t>
  </si>
  <si>
    <t>Project Management Content</t>
  </si>
  <si>
    <t xml:space="preserve">To support management and communication, a project manager and delivery lead will own all A8 tasks and clearly communicate needs.
- Visibility to budget spend will be provided during the duration of the project
- A8 will provide check-in agenda items and follow-ups
- Flanders to communicate to A8's shared inbox for easier collaboration and timely responses
- Flanders driven delay will result in additional PM time billed to manage timeline
</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</si>
  <si>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</si>
  <si>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</si>
  <si>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</si>
  <si>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</si>
  <si>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</si>
  <si>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</si>
  <si>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</si>
  <si>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</si>
  <si>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</si>
  <si>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</si>
  <si>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</si>
  <si>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</si>
  <si>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</si>
  <si>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</si>
  <si>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</si>
  <si>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</si>
  <si>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</si>
  <si>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Hours dedicated to post go-live support. These hours can be used for anything HubSpot related (reporting, training, iterations, additional asks, etc.)</t>
  </si>
  <si>
    <t>Description text for the post-launch section</t>
  </si>
  <si>
    <t>Additional Notes + Considerations</t>
  </si>
  <si>
    <t>Additional Notes</t>
  </si>
  <si>
    <t>-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</si>
  <si>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</si>
  <si>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</si>
  <si>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</si>
  <si>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</si>
  <si>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</si>
  <si>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</si>
  <si>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</si>
  <si>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</si>
  <si>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</si>
  <si>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</si>
  <si>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</si>
  <si>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</si>
  <si>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</si>
  <si>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</si>
  <si>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</si>
  <si>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</si>
  <si>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</si>
  <si>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</si>
  <si>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</si>
  <si>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</si>
  <si>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</si>
  <si>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</si>
  <si>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</si>
  <si>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</si>
  <si>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</si>
  <si>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</si>
  <si>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</si>
  <si>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Project Management</t>
  </si>
  <si>
    <t>Solutions Engineering</t>
  </si>
  <si>
    <t>Strategy</t>
  </si>
  <si>
    <t>Sum of Function-Based Hours</t>
  </si>
  <si>
    <t>Calculated Ranges</t>
  </si>
  <si>
    <t>Low Hours</t>
  </si>
  <si>
    <t>High Hours</t>
  </si>
  <si>
    <t>Project Service Estimates:</t>
  </si>
  <si>
    <t>Project Management:</t>
  </si>
  <si>
    <t>Post-Project Support:</t>
  </si>
  <si>
    <t>Hour Estimates:</t>
  </si>
  <si>
    <t>Investment Ranges:</t>
  </si>
  <si>
    <t>SOW Summarized Line Items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</si>
</sst>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m/dd/yyyy, h:mm:ss am/pm"/>
    <numFmt numFmtId="166" formatCode="M/d/yyyy H:mm:ss"/>
    <numFmt numFmtId="167" formatCode="m/d/yyyy"/>
    <numFmt numFmtId="168" formatCode="&quot;$&quot;#,##0.00"/>
  </numFmts>
  <fonts count="14">
    <font>
      <sz val="10.0"/>
      <color rgb="FF000000"/>
      <name val="Arial"/>
      <scheme val="minor"/>
    </font>
    <font>
      <b/>
      <color theme="1"/>
      <name val="Arial"/>
    </font>
    <font>
      <b/>
      <color rgb="FF000000"/>
      <name val="Arial"/>
    </font>
    <font>
      <color theme="1"/>
      <name val="Arial"/>
    </font>
    <font>
      <b/>
      <color theme="1"/>
      <name val="Arial"/>
      <scheme val="minor"/>
    </font>
    <font>
      <color theme="1"/>
      <name val="Arial"/>
      <scheme val="minor"/>
    </font>
    <font>
      <b/>
      <color theme="1"/>
      <name val="Rubik"/>
    </font>
    <font>
      <color theme="1"/>
      <name val="Rubik"/>
    </font>
    <font>
      <b/>
      <sz val="12.0"/>
      <color theme="1"/>
      <name val="Rubik"/>
    </font>
    <font>
      <i/>
      <color rgb="FF999999"/>
      <name val="Rubik"/>
    </font>
    <font>
      <u/>
      <color rgb="FF0000FF"/>
      <name val="Arial"/>
    </font>
    <font>
      <u/>
      <color rgb="FF0000FF"/>
      <name val="Arial"/>
    </font>
    <font>
      <color rgb="FFB7B7B7"/>
      <name val="Rubik"/>
    </font>
    <font>
      <color rgb="FF999999"/>
      <name val="Rubik"/>
    </font>
  </fonts>
  <fills count="6">
    <fill>
      <patternFill patternType="none"/>
    </fill>
    <fill>
      <patternFill patternType="lightGray"/>
    </fill>
    <fill>
      <patternFill patternType="solid">
        <fgColor rgb="FFFBBC04"/>
        <bgColor rgb="FFFBBC04"/>
      </patternFill>
    </fill>
    <fill>
      <patternFill patternType="solid">
        <fgColor rgb="FFCCCCCC"/>
        <bgColor rgb="FFCCCCCC"/>
      </patternFill>
    </fill>
    <fill>
      <patternFill patternType="solid">
        <fgColor rgb="FFB7B7B7"/>
        <bgColor rgb="FFB7B7B7"/>
      </patternFill>
    </fill>
    <fill>
      <patternFill patternType="solid">
        <fgColor rgb="FFF3F3F3"/>
        <bgColor rgb="FFF3F3F3"/>
      </patternFill>
    </fill>
  </fills>
  <borders count="2">
    <border/>
    <border>
      <top style="medium">
        <color rgb="FF000000"/>
      </top>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1" xfId="0" applyAlignment="1" applyFont="1" applyNumberFormat="1">
      <alignment horizontal="center" shrinkToFit="0" vertical="center" wrapText="1"/>
    </xf>
    <xf borderId="0" fillId="3" fontId="2" numFmtId="49" xfId="0" applyAlignment="1" applyFill="1" applyFont="1" applyNumberFormat="1">
      <alignment horizontal="center" shrinkToFit="0" vertical="center" wrapText="1"/>
    </xf>
    <xf borderId="0" fillId="2" fontId="1" numFmtId="0" xfId="0" applyAlignment="1" applyFont="1">
      <alignment readingOrder="0" shrinkToFit="0" vertical="center" wrapText="1"/>
    </xf>
    <xf borderId="0" fillId="2" fontId="1" numFmtId="0" xfId="0" applyAlignment="1" applyFont="1">
      <alignment horizontal="left" shrinkToFit="0" vertical="center" wrapText="1"/>
    </xf>
    <xf borderId="0" fillId="3" fontId="2" numFmtId="0" xfId="0" applyAlignment="1" applyFont="1">
      <alignment shrinkToFit="0" vertical="center" wrapText="1"/>
    </xf>
    <xf borderId="0" fillId="3" fontId="2" numFmtId="0" xfId="0" applyAlignment="1" applyFont="1">
      <alignment horizontal="left" readingOrder="0" shrinkToFit="0" vertical="center" wrapText="1"/>
    </xf>
    <xf borderId="0" fillId="0" fontId="3" numFmtId="0" xfId="0" applyAlignment="1" applyFont="1">
      <alignment readingOrder="0" vertical="center"/>
    </xf>
    <xf borderId="0" fillId="0" fontId="4" numFmtId="0" xfId="0" applyAlignment="1" applyFont="1">
      <alignment readingOrder="0" shrinkToFit="0" wrapText="1"/>
    </xf>
    <xf borderId="0" fillId="0" fontId="3" numFmtId="0" xfId="0" applyAlignment="1" applyFont="1">
      <alignment readingOrder="0" shrinkToFit="0" vertical="center" wrapText="1"/>
    </xf>
    <xf borderId="0" fillId="0" fontId="5" numFmtId="0" xfId="0" applyAlignment="1" applyFont="1">
      <alignment readingOrder="0" shrinkToFit="0" wrapText="1"/>
    </xf>
    <xf borderId="0" fillId="0" fontId="3" numFmtId="0" xfId="0" applyAlignment="1" applyFont="1">
      <alignment readingOrder="0" shrinkToFit="0" vertical="center" wrapText="1"/>
    </xf>
    <xf borderId="0" fillId="0" fontId="3" numFmtId="1" xfId="0" applyAlignment="1" applyFont="1" applyNumberFormat="1">
      <alignment horizontal="center" readingOrder="0" vertical="center"/>
    </xf>
    <xf borderId="0" fillId="0" fontId="3" numFmtId="49" xfId="0" applyAlignment="1" applyFont="1" applyNumberFormat="1">
      <alignment horizontal="center" vertical="center"/>
    </xf>
    <xf borderId="0" fillId="0" fontId="3" numFmtId="0" xfId="0" applyAlignment="1" applyFont="1">
      <alignment horizontal="left" readingOrder="0" shrinkToFit="0" vertical="center" wrapText="1"/>
    </xf>
    <xf borderId="0" fillId="0" fontId="3" numFmtId="0" xfId="0" applyAlignment="1" applyFont="1">
      <alignment vertical="center"/>
    </xf>
    <xf borderId="0" fillId="0" fontId="3" numFmtId="0" xfId="0" applyAlignment="1" applyFont="1">
      <alignment horizontal="left" readingOrder="0" vertical="center"/>
    </xf>
    <xf borderId="0" fillId="0" fontId="5"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vertical="center"/>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vertical="center"/>
    </xf>
    <xf borderId="0" fillId="0" fontId="5" numFmtId="0" xfId="0" applyAlignment="1" applyFont="1">
      <alignment shrinkToFit="0" vertical="center" wrapText="1"/>
    </xf>
    <xf borderId="0" fillId="0" fontId="3" numFmtId="0" xfId="0" applyAlignment="1" applyFont="1">
      <alignment horizontal="left" vertical="center"/>
    </xf>
    <xf borderId="0" fillId="0" fontId="5" numFmtId="0" xfId="0" applyAlignment="1" applyFont="1">
      <alignment readingOrder="0" shrinkToFit="0" vertical="center" wrapText="1"/>
    </xf>
    <xf borderId="0" fillId="0" fontId="6" numFmtId="0" xfId="0" applyAlignment="1" applyFont="1">
      <alignment vertical="bottom"/>
    </xf>
    <xf borderId="0" fillId="0" fontId="7" numFmtId="0" xfId="0" applyAlignment="1" applyFont="1">
      <alignment shrinkToFit="0" vertical="bottom" wrapText="1"/>
    </xf>
    <xf borderId="0" fillId="0" fontId="3" numFmtId="0" xfId="0" applyAlignment="1" applyFont="1">
      <alignment horizontal="center"/>
    </xf>
    <xf borderId="0" fillId="0" fontId="3" numFmtId="0" xfId="0" applyAlignment="1" applyFont="1">
      <alignment horizontal="left" shrinkToFit="0" vertical="center" wrapText="1"/>
    </xf>
    <xf borderId="0" fillId="0" fontId="6" numFmtId="0" xfId="0" applyAlignment="1" applyFont="1">
      <alignment readingOrder="0" shrinkToFit="0" vertical="bottom" wrapText="1"/>
    </xf>
    <xf borderId="0" fillId="0" fontId="5" numFmtId="0" xfId="0" applyAlignment="1" applyFont="1">
      <alignment readingOrder="0"/>
    </xf>
    <xf borderId="0" fillId="0" fontId="7" numFmtId="0" xfId="0" applyAlignment="1" applyFont="1">
      <alignment readingOrder="0" shrinkToFit="0" vertical="bottom" wrapText="1"/>
    </xf>
    <xf borderId="0" fillId="0" fontId="3" numFmtId="0" xfId="0" applyAlignment="1" applyFont="1">
      <alignment horizontal="center" readingOrder="0"/>
    </xf>
    <xf borderId="0" fillId="0" fontId="4" numFmtId="0" xfId="0" applyAlignment="1" applyFont="1">
      <alignment readingOrder="0" shrinkToFit="0" vertical="center" wrapText="1"/>
    </xf>
    <xf borderId="0" fillId="0" fontId="5" numFmtId="0" xfId="0" applyAlignment="1" applyFont="1">
      <alignment horizontal="center" readingOrder="0" vertical="center"/>
    </xf>
    <xf borderId="0" fillId="0" fontId="4" numFmtId="0" xfId="0" applyAlignment="1" applyFont="1">
      <alignment shrinkToFit="0" vertical="center" wrapText="1"/>
    </xf>
    <xf borderId="0" fillId="0" fontId="5" numFmtId="0" xfId="0" applyAlignment="1" applyFont="1">
      <alignment horizontal="center" vertical="center"/>
    </xf>
    <xf borderId="0" fillId="0" fontId="5" numFmtId="0" xfId="0" applyAlignment="1" applyFont="1">
      <alignment horizontal="left" vertical="center"/>
    </xf>
    <xf borderId="0" fillId="0" fontId="5" numFmtId="49" xfId="0" applyAlignment="1" applyFont="1" applyNumberFormat="1">
      <alignment horizontal="center" vertical="center"/>
    </xf>
    <xf borderId="0" fillId="2" fontId="8" numFmtId="0" xfId="0" applyAlignment="1" applyFont="1">
      <alignment horizontal="center" vertical="bottom"/>
    </xf>
    <xf borderId="0" fillId="4" fontId="8" numFmtId="0" xfId="0" applyAlignment="1" applyFill="1" applyFont="1">
      <alignment horizontal="right" vertical="center"/>
    </xf>
    <xf borderId="0" fillId="4" fontId="3" numFmtId="164" xfId="0" applyAlignment="1" applyFont="1" applyNumberFormat="1">
      <alignment vertical="bottom"/>
    </xf>
    <xf borderId="0" fillId="4" fontId="3" numFmtId="0" xfId="0" applyAlignment="1" applyFont="1">
      <alignment vertical="bottom"/>
    </xf>
    <xf borderId="0" fillId="0" fontId="6" numFmtId="0" xfId="0" applyAlignment="1" applyFont="1">
      <alignment horizontal="right" vertical="center"/>
    </xf>
    <xf borderId="0" fillId="0" fontId="3" numFmtId="0" xfId="0" applyAlignment="1" applyFont="1">
      <alignment readingOrder="0" vertical="bottom"/>
    </xf>
    <xf borderId="0" fillId="0" fontId="9" numFmtId="0" xfId="0" applyAlignment="1" applyFont="1">
      <alignment shrinkToFit="0" vertical="bottom" wrapText="1"/>
    </xf>
    <xf borderId="0" fillId="0" fontId="3" numFmtId="0" xfId="0" applyAlignment="1" applyFont="1">
      <alignment vertical="bottom"/>
    </xf>
    <xf borderId="0" fillId="0" fontId="6" numFmtId="0" xfId="0" applyAlignment="1" applyFont="1">
      <alignment horizontal="right" vertical="center"/>
    </xf>
    <xf borderId="0" fillId="0" fontId="10" numFmtId="0" xfId="0" applyAlignment="1" applyFont="1">
      <alignment readingOrder="0" vertical="bottom"/>
    </xf>
    <xf borderId="0" fillId="0" fontId="9" numFmtId="0" xfId="0" applyAlignment="1" applyFont="1">
      <alignment shrinkToFit="0" vertical="bottom" wrapText="1"/>
    </xf>
    <xf borderId="0" fillId="0" fontId="3" numFmtId="165" xfId="0" applyAlignment="1" applyFont="1" applyNumberFormat="1">
      <alignment vertical="bottom"/>
    </xf>
    <xf borderId="0" fillId="0" fontId="3" numFmtId="0" xfId="0" applyAlignment="1" applyFont="1">
      <alignment vertical="center"/>
    </xf>
    <xf borderId="0" fillId="0" fontId="3" numFmtId="0" xfId="0" applyAlignment="1" applyFont="1">
      <alignment vertical="bottom"/>
    </xf>
    <xf borderId="0" fillId="0" fontId="11" numFmtId="0" xfId="0" applyAlignment="1" applyFont="1">
      <alignment readingOrder="0" vertical="bottom"/>
    </xf>
    <xf borderId="0" fillId="0" fontId="12" numFmtId="0" xfId="0" applyAlignment="1" applyFont="1">
      <alignment horizontal="right" vertical="bottom"/>
    </xf>
    <xf borderId="0" fillId="0" fontId="3" numFmtId="166" xfId="0" applyAlignment="1" applyFont="1" applyNumberFormat="1">
      <alignment readingOrder="0" vertical="bottom"/>
    </xf>
    <xf borderId="0" fillId="0" fontId="7" numFmtId="0" xfId="0" applyAlignment="1" applyFont="1">
      <alignment horizontal="center" readingOrder="0"/>
    </xf>
    <xf borderId="0" fillId="0" fontId="7" numFmtId="0" xfId="0" applyAlignment="1" applyFont="1">
      <alignment horizontal="center" vertical="bottom"/>
    </xf>
    <xf borderId="0" fillId="0" fontId="3" numFmtId="164" xfId="0" applyAlignment="1" applyFont="1" applyNumberFormat="1">
      <alignment vertical="bottom"/>
    </xf>
    <xf borderId="0" fillId="0" fontId="7" numFmtId="164" xfId="0" applyAlignment="1" applyFont="1" applyNumberFormat="1">
      <alignment horizontal="right" readingOrder="0" vertical="bottom"/>
    </xf>
    <xf borderId="0" fillId="0" fontId="7" numFmtId="9" xfId="0" applyAlignment="1" applyFont="1" applyNumberFormat="1">
      <alignment horizontal="right" vertical="bottom"/>
    </xf>
    <xf borderId="0" fillId="0" fontId="7" numFmtId="0" xfId="0" applyAlignment="1" applyFont="1">
      <alignment readingOrder="0" shrinkToFit="0" wrapText="1"/>
    </xf>
    <xf borderId="0" fillId="0" fontId="9" numFmtId="0" xfId="0" applyAlignment="1" applyFont="1">
      <alignment shrinkToFit="0" wrapText="1"/>
    </xf>
    <xf borderId="0" fillId="0" fontId="3" numFmtId="0" xfId="0" applyFont="1"/>
    <xf borderId="0" fillId="0" fontId="7" numFmtId="167" xfId="0" applyAlignment="1" applyFont="1" applyNumberFormat="1">
      <alignment horizontal="right" readingOrder="0" vertical="bottom"/>
    </xf>
    <xf borderId="0" fillId="0" fontId="7" numFmtId="0" xfId="0" applyAlignment="1" applyFont="1">
      <alignment horizontal="right" readingOrder="0" vertical="bottom"/>
    </xf>
    <xf borderId="0" fillId="0" fontId="7" numFmtId="164" xfId="0" applyAlignment="1" applyFont="1" applyNumberFormat="1">
      <alignment horizontal="right" vertical="bottom"/>
    </xf>
    <xf borderId="0" fillId="0" fontId="7" numFmtId="0" xfId="0" applyAlignment="1" applyFont="1">
      <alignment horizontal="right" vertical="bottom"/>
    </xf>
    <xf borderId="0" fillId="0" fontId="7" numFmtId="0" xfId="0" applyAlignment="1" applyFont="1">
      <alignment shrinkToFit="0" wrapText="1"/>
    </xf>
    <xf borderId="0" fillId="0" fontId="9" numFmtId="0" xfId="0" applyAlignment="1" applyFont="1">
      <alignment shrinkToFit="0" wrapText="1"/>
    </xf>
    <xf borderId="0" fillId="4" fontId="8" numFmtId="0" xfId="0" applyAlignment="1" applyFont="1">
      <alignment vertical="center"/>
    </xf>
    <xf borderId="0" fillId="0" fontId="6" numFmtId="0" xfId="0" applyAlignment="1" applyFont="1">
      <alignment horizontal="right" shrinkToFit="0" vertical="center" wrapText="1"/>
    </xf>
    <xf borderId="0" fillId="2" fontId="7" numFmtId="0" xfId="0" applyAlignment="1" applyFont="1">
      <alignment vertical="bottom"/>
    </xf>
    <xf borderId="0" fillId="0" fontId="7" numFmtId="0" xfId="0" applyAlignment="1" applyFont="1">
      <alignment vertical="bottom"/>
    </xf>
    <xf borderId="1" fillId="3" fontId="8" numFmtId="0" xfId="0" applyAlignment="1" applyBorder="1" applyFont="1">
      <alignment vertical="bottom"/>
    </xf>
    <xf borderId="1" fillId="3" fontId="7" numFmtId="0" xfId="0" applyAlignment="1" applyBorder="1" applyFont="1">
      <alignment vertical="bottom"/>
    </xf>
    <xf borderId="0" fillId="0" fontId="6" numFmtId="0" xfId="0" applyAlignment="1" applyFont="1">
      <alignment horizontal="right" vertical="bottom"/>
    </xf>
    <xf borderId="0" fillId="0" fontId="7" numFmtId="0" xfId="0" applyAlignment="1" applyFont="1">
      <alignment horizontal="center" vertical="bottom"/>
    </xf>
    <xf borderId="0" fillId="0" fontId="7" numFmtId="0" xfId="0" applyAlignment="1" applyFont="1">
      <alignment vertical="bottom"/>
    </xf>
    <xf borderId="0" fillId="0" fontId="13" numFmtId="0" xfId="0" applyAlignment="1" applyFont="1">
      <alignment horizontal="right" vertical="bottom"/>
    </xf>
    <xf borderId="0" fillId="0" fontId="7" numFmtId="168" xfId="0" applyAlignment="1" applyFont="1" applyNumberFormat="1">
      <alignment horizontal="center" vertical="bottom"/>
    </xf>
    <xf borderId="0" fillId="0" fontId="7" numFmtId="14" xfId="0" applyAlignment="1" applyFont="1" applyNumberFormat="1">
      <alignment horizontal="center" vertical="bottom"/>
    </xf>
    <xf borderId="0" fillId="0" fontId="7" numFmtId="9" xfId="0" applyAlignment="1" applyFont="1" applyNumberFormat="1">
      <alignment horizontal="center" vertical="bottom"/>
    </xf>
    <xf borderId="0" fillId="5" fontId="7" numFmtId="0" xfId="0" applyAlignment="1" applyFill="1" applyFont="1">
      <alignment vertical="bottom"/>
    </xf>
    <xf borderId="0" fillId="5" fontId="6" numFmtId="0" xfId="0" applyAlignment="1" applyFont="1">
      <alignment horizontal="center" vertical="bottom"/>
    </xf>
    <xf borderId="0" fillId="0" fontId="7" numFmtId="1" xfId="0" applyAlignment="1" applyFont="1" applyNumberFormat="1">
      <alignment horizontal="center" vertical="bottom"/>
    </xf>
    <xf borderId="0" fillId="0" fontId="7" numFmtId="1" xfId="0" applyAlignment="1" applyFont="1" applyNumberFormat="1">
      <alignment vertical="bottom"/>
    </xf>
    <xf borderId="0" fillId="0" fontId="7" numFmtId="9" xfId="0" applyAlignment="1" applyFont="1" applyNumberFormat="1">
      <alignment vertical="bottom"/>
    </xf>
    <xf borderId="1" fillId="3" fontId="8" numFmtId="0" xfId="0" applyAlignment="1" applyBorder="1" applyFont="1">
      <alignment horizontal="center" shrinkToFit="0" vertical="bottom" wrapText="0"/>
    </xf>
    <xf borderId="1" fillId="3" fontId="8" numFmtId="0" xfId="0" applyAlignment="1" applyBorder="1" applyFont="1">
      <alignment horizontal="center" vertical="bottom"/>
    </xf>
    <xf borderId="0" fillId="0" fontId="7" numFmtId="0" xfId="0" applyAlignment="1" applyFont="1">
      <alignment horizontal="center" shrinkToFit="0" vertical="bottom" wrapText="0"/>
    </xf>
    <xf borderId="0" fillId="0" fontId="7" numFmtId="0" xfId="0" applyAlignment="1" applyFont="1">
      <alignment horizontal="center" shrinkToFit="0" vertical="bottom" wrapText="0"/>
    </xf>
    <xf borderId="0" fillId="0" fontId="7" numFmtId="164" xfId="0" applyAlignment="1" applyFont="1" applyNumberFormat="1">
      <alignment horizontal="center" shrinkToFit="0" vertical="bottom" wrapText="0"/>
    </xf>
    <xf borderId="0" fillId="0" fontId="7" numFmtId="10" xfId="0" applyAlignment="1" applyFont="1" applyNumberFormat="1">
      <alignment vertical="bottom"/>
    </xf>
    <xf borderId="0" fillId="0" fontId="7" numFmtId="3" xfId="0" applyAlignment="1" applyFont="1" applyNumberFormat="1">
      <alignment vertical="bottom"/>
    </xf>
    <xf borderId="0" fillId="0" fontId="6" numFmtId="0" xfId="0" applyAlignment="1" applyFont="1">
      <alignment shrinkToFit="0" vertical="bottom" wrapText="0"/>
    </xf>
    <xf borderId="0" fillId="0" fontId="6" numFmtId="0" xfId="0" applyAlignment="1" applyFont="1">
      <alignment horizontal="center" shrinkToFit="0" vertical="bottom" wrapText="0"/>
    </xf>
    <xf borderId="0" fillId="0" fontId="6" numFmtId="164" xfId="0" applyAlignment="1" applyFont="1" applyNumberFormat="1">
      <alignment horizontal="center" vertical="bottom"/>
    </xf>
    <xf borderId="0" fillId="0" fontId="7" numFmtId="164" xfId="0" applyAlignment="1" applyFont="1" applyNumberFormat="1">
      <alignment horizontal="center" vertical="bottom"/>
    </xf>
    <xf borderId="0" fillId="0" fontId="7" numFmtId="164" xfId="0" applyAlignment="1" applyFont="1" applyNumberFormat="1">
      <alignment vertical="bottom"/>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plB3ne9dulMHvuRiGkkuA91iAHs6oM_U" TargetMode="External"/><Relationship Id="rId2" Type="http://schemas.openxmlformats.org/officeDocument/2006/relationships/hyperlink" Target="https://script.google.com/macros/s/AKfycbzGfZXXrB8GB7kt-FSeTA8sL0Rw3BzaXwifNA9CDpjsqe8NBn4EL159NLqLBYwGjqUw/exec?sheetId=1Q6S47MCBPBi__7_ddV-STx-yXQL5e5L80MiCRCPIUpQ"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7.5"/>
    <col customWidth="1" min="3" max="3" width="15.75"/>
    <col customWidth="1" min="4" max="4" width="29.75"/>
    <col customWidth="1" min="5" max="5" width="61.88"/>
    <col customWidth="1" min="6" max="6" width="29.75"/>
    <col customWidth="1" min="7" max="9" width="10.38"/>
    <col customWidth="1" min="10" max="10" width="10.5"/>
    <col customWidth="1" min="11" max="11" width="15.75"/>
    <col customWidth="1" min="12" max="12" width="6.63"/>
    <col customWidth="1" min="13" max="13" width="7.38"/>
    <col customWidth="1" min="14" max="15" width="26.0"/>
    <col customWidth="1" min="16" max="16" width="20.13"/>
  </cols>
  <sheetData>
    <row r="1">
      <c r="A1" s="1" t="s">
        <v>0</v>
      </c>
      <c r="B1" s="1" t="s">
        <v>1</v>
      </c>
      <c r="C1" s="1" t="s">
        <v>2</v>
      </c>
      <c r="D1" s="1" t="s">
        <v>3</v>
      </c>
      <c r="E1" s="1" t="s">
        <v>4</v>
      </c>
      <c r="F1" s="1" t="s">
        <v>5</v>
      </c>
      <c r="G1" s="2" t="s">
        <v>6</v>
      </c>
      <c r="H1" s="2" t="s">
        <v>7</v>
      </c>
      <c r="I1" s="3" t="s">
        <v>8</v>
      </c>
      <c r="J1" s="4" t="s">
        <v>9</v>
      </c>
      <c r="K1" s="5" t="s">
        <v>10</v>
      </c>
      <c r="L1" s="6" t="s">
        <v>11</v>
      </c>
      <c r="M1" s="7" t="s">
        <v>12</v>
      </c>
      <c r="N1" s="4" t="s">
        <v>13</v>
      </c>
      <c r="O1" s="4" t="s">
        <v>14</v>
      </c>
      <c r="P1" s="4"/>
    </row>
    <row r="2">
      <c r="A2" s="8" t="s">
        <v>15</v>
      </c>
      <c r="B2" s="9" t="s">
        <v>16</v>
      </c>
      <c r="C2" s="10" t="s">
        <v>17</v>
      </c>
      <c r="D2" s="11" t="s">
        <v>18</v>
      </c>
      <c r="E2" s="10" t="s">
        <v>19</v>
      </c>
      <c r="F2" s="12" t="s">
        <v>20</v>
      </c>
      <c r="G2" s="13">
        <v>8.0</v>
      </c>
      <c r="H2" s="13">
        <v>12.0</v>
      </c>
      <c r="I2" s="14">
        <f t="shared" ref="I2:I140" si="1">IF(AND(G2&lt;&gt;"",H2&lt;&gt;""),ROUNDUP(AVERAGE(G2:H2),0),"")</f>
        <v>10</v>
      </c>
      <c r="J2" s="8" t="b">
        <v>0</v>
      </c>
      <c r="K2" s="15" t="s">
        <v>21</v>
      </c>
      <c r="L2" s="16"/>
      <c r="M2" s="17"/>
      <c r="N2" s="18"/>
      <c r="O2" s="19"/>
      <c r="P2" s="19"/>
    </row>
    <row r="3">
      <c r="A3" s="8" t="s">
        <v>15</v>
      </c>
      <c r="B3" s="9" t="s">
        <v>22</v>
      </c>
      <c r="C3" s="10" t="s">
        <v>23</v>
      </c>
      <c r="D3" s="10" t="s">
        <v>24</v>
      </c>
      <c r="E3" s="10" t="s">
        <v>25</v>
      </c>
      <c r="F3" s="10" t="s">
        <v>26</v>
      </c>
      <c r="G3" s="13">
        <v>5.0</v>
      </c>
      <c r="H3" s="13">
        <v>8.0</v>
      </c>
      <c r="I3" s="14">
        <f t="shared" si="1"/>
        <v>7</v>
      </c>
      <c r="J3" s="8" t="b">
        <v>0</v>
      </c>
      <c r="K3" s="15" t="s">
        <v>27</v>
      </c>
      <c r="L3" s="16"/>
      <c r="M3" s="17"/>
      <c r="N3" s="18"/>
      <c r="O3" s="20"/>
      <c r="P3" s="20"/>
    </row>
    <row r="4">
      <c r="A4" s="8" t="s">
        <v>15</v>
      </c>
      <c r="B4" s="9" t="s">
        <v>22</v>
      </c>
      <c r="C4" s="21" t="s">
        <v>28</v>
      </c>
      <c r="D4" s="10" t="s">
        <v>29</v>
      </c>
      <c r="E4" s="10" t="s">
        <v>30</v>
      </c>
      <c r="F4" s="10" t="s">
        <v>31</v>
      </c>
      <c r="G4" s="13">
        <v>10.0</v>
      </c>
      <c r="H4" s="13">
        <v>12.0</v>
      </c>
      <c r="I4" s="14">
        <f t="shared" si="1"/>
        <v>11</v>
      </c>
      <c r="J4" s="8" t="b">
        <v>0</v>
      </c>
      <c r="K4" s="15"/>
      <c r="L4" s="16"/>
      <c r="M4" s="17"/>
      <c r="N4" s="18"/>
      <c r="O4" s="20"/>
      <c r="P4" s="20"/>
    </row>
    <row r="5">
      <c r="A5" s="8" t="s">
        <v>15</v>
      </c>
      <c r="B5" s="9" t="s">
        <v>22</v>
      </c>
      <c r="C5" s="10" t="s">
        <v>32</v>
      </c>
      <c r="D5" s="10" t="s">
        <v>33</v>
      </c>
      <c r="E5" s="10" t="s">
        <v>34</v>
      </c>
      <c r="F5" s="22" t="s">
        <v>35</v>
      </c>
      <c r="G5" s="23">
        <v>12.0</v>
      </c>
      <c r="H5" s="23">
        <v>16.0</v>
      </c>
      <c r="I5" s="14">
        <f t="shared" si="1"/>
        <v>14</v>
      </c>
      <c r="J5" s="8" t="b">
        <v>0</v>
      </c>
      <c r="K5" s="15"/>
      <c r="L5" s="16"/>
      <c r="M5" s="17"/>
      <c r="N5" s="24"/>
      <c r="O5" s="20"/>
      <c r="P5" s="20"/>
    </row>
    <row r="6">
      <c r="A6" s="8" t="s">
        <v>15</v>
      </c>
      <c r="B6" s="21" t="s">
        <v>36</v>
      </c>
      <c r="C6" s="10" t="s">
        <v>37</v>
      </c>
      <c r="D6" s="10" t="s">
        <v>38</v>
      </c>
      <c r="E6" s="10" t="s">
        <v>39</v>
      </c>
      <c r="F6" s="10" t="s">
        <v>40</v>
      </c>
      <c r="G6" s="23">
        <v>10.0</v>
      </c>
      <c r="H6" s="23">
        <v>12.0</v>
      </c>
      <c r="I6" s="14">
        <f t="shared" si="1"/>
        <v>11</v>
      </c>
      <c r="J6" s="8" t="b">
        <v>0</v>
      </c>
      <c r="K6" s="15"/>
      <c r="L6" s="16"/>
      <c r="M6" s="25"/>
      <c r="N6" s="24"/>
      <c r="O6" s="20"/>
      <c r="P6" s="20"/>
    </row>
    <row r="7">
      <c r="A7" s="8" t="s">
        <v>15</v>
      </c>
      <c r="B7" s="21" t="s">
        <v>36</v>
      </c>
      <c r="C7" s="10" t="s">
        <v>41</v>
      </c>
      <c r="D7" s="10" t="s">
        <v>42</v>
      </c>
      <c r="E7" s="10" t="s">
        <v>43</v>
      </c>
      <c r="F7" s="10" t="s">
        <v>44</v>
      </c>
      <c r="G7" s="23">
        <v>5.0</v>
      </c>
      <c r="H7" s="23">
        <v>8.0</v>
      </c>
      <c r="I7" s="14">
        <f t="shared" si="1"/>
        <v>7</v>
      </c>
      <c r="J7" s="8" t="b">
        <v>0</v>
      </c>
      <c r="K7" s="15"/>
      <c r="L7" s="16"/>
      <c r="M7" s="25"/>
      <c r="N7" s="24"/>
      <c r="O7" s="20"/>
      <c r="P7" s="20"/>
    </row>
    <row r="8">
      <c r="A8" s="8" t="s">
        <v>15</v>
      </c>
      <c r="B8" s="21" t="s">
        <v>36</v>
      </c>
      <c r="C8" s="10" t="s">
        <v>45</v>
      </c>
      <c r="D8" s="10" t="s">
        <v>46</v>
      </c>
      <c r="E8" s="10" t="s">
        <v>47</v>
      </c>
      <c r="F8" s="10" t="s">
        <v>48</v>
      </c>
      <c r="G8" s="23">
        <v>5.0</v>
      </c>
      <c r="H8" s="23">
        <v>8.0</v>
      </c>
      <c r="I8" s="14">
        <f t="shared" si="1"/>
        <v>7</v>
      </c>
      <c r="J8" s="8" t="b">
        <v>0</v>
      </c>
      <c r="K8" s="15"/>
      <c r="L8" s="16"/>
      <c r="M8" s="25"/>
      <c r="N8" s="24"/>
      <c r="O8" s="20"/>
      <c r="P8" s="20"/>
    </row>
    <row r="9">
      <c r="A9" s="8" t="s">
        <v>15</v>
      </c>
      <c r="B9" s="21" t="s">
        <v>49</v>
      </c>
      <c r="C9" s="10" t="s">
        <v>50</v>
      </c>
      <c r="D9" s="10" t="s">
        <v>51</v>
      </c>
      <c r="E9" s="10" t="s">
        <v>52</v>
      </c>
      <c r="F9" s="10" t="s">
        <v>53</v>
      </c>
      <c r="G9" s="23">
        <v>8.0</v>
      </c>
      <c r="H9" s="23">
        <v>12.0</v>
      </c>
      <c r="I9" s="14">
        <f t="shared" si="1"/>
        <v>10</v>
      </c>
      <c r="J9" s="8" t="b">
        <v>0</v>
      </c>
      <c r="K9" s="15"/>
      <c r="L9" s="16"/>
      <c r="M9" s="25"/>
      <c r="N9" s="24"/>
      <c r="O9" s="20"/>
      <c r="P9" s="20"/>
    </row>
    <row r="10">
      <c r="A10" s="8" t="s">
        <v>15</v>
      </c>
      <c r="B10" s="21" t="s">
        <v>49</v>
      </c>
      <c r="C10" s="10" t="s">
        <v>54</v>
      </c>
      <c r="D10" s="10" t="s">
        <v>55</v>
      </c>
      <c r="E10" s="10" t="s">
        <v>56</v>
      </c>
      <c r="F10" s="10" t="s">
        <v>57</v>
      </c>
      <c r="G10" s="23">
        <v>13.0</v>
      </c>
      <c r="H10" s="23">
        <v>15.0</v>
      </c>
      <c r="I10" s="14">
        <f t="shared" si="1"/>
        <v>14</v>
      </c>
      <c r="J10" s="8" t="b">
        <v>0</v>
      </c>
      <c r="K10" s="15"/>
      <c r="L10" s="16"/>
      <c r="M10" s="25"/>
      <c r="N10" s="24"/>
      <c r="O10" s="20"/>
      <c r="P10" s="20"/>
    </row>
    <row r="11">
      <c r="A11" s="8" t="s">
        <v>15</v>
      </c>
      <c r="B11" s="21" t="s">
        <v>58</v>
      </c>
      <c r="C11" s="10" t="s">
        <v>59</v>
      </c>
      <c r="D11" s="10" t="s">
        <v>60</v>
      </c>
      <c r="E11" s="10" t="s">
        <v>61</v>
      </c>
      <c r="F11" s="10" t="s">
        <v>62</v>
      </c>
      <c r="G11" s="23">
        <v>13.0</v>
      </c>
      <c r="H11" s="23">
        <v>15.0</v>
      </c>
      <c r="I11" s="14">
        <f t="shared" si="1"/>
        <v>14</v>
      </c>
      <c r="J11" s="8" t="b">
        <v>0</v>
      </c>
      <c r="K11" s="15"/>
      <c r="L11" s="16"/>
      <c r="M11" s="25"/>
      <c r="N11" s="24"/>
      <c r="O11" s="20"/>
      <c r="P11" s="20"/>
    </row>
    <row r="12">
      <c r="A12" s="8" t="s">
        <v>15</v>
      </c>
      <c r="B12" s="21" t="s">
        <v>58</v>
      </c>
      <c r="C12" s="10" t="s">
        <v>63</v>
      </c>
      <c r="D12" s="10" t="s">
        <v>64</v>
      </c>
      <c r="E12" s="10" t="s">
        <v>65</v>
      </c>
      <c r="F12" s="10" t="s">
        <v>66</v>
      </c>
      <c r="G12" s="23">
        <v>12.0</v>
      </c>
      <c r="H12" s="23">
        <v>16.0</v>
      </c>
      <c r="I12" s="14">
        <f t="shared" si="1"/>
        <v>14</v>
      </c>
      <c r="J12" s="8" t="b">
        <v>0</v>
      </c>
      <c r="K12" s="15"/>
      <c r="L12" s="16"/>
      <c r="M12" s="25"/>
      <c r="N12" s="24"/>
      <c r="O12" s="20"/>
      <c r="P12" s="20"/>
    </row>
    <row r="13">
      <c r="A13" s="8" t="s">
        <v>15</v>
      </c>
      <c r="B13" s="21" t="s">
        <v>58</v>
      </c>
      <c r="C13" s="10" t="s">
        <v>67</v>
      </c>
      <c r="D13" s="10" t="s">
        <v>68</v>
      </c>
      <c r="E13" s="10" t="s">
        <v>69</v>
      </c>
      <c r="F13" s="10" t="s">
        <v>70</v>
      </c>
      <c r="G13" s="23">
        <v>10.0</v>
      </c>
      <c r="H13" s="23">
        <v>14.0</v>
      </c>
      <c r="I13" s="14">
        <f t="shared" si="1"/>
        <v>12</v>
      </c>
      <c r="J13" s="8" t="b">
        <v>0</v>
      </c>
      <c r="K13" s="15"/>
      <c r="L13" s="16"/>
      <c r="M13" s="25"/>
      <c r="N13" s="24"/>
      <c r="O13" s="20"/>
      <c r="P13" s="20"/>
    </row>
    <row r="14">
      <c r="A14" s="8" t="s">
        <v>15</v>
      </c>
      <c r="B14" s="21" t="s">
        <v>58</v>
      </c>
      <c r="C14" s="11" t="s">
        <v>71</v>
      </c>
      <c r="D14" s="10" t="s">
        <v>72</v>
      </c>
      <c r="E14" s="10" t="s">
        <v>73</v>
      </c>
      <c r="F14" s="10" t="s">
        <v>74</v>
      </c>
      <c r="G14" s="23">
        <v>14.0</v>
      </c>
      <c r="H14" s="23">
        <v>18.0</v>
      </c>
      <c r="I14" s="14">
        <f t="shared" si="1"/>
        <v>16</v>
      </c>
      <c r="J14" s="8" t="b">
        <v>0</v>
      </c>
      <c r="K14" s="15"/>
      <c r="L14" s="16"/>
      <c r="M14" s="25"/>
      <c r="N14" s="24"/>
      <c r="O14" s="20"/>
      <c r="P14" s="20"/>
    </row>
    <row r="15">
      <c r="A15" s="8" t="s">
        <v>15</v>
      </c>
      <c r="B15" s="21" t="s">
        <v>58</v>
      </c>
      <c r="C15" s="10" t="s">
        <v>75</v>
      </c>
      <c r="D15" s="10" t="s">
        <v>76</v>
      </c>
      <c r="E15" s="10" t="s">
        <v>77</v>
      </c>
      <c r="F15" s="10" t="s">
        <v>78</v>
      </c>
      <c r="G15" s="23">
        <v>16.0</v>
      </c>
      <c r="H15" s="23">
        <v>20.0</v>
      </c>
      <c r="I15" s="14">
        <f t="shared" si="1"/>
        <v>18</v>
      </c>
      <c r="J15" s="8" t="b">
        <v>0</v>
      </c>
      <c r="K15" s="15"/>
      <c r="L15" s="16"/>
      <c r="M15" s="25"/>
      <c r="N15" s="26"/>
      <c r="O15" s="20"/>
      <c r="P15" s="20"/>
    </row>
    <row r="16">
      <c r="A16" s="8" t="s">
        <v>15</v>
      </c>
      <c r="B16" s="21" t="s">
        <v>79</v>
      </c>
      <c r="C16" s="10" t="s">
        <v>80</v>
      </c>
      <c r="D16" s="10" t="s">
        <v>81</v>
      </c>
      <c r="E16" s="10" t="s">
        <v>82</v>
      </c>
      <c r="F16" s="10" t="s">
        <v>83</v>
      </c>
      <c r="G16" s="23">
        <v>12.0</v>
      </c>
      <c r="H16" s="23">
        <v>16.0</v>
      </c>
      <c r="I16" s="14">
        <f t="shared" si="1"/>
        <v>14</v>
      </c>
      <c r="J16" s="8" t="b">
        <v>0</v>
      </c>
      <c r="K16" s="15"/>
      <c r="L16" s="16"/>
      <c r="M16" s="25"/>
      <c r="N16" s="26"/>
      <c r="O16" s="20"/>
      <c r="P16" s="20"/>
    </row>
    <row r="17">
      <c r="A17" s="8" t="s">
        <v>15</v>
      </c>
      <c r="B17" s="21" t="s">
        <v>79</v>
      </c>
      <c r="C17" s="10" t="s">
        <v>84</v>
      </c>
      <c r="D17" s="10" t="s">
        <v>85</v>
      </c>
      <c r="E17" s="10" t="s">
        <v>86</v>
      </c>
      <c r="F17" s="10" t="s">
        <v>87</v>
      </c>
      <c r="G17" s="23">
        <v>10.0</v>
      </c>
      <c r="H17" s="23">
        <v>14.0</v>
      </c>
      <c r="I17" s="14">
        <f t="shared" si="1"/>
        <v>12</v>
      </c>
      <c r="J17" s="8" t="b">
        <v>0</v>
      </c>
      <c r="K17" s="15"/>
      <c r="L17" s="16"/>
      <c r="M17" s="25"/>
      <c r="N17" s="18"/>
      <c r="O17" s="20"/>
      <c r="P17" s="20"/>
    </row>
    <row r="18">
      <c r="A18" s="8" t="s">
        <v>15</v>
      </c>
      <c r="B18" s="27" t="s">
        <v>88</v>
      </c>
      <c r="C18" s="28" t="s">
        <v>89</v>
      </c>
      <c r="D18" s="28" t="s">
        <v>90</v>
      </c>
      <c r="E18" s="28" t="s">
        <v>91</v>
      </c>
      <c r="F18" s="28" t="s">
        <v>92</v>
      </c>
      <c r="G18" s="29">
        <v>4.0</v>
      </c>
      <c r="H18" s="29">
        <v>5.0</v>
      </c>
      <c r="I18" s="14">
        <f t="shared" si="1"/>
        <v>5</v>
      </c>
      <c r="J18" s="8" t="b">
        <v>0</v>
      </c>
      <c r="K18" s="30"/>
      <c r="L18" s="16"/>
      <c r="M18" s="25"/>
      <c r="N18" s="18"/>
      <c r="O18" s="20"/>
      <c r="P18" s="20"/>
    </row>
    <row r="19">
      <c r="A19" s="8"/>
      <c r="B19" s="31" t="s">
        <v>93</v>
      </c>
      <c r="C19" s="32" t="s">
        <v>94</v>
      </c>
      <c r="D19" s="33" t="s">
        <v>95</v>
      </c>
      <c r="E19" s="32" t="s">
        <v>96</v>
      </c>
      <c r="F19" s="11" t="s">
        <v>97</v>
      </c>
      <c r="G19" s="34">
        <v>8.0</v>
      </c>
      <c r="H19" s="34">
        <v>10.0</v>
      </c>
      <c r="I19" s="14">
        <f t="shared" si="1"/>
        <v>9</v>
      </c>
      <c r="J19" s="8" t="b">
        <v>0</v>
      </c>
      <c r="K19" s="30"/>
      <c r="L19" s="16"/>
      <c r="M19" s="25"/>
      <c r="N19" s="18"/>
      <c r="O19" s="20"/>
      <c r="P19" s="20"/>
    </row>
    <row r="20">
      <c r="A20" s="8"/>
      <c r="B20" s="21"/>
      <c r="C20" s="10"/>
      <c r="D20" s="10"/>
      <c r="E20" s="10"/>
      <c r="F20" s="10"/>
      <c r="G20" s="13"/>
      <c r="H20" s="13"/>
      <c r="I20" s="14" t="str">
        <f t="shared" si="1"/>
        <v/>
      </c>
      <c r="J20" s="8" t="b">
        <v>0</v>
      </c>
      <c r="K20" s="15"/>
      <c r="L20" s="16"/>
      <c r="M20" s="25"/>
      <c r="N20" s="24"/>
      <c r="O20" s="20"/>
      <c r="P20" s="20"/>
    </row>
    <row r="21">
      <c r="A21" s="8"/>
      <c r="B21" s="21"/>
      <c r="C21" s="10"/>
      <c r="D21" s="10"/>
      <c r="E21" s="10"/>
      <c r="F21" s="10"/>
      <c r="G21" s="13"/>
      <c r="H21" s="13"/>
      <c r="I21" s="14" t="str">
        <f t="shared" si="1"/>
        <v/>
      </c>
      <c r="J21" s="8" t="b">
        <v>0</v>
      </c>
      <c r="K21" s="15"/>
      <c r="L21" s="16"/>
      <c r="M21" s="25"/>
      <c r="N21" s="24"/>
      <c r="O21" s="20"/>
      <c r="P21" s="20"/>
    </row>
    <row r="22">
      <c r="A22" s="8"/>
      <c r="B22" s="21"/>
      <c r="C22" s="10"/>
      <c r="D22" s="10"/>
      <c r="E22" s="10"/>
      <c r="F22" s="10"/>
      <c r="G22" s="23"/>
      <c r="H22" s="23"/>
      <c r="I22" s="14" t="str">
        <f t="shared" si="1"/>
        <v/>
      </c>
      <c r="J22" s="8" t="b">
        <v>0</v>
      </c>
      <c r="K22" s="15"/>
      <c r="L22" s="16"/>
      <c r="M22" s="25"/>
      <c r="N22" s="24"/>
      <c r="O22" s="20"/>
      <c r="P22" s="20"/>
    </row>
    <row r="23">
      <c r="A23" s="8"/>
      <c r="B23" s="21"/>
      <c r="C23" s="10"/>
      <c r="D23" s="10"/>
      <c r="E23" s="10"/>
      <c r="F23" s="10"/>
      <c r="G23" s="23"/>
      <c r="H23" s="23"/>
      <c r="I23" s="14" t="str">
        <f t="shared" si="1"/>
        <v/>
      </c>
      <c r="J23" s="8" t="b">
        <v>0</v>
      </c>
      <c r="K23" s="15"/>
      <c r="L23" s="16"/>
      <c r="M23" s="25"/>
      <c r="N23" s="24"/>
      <c r="O23" s="20"/>
      <c r="P23" s="20"/>
    </row>
    <row r="24">
      <c r="A24" s="8"/>
      <c r="B24" s="21"/>
      <c r="C24" s="10"/>
      <c r="D24" s="10"/>
      <c r="E24" s="10"/>
      <c r="F24" s="10"/>
      <c r="G24" s="13"/>
      <c r="H24" s="13"/>
      <c r="I24" s="14" t="str">
        <f t="shared" si="1"/>
        <v/>
      </c>
      <c r="J24" s="8" t="b">
        <v>0</v>
      </c>
      <c r="K24" s="15"/>
      <c r="L24" s="16"/>
      <c r="M24" s="25"/>
      <c r="N24" s="24"/>
      <c r="O24" s="20"/>
      <c r="P24" s="20"/>
    </row>
    <row r="25">
      <c r="A25" s="8"/>
      <c r="B25" s="35"/>
      <c r="C25" s="18"/>
      <c r="D25" s="18"/>
      <c r="E25" s="18"/>
      <c r="F25" s="18"/>
      <c r="G25" s="36"/>
      <c r="H25" s="36"/>
      <c r="I25" s="14" t="str">
        <f t="shared" si="1"/>
        <v/>
      </c>
      <c r="J25" s="8" t="b">
        <v>0</v>
      </c>
      <c r="K25" s="15"/>
      <c r="L25" s="16"/>
      <c r="M25" s="25"/>
      <c r="N25" s="24"/>
      <c r="O25" s="20"/>
      <c r="P25" s="20"/>
    </row>
    <row r="26">
      <c r="A26" s="8"/>
      <c r="B26" s="35"/>
      <c r="C26" s="18"/>
      <c r="D26" s="18"/>
      <c r="E26" s="18"/>
      <c r="F26" s="18"/>
      <c r="G26" s="36"/>
      <c r="H26" s="36"/>
      <c r="I26" s="14" t="str">
        <f t="shared" si="1"/>
        <v/>
      </c>
      <c r="J26" s="8" t="b">
        <v>0</v>
      </c>
      <c r="K26" s="15"/>
      <c r="L26" s="16"/>
      <c r="M26" s="25"/>
      <c r="N26" s="24"/>
      <c r="O26" s="20"/>
      <c r="P26" s="20"/>
    </row>
    <row r="27">
      <c r="A27" s="8"/>
      <c r="B27" s="35"/>
      <c r="C27" s="18"/>
      <c r="D27" s="18"/>
      <c r="E27" s="18"/>
      <c r="F27" s="18"/>
      <c r="G27" s="36"/>
      <c r="H27" s="36"/>
      <c r="I27" s="14" t="str">
        <f t="shared" si="1"/>
        <v/>
      </c>
      <c r="J27" s="8" t="b">
        <v>0</v>
      </c>
      <c r="K27" s="15"/>
      <c r="L27" s="16"/>
      <c r="M27" s="25"/>
      <c r="N27" s="24"/>
      <c r="O27" s="20"/>
      <c r="P27" s="20"/>
    </row>
    <row r="28">
      <c r="A28" s="8"/>
      <c r="B28" s="37"/>
      <c r="C28" s="24"/>
      <c r="D28" s="24"/>
      <c r="E28" s="24"/>
      <c r="F28" s="24"/>
      <c r="G28" s="38"/>
      <c r="H28" s="38"/>
      <c r="I28" s="14" t="str">
        <f t="shared" si="1"/>
        <v/>
      </c>
      <c r="J28" s="8" t="b">
        <v>0</v>
      </c>
      <c r="K28" s="15"/>
      <c r="L28" s="20"/>
      <c r="M28" s="39"/>
      <c r="N28" s="24"/>
      <c r="O28" s="20"/>
      <c r="P28" s="20"/>
    </row>
    <row r="29">
      <c r="A29" s="8"/>
      <c r="B29" s="37"/>
      <c r="C29" s="24"/>
      <c r="D29" s="24"/>
      <c r="E29" s="24"/>
      <c r="F29" s="24"/>
      <c r="G29" s="38"/>
      <c r="H29" s="38"/>
      <c r="I29" s="14" t="str">
        <f t="shared" si="1"/>
        <v/>
      </c>
      <c r="J29" s="8" t="b">
        <v>0</v>
      </c>
      <c r="K29" s="15"/>
      <c r="L29" s="20"/>
      <c r="M29" s="39"/>
      <c r="N29" s="24"/>
      <c r="O29" s="20"/>
      <c r="P29" s="20"/>
    </row>
    <row r="30">
      <c r="A30" s="8"/>
      <c r="B30" s="37"/>
      <c r="C30" s="24"/>
      <c r="D30" s="24"/>
      <c r="E30" s="24"/>
      <c r="F30" s="24"/>
      <c r="G30" s="38"/>
      <c r="H30" s="38"/>
      <c r="I30" s="14" t="str">
        <f t="shared" si="1"/>
        <v/>
      </c>
      <c r="J30" s="8" t="b">
        <v>0</v>
      </c>
      <c r="K30" s="15"/>
      <c r="L30" s="20"/>
      <c r="M30" s="39"/>
      <c r="N30" s="24"/>
      <c r="O30" s="20"/>
      <c r="P30" s="20"/>
    </row>
    <row r="31">
      <c r="A31" s="8"/>
      <c r="B31" s="37"/>
      <c r="C31" s="24"/>
      <c r="D31" s="24"/>
      <c r="E31" s="24"/>
      <c r="F31" s="24"/>
      <c r="G31" s="38"/>
      <c r="H31" s="38"/>
      <c r="I31" s="14" t="str">
        <f t="shared" si="1"/>
        <v/>
      </c>
      <c r="J31" s="8" t="b">
        <v>0</v>
      </c>
      <c r="K31" s="15"/>
      <c r="L31" s="20"/>
      <c r="M31" s="39"/>
      <c r="N31" s="24"/>
      <c r="O31" s="20"/>
      <c r="P31" s="20"/>
    </row>
    <row r="32">
      <c r="A32" s="8"/>
      <c r="B32" s="37"/>
      <c r="C32" s="24"/>
      <c r="D32" s="24"/>
      <c r="E32" s="24"/>
      <c r="F32" s="24"/>
      <c r="G32" s="38"/>
      <c r="H32" s="38"/>
      <c r="I32" s="14" t="str">
        <f t="shared" si="1"/>
        <v/>
      </c>
      <c r="J32" s="8" t="b">
        <v>0</v>
      </c>
      <c r="K32" s="15"/>
      <c r="L32" s="20"/>
      <c r="M32" s="39"/>
      <c r="N32" s="24"/>
      <c r="O32" s="20"/>
      <c r="P32" s="20"/>
    </row>
    <row r="33">
      <c r="A33" s="8"/>
      <c r="B33" s="37"/>
      <c r="C33" s="24"/>
      <c r="D33" s="18"/>
      <c r="E33" s="18"/>
      <c r="F33" s="18"/>
      <c r="G33" s="38"/>
      <c r="H33" s="38"/>
      <c r="I33" s="14" t="str">
        <f t="shared" si="1"/>
        <v/>
      </c>
      <c r="J33" s="8" t="b">
        <v>0</v>
      </c>
      <c r="K33" s="15"/>
      <c r="L33" s="20"/>
      <c r="M33" s="39"/>
      <c r="N33" s="24"/>
      <c r="O33" s="20"/>
      <c r="P33" s="20"/>
    </row>
    <row r="34">
      <c r="A34" s="8"/>
      <c r="B34" s="37"/>
      <c r="C34" s="24"/>
      <c r="D34" s="18"/>
      <c r="E34" s="18"/>
      <c r="F34" s="18"/>
      <c r="G34" s="38"/>
      <c r="H34" s="38"/>
      <c r="I34" s="14" t="str">
        <f t="shared" si="1"/>
        <v/>
      </c>
      <c r="J34" s="8" t="b">
        <v>0</v>
      </c>
      <c r="K34" s="15"/>
      <c r="L34" s="20"/>
      <c r="M34" s="39"/>
      <c r="N34" s="24"/>
      <c r="O34" s="20"/>
      <c r="P34" s="20"/>
    </row>
    <row r="35">
      <c r="A35" s="8"/>
      <c r="B35" s="37"/>
      <c r="C35" s="24"/>
      <c r="D35" s="18"/>
      <c r="E35" s="18"/>
      <c r="F35" s="18"/>
      <c r="G35" s="38"/>
      <c r="H35" s="38"/>
      <c r="I35" s="14" t="str">
        <f t="shared" si="1"/>
        <v/>
      </c>
      <c r="J35" s="8" t="b">
        <v>0</v>
      </c>
      <c r="K35" s="15"/>
      <c r="L35" s="20"/>
      <c r="M35" s="39"/>
      <c r="N35" s="24"/>
      <c r="O35" s="20"/>
      <c r="P35" s="20"/>
    </row>
    <row r="36">
      <c r="A36" s="8"/>
      <c r="B36" s="37"/>
      <c r="C36" s="24"/>
      <c r="D36" s="18"/>
      <c r="E36" s="18"/>
      <c r="F36" s="18"/>
      <c r="G36" s="38"/>
      <c r="H36" s="38"/>
      <c r="I36" s="14" t="str">
        <f t="shared" si="1"/>
        <v/>
      </c>
      <c r="J36" s="8" t="b">
        <v>0</v>
      </c>
      <c r="K36" s="15"/>
      <c r="L36" s="20"/>
      <c r="M36" s="39"/>
      <c r="N36" s="24"/>
      <c r="O36" s="20"/>
      <c r="P36" s="20"/>
    </row>
    <row r="37">
      <c r="A37" s="8"/>
      <c r="B37" s="37"/>
      <c r="C37" s="24"/>
      <c r="D37" s="18"/>
      <c r="E37" s="18"/>
      <c r="F37" s="18"/>
      <c r="G37" s="38"/>
      <c r="H37" s="38"/>
      <c r="I37" s="14" t="str">
        <f t="shared" si="1"/>
        <v/>
      </c>
      <c r="J37" s="8" t="b">
        <v>0</v>
      </c>
      <c r="K37" s="15"/>
      <c r="L37" s="20"/>
      <c r="M37" s="39"/>
      <c r="N37" s="24"/>
      <c r="O37" s="20"/>
      <c r="P37" s="20"/>
    </row>
    <row r="38">
      <c r="A38" s="8"/>
      <c r="B38" s="37"/>
      <c r="C38" s="24"/>
      <c r="D38" s="18"/>
      <c r="E38" s="18"/>
      <c r="F38" s="18"/>
      <c r="G38" s="38"/>
      <c r="H38" s="38"/>
      <c r="I38" s="14" t="str">
        <f t="shared" si="1"/>
        <v/>
      </c>
      <c r="J38" s="8" t="b">
        <v>0</v>
      </c>
      <c r="K38" s="15"/>
      <c r="L38" s="20"/>
      <c r="M38" s="39"/>
      <c r="N38" s="24"/>
      <c r="O38" s="20"/>
      <c r="P38" s="20"/>
    </row>
    <row r="39">
      <c r="A39" s="8"/>
      <c r="B39" s="37"/>
      <c r="C39" s="24"/>
      <c r="D39" s="18"/>
      <c r="E39" s="18"/>
      <c r="F39" s="18"/>
      <c r="G39" s="38"/>
      <c r="H39" s="38"/>
      <c r="I39" s="14" t="str">
        <f t="shared" si="1"/>
        <v/>
      </c>
      <c r="J39" s="8" t="b">
        <v>0</v>
      </c>
      <c r="K39" s="15"/>
      <c r="L39" s="20"/>
      <c r="M39" s="39"/>
      <c r="N39" s="24"/>
      <c r="O39" s="20"/>
      <c r="P39" s="20"/>
    </row>
    <row r="40">
      <c r="A40" s="8"/>
      <c r="B40" s="37"/>
      <c r="C40" s="24"/>
      <c r="D40" s="18"/>
      <c r="E40" s="18"/>
      <c r="F40" s="18"/>
      <c r="G40" s="38"/>
      <c r="H40" s="38"/>
      <c r="I40" s="14" t="str">
        <f t="shared" si="1"/>
        <v/>
      </c>
      <c r="J40" s="8" t="b">
        <v>0</v>
      </c>
      <c r="K40" s="15"/>
      <c r="L40" s="20"/>
      <c r="M40" s="39"/>
      <c r="N40" s="24"/>
      <c r="O40" s="20"/>
      <c r="P40" s="20"/>
    </row>
    <row r="41">
      <c r="A41" s="8"/>
      <c r="B41" s="37"/>
      <c r="C41" s="24"/>
      <c r="D41" s="18"/>
      <c r="E41" s="18"/>
      <c r="F41" s="18"/>
      <c r="G41" s="38"/>
      <c r="H41" s="38"/>
      <c r="I41" s="14" t="str">
        <f t="shared" si="1"/>
        <v/>
      </c>
      <c r="J41" s="8" t="b">
        <v>0</v>
      </c>
      <c r="K41" s="15"/>
      <c r="L41" s="20"/>
      <c r="M41" s="39"/>
      <c r="N41" s="24"/>
      <c r="O41" s="20"/>
      <c r="P41" s="20"/>
    </row>
    <row r="42">
      <c r="A42" s="8"/>
      <c r="B42" s="37"/>
      <c r="C42" s="24"/>
      <c r="D42" s="18"/>
      <c r="E42" s="18"/>
      <c r="F42" s="18"/>
      <c r="G42" s="38"/>
      <c r="H42" s="38"/>
      <c r="I42" s="14" t="str">
        <f t="shared" si="1"/>
        <v/>
      </c>
      <c r="J42" s="8" t="b">
        <v>0</v>
      </c>
      <c r="K42" s="15"/>
      <c r="L42" s="20"/>
      <c r="M42" s="39"/>
      <c r="N42" s="24"/>
      <c r="O42" s="20"/>
      <c r="P42" s="20"/>
    </row>
    <row r="43">
      <c r="A43" s="8"/>
      <c r="B43" s="37"/>
      <c r="C43" s="24"/>
      <c r="D43" s="18"/>
      <c r="E43" s="18"/>
      <c r="F43" s="18"/>
      <c r="G43" s="38"/>
      <c r="H43" s="38"/>
      <c r="I43" s="14" t="str">
        <f t="shared" si="1"/>
        <v/>
      </c>
      <c r="J43" s="8" t="b">
        <v>0</v>
      </c>
      <c r="K43" s="15"/>
      <c r="L43" s="20"/>
      <c r="M43" s="39"/>
      <c r="N43" s="24"/>
      <c r="O43" s="20"/>
      <c r="P43" s="20"/>
    </row>
    <row r="44">
      <c r="A44" s="8"/>
      <c r="B44" s="37"/>
      <c r="C44" s="24"/>
      <c r="D44" s="18"/>
      <c r="E44" s="18"/>
      <c r="F44" s="18"/>
      <c r="G44" s="38"/>
      <c r="H44" s="38"/>
      <c r="I44" s="14" t="str">
        <f t="shared" si="1"/>
        <v/>
      </c>
      <c r="J44" s="8" t="b">
        <v>0</v>
      </c>
      <c r="K44" s="15"/>
      <c r="L44" s="20"/>
      <c r="M44" s="39"/>
      <c r="N44" s="24"/>
      <c r="O44" s="20"/>
      <c r="P44" s="20"/>
    </row>
    <row r="45">
      <c r="A45" s="8"/>
      <c r="B45" s="37"/>
      <c r="C45" s="24"/>
      <c r="D45" s="18"/>
      <c r="E45" s="18"/>
      <c r="F45" s="18"/>
      <c r="G45" s="38"/>
      <c r="H45" s="38"/>
      <c r="I45" s="14" t="str">
        <f t="shared" si="1"/>
        <v/>
      </c>
      <c r="J45" s="8" t="b">
        <v>0</v>
      </c>
      <c r="K45" s="15"/>
      <c r="L45" s="20"/>
      <c r="M45" s="39"/>
      <c r="N45" s="24"/>
      <c r="O45" s="20"/>
      <c r="P45" s="20"/>
    </row>
    <row r="46">
      <c r="A46" s="8"/>
      <c r="B46" s="37"/>
      <c r="C46" s="24"/>
      <c r="D46" s="24"/>
      <c r="E46" s="24"/>
      <c r="F46" s="24"/>
      <c r="G46" s="38"/>
      <c r="H46" s="38"/>
      <c r="I46" s="14" t="str">
        <f t="shared" si="1"/>
        <v/>
      </c>
      <c r="J46" s="8" t="b">
        <v>0</v>
      </c>
      <c r="K46" s="15"/>
      <c r="L46" s="20"/>
      <c r="M46" s="39"/>
      <c r="N46" s="24"/>
      <c r="O46" s="20"/>
      <c r="P46" s="20"/>
    </row>
    <row r="47">
      <c r="A47" s="8"/>
      <c r="B47" s="37"/>
      <c r="C47" s="24"/>
      <c r="D47" s="24"/>
      <c r="E47" s="24"/>
      <c r="F47" s="24"/>
      <c r="G47" s="38"/>
      <c r="H47" s="38"/>
      <c r="I47" s="14" t="str">
        <f t="shared" si="1"/>
        <v/>
      </c>
      <c r="J47" s="8" t="b">
        <v>0</v>
      </c>
      <c r="K47" s="15"/>
      <c r="L47" s="20"/>
      <c r="M47" s="39"/>
      <c r="N47" s="24"/>
      <c r="O47" s="20"/>
      <c r="P47" s="20"/>
    </row>
    <row r="48">
      <c r="A48" s="8"/>
      <c r="B48" s="37"/>
      <c r="C48" s="24"/>
      <c r="D48" s="24"/>
      <c r="E48" s="24"/>
      <c r="F48" s="24"/>
      <c r="G48" s="38"/>
      <c r="H48" s="38"/>
      <c r="I48" s="14" t="str">
        <f t="shared" si="1"/>
        <v/>
      </c>
      <c r="J48" s="8" t="b">
        <v>0</v>
      </c>
      <c r="K48" s="15"/>
      <c r="L48" s="20"/>
      <c r="M48" s="39"/>
      <c r="N48" s="24"/>
      <c r="O48" s="20"/>
      <c r="P48" s="20"/>
    </row>
    <row r="49">
      <c r="A49" s="8"/>
      <c r="B49" s="37"/>
      <c r="C49" s="24"/>
      <c r="D49" s="24"/>
      <c r="E49" s="24"/>
      <c r="F49" s="24"/>
      <c r="G49" s="38"/>
      <c r="H49" s="38"/>
      <c r="I49" s="14" t="str">
        <f t="shared" si="1"/>
        <v/>
      </c>
      <c r="J49" s="8" t="b">
        <v>0</v>
      </c>
      <c r="K49" s="15"/>
      <c r="L49" s="20"/>
      <c r="M49" s="39"/>
      <c r="N49" s="24"/>
      <c r="O49" s="20"/>
      <c r="P49" s="20"/>
    </row>
    <row r="50">
      <c r="A50" s="8"/>
      <c r="B50" s="37"/>
      <c r="C50" s="24"/>
      <c r="D50" s="24"/>
      <c r="E50" s="24"/>
      <c r="F50" s="24"/>
      <c r="G50" s="38"/>
      <c r="H50" s="38"/>
      <c r="I50" s="14" t="str">
        <f t="shared" si="1"/>
        <v/>
      </c>
      <c r="J50" s="8" t="b">
        <v>0</v>
      </c>
      <c r="K50" s="15"/>
      <c r="L50" s="20"/>
      <c r="M50" s="39"/>
      <c r="N50" s="24"/>
      <c r="O50" s="20"/>
      <c r="P50" s="20"/>
    </row>
    <row r="51">
      <c r="A51" s="8"/>
      <c r="B51" s="37"/>
      <c r="C51" s="24"/>
      <c r="D51" s="24"/>
      <c r="E51" s="24"/>
      <c r="F51" s="24"/>
      <c r="G51" s="38"/>
      <c r="H51" s="38"/>
      <c r="I51" s="14" t="str">
        <f t="shared" si="1"/>
        <v/>
      </c>
      <c r="J51" s="8" t="b">
        <v>0</v>
      </c>
      <c r="K51" s="15"/>
      <c r="L51" s="20"/>
      <c r="M51" s="39"/>
      <c r="N51" s="24"/>
      <c r="O51" s="20"/>
      <c r="P51" s="20"/>
    </row>
    <row r="52">
      <c r="A52" s="8"/>
      <c r="B52" s="37"/>
      <c r="C52" s="24"/>
      <c r="D52" s="24"/>
      <c r="E52" s="24"/>
      <c r="F52" s="24"/>
      <c r="G52" s="38"/>
      <c r="H52" s="38"/>
      <c r="I52" s="14" t="str">
        <f t="shared" si="1"/>
        <v/>
      </c>
      <c r="J52" s="8" t="b">
        <v>0</v>
      </c>
      <c r="K52" s="15"/>
      <c r="L52" s="20"/>
      <c r="M52" s="39"/>
      <c r="N52" s="24"/>
      <c r="O52" s="20"/>
      <c r="P52" s="20"/>
    </row>
    <row r="53">
      <c r="A53" s="8"/>
      <c r="B53" s="37"/>
      <c r="C53" s="24"/>
      <c r="D53" s="24"/>
      <c r="E53" s="24"/>
      <c r="F53" s="24"/>
      <c r="G53" s="38"/>
      <c r="H53" s="38"/>
      <c r="I53" s="14" t="str">
        <f t="shared" si="1"/>
        <v/>
      </c>
      <c r="J53" s="8" t="b">
        <v>0</v>
      </c>
      <c r="K53" s="15"/>
      <c r="L53" s="20"/>
      <c r="M53" s="39"/>
      <c r="N53" s="24"/>
      <c r="O53" s="20"/>
      <c r="P53" s="20"/>
    </row>
    <row r="54">
      <c r="A54" s="8"/>
      <c r="B54" s="37"/>
      <c r="C54" s="24"/>
      <c r="D54" s="24"/>
      <c r="E54" s="24"/>
      <c r="F54" s="24"/>
      <c r="G54" s="38"/>
      <c r="H54" s="38"/>
      <c r="I54" s="14" t="str">
        <f t="shared" si="1"/>
        <v/>
      </c>
      <c r="J54" s="8" t="b">
        <v>0</v>
      </c>
      <c r="K54" s="15"/>
      <c r="L54" s="20"/>
      <c r="M54" s="39"/>
      <c r="N54" s="24"/>
      <c r="O54" s="20"/>
      <c r="P54" s="20"/>
    </row>
    <row r="55">
      <c r="A55" s="8"/>
      <c r="B55" s="37"/>
      <c r="C55" s="24"/>
      <c r="D55" s="24"/>
      <c r="E55" s="24"/>
      <c r="F55" s="24"/>
      <c r="G55" s="38"/>
      <c r="H55" s="38"/>
      <c r="I55" s="14" t="str">
        <f t="shared" si="1"/>
        <v/>
      </c>
      <c r="J55" s="8" t="b">
        <v>0</v>
      </c>
      <c r="K55" s="15"/>
      <c r="L55" s="20"/>
      <c r="M55" s="39"/>
      <c r="N55" s="24"/>
      <c r="O55" s="20"/>
      <c r="P55" s="20"/>
    </row>
    <row r="56">
      <c r="A56" s="8"/>
      <c r="B56" s="37"/>
      <c r="C56" s="24"/>
      <c r="D56" s="24"/>
      <c r="E56" s="24"/>
      <c r="F56" s="24"/>
      <c r="G56" s="38"/>
      <c r="H56" s="38"/>
      <c r="I56" s="14" t="str">
        <f t="shared" si="1"/>
        <v/>
      </c>
      <c r="J56" s="8" t="b">
        <v>0</v>
      </c>
      <c r="K56" s="15"/>
      <c r="L56" s="20"/>
      <c r="M56" s="39"/>
      <c r="N56" s="24"/>
      <c r="O56" s="20"/>
      <c r="P56" s="20"/>
    </row>
    <row r="57">
      <c r="A57" s="8"/>
      <c r="B57" s="37"/>
      <c r="C57" s="24"/>
      <c r="D57" s="24"/>
      <c r="E57" s="24"/>
      <c r="F57" s="24"/>
      <c r="G57" s="38"/>
      <c r="H57" s="38"/>
      <c r="I57" s="14" t="str">
        <f t="shared" si="1"/>
        <v/>
      </c>
      <c r="J57" s="8" t="b">
        <v>0</v>
      </c>
      <c r="K57" s="15"/>
      <c r="L57" s="20"/>
      <c r="M57" s="39"/>
      <c r="N57" s="24"/>
      <c r="O57" s="20"/>
      <c r="P57" s="20"/>
    </row>
    <row r="58">
      <c r="A58" s="8"/>
      <c r="B58" s="37"/>
      <c r="C58" s="24"/>
      <c r="D58" s="24"/>
      <c r="E58" s="24"/>
      <c r="F58" s="24"/>
      <c r="G58" s="38"/>
      <c r="H58" s="38"/>
      <c r="I58" s="14" t="str">
        <f t="shared" si="1"/>
        <v/>
      </c>
      <c r="J58" s="8" t="b">
        <v>0</v>
      </c>
      <c r="K58" s="15"/>
      <c r="L58" s="20"/>
      <c r="M58" s="39"/>
      <c r="N58" s="24"/>
      <c r="O58" s="20"/>
      <c r="P58" s="20"/>
    </row>
    <row r="59">
      <c r="A59" s="8"/>
      <c r="B59" s="37"/>
      <c r="C59" s="24"/>
      <c r="D59" s="24"/>
      <c r="E59" s="24"/>
      <c r="F59" s="24"/>
      <c r="G59" s="38"/>
      <c r="H59" s="38"/>
      <c r="I59" s="14" t="str">
        <f t="shared" si="1"/>
        <v/>
      </c>
      <c r="J59" s="8" t="b">
        <v>0</v>
      </c>
      <c r="K59" s="15"/>
      <c r="L59" s="20"/>
      <c r="M59" s="39"/>
      <c r="N59" s="24"/>
      <c r="O59" s="20"/>
      <c r="P59" s="20"/>
    </row>
    <row r="60">
      <c r="A60" s="8"/>
      <c r="B60" s="37"/>
      <c r="C60" s="24"/>
      <c r="D60" s="24"/>
      <c r="E60" s="24"/>
      <c r="F60" s="24"/>
      <c r="G60" s="38"/>
      <c r="H60" s="38"/>
      <c r="I60" s="14" t="str">
        <f t="shared" si="1"/>
        <v/>
      </c>
      <c r="J60" s="8" t="b">
        <v>0</v>
      </c>
      <c r="K60" s="15"/>
      <c r="L60" s="20"/>
      <c r="M60" s="39"/>
      <c r="N60" s="24"/>
      <c r="O60" s="20"/>
      <c r="P60" s="20"/>
    </row>
    <row r="61">
      <c r="A61" s="8"/>
      <c r="B61" s="37"/>
      <c r="C61" s="24"/>
      <c r="D61" s="24"/>
      <c r="E61" s="24"/>
      <c r="F61" s="24"/>
      <c r="G61" s="38"/>
      <c r="H61" s="38"/>
      <c r="I61" s="14" t="str">
        <f t="shared" si="1"/>
        <v/>
      </c>
      <c r="J61" s="8" t="b">
        <v>0</v>
      </c>
      <c r="K61" s="15"/>
      <c r="L61" s="20"/>
      <c r="M61" s="39"/>
      <c r="N61" s="24"/>
      <c r="O61" s="20"/>
      <c r="P61" s="20"/>
    </row>
    <row r="62">
      <c r="A62" s="8"/>
      <c r="B62" s="37"/>
      <c r="C62" s="24"/>
      <c r="D62" s="24"/>
      <c r="E62" s="24"/>
      <c r="F62" s="24"/>
      <c r="G62" s="38"/>
      <c r="H62" s="38"/>
      <c r="I62" s="14" t="str">
        <f t="shared" si="1"/>
        <v/>
      </c>
      <c r="J62" s="8" t="b">
        <v>0</v>
      </c>
      <c r="K62" s="15"/>
      <c r="L62" s="20"/>
      <c r="M62" s="39"/>
      <c r="N62" s="24"/>
      <c r="O62" s="20"/>
      <c r="P62" s="20"/>
    </row>
    <row r="63">
      <c r="A63" s="8"/>
      <c r="B63" s="37"/>
      <c r="C63" s="24"/>
      <c r="D63" s="24"/>
      <c r="E63" s="24"/>
      <c r="F63" s="24"/>
      <c r="G63" s="38"/>
      <c r="H63" s="38"/>
      <c r="I63" s="14" t="str">
        <f t="shared" si="1"/>
        <v/>
      </c>
      <c r="J63" s="8" t="b">
        <v>0</v>
      </c>
      <c r="K63" s="15"/>
      <c r="L63" s="20"/>
      <c r="M63" s="39"/>
      <c r="N63" s="24"/>
      <c r="O63" s="20"/>
      <c r="P63" s="20"/>
    </row>
    <row r="64">
      <c r="A64" s="8"/>
      <c r="B64" s="37"/>
      <c r="C64" s="24"/>
      <c r="D64" s="24"/>
      <c r="E64" s="24"/>
      <c r="F64" s="24"/>
      <c r="G64" s="38"/>
      <c r="H64" s="38"/>
      <c r="I64" s="14" t="str">
        <f t="shared" si="1"/>
        <v/>
      </c>
      <c r="J64" s="8" t="b">
        <v>0</v>
      </c>
      <c r="K64" s="15"/>
      <c r="L64" s="20"/>
      <c r="M64" s="39"/>
      <c r="N64" s="24"/>
      <c r="O64" s="20"/>
      <c r="P64" s="20"/>
    </row>
    <row r="65">
      <c r="A65" s="8"/>
      <c r="B65" s="37"/>
      <c r="C65" s="24"/>
      <c r="D65" s="24"/>
      <c r="E65" s="24"/>
      <c r="F65" s="24"/>
      <c r="G65" s="38"/>
      <c r="H65" s="38"/>
      <c r="I65" s="14" t="str">
        <f t="shared" si="1"/>
        <v/>
      </c>
      <c r="J65" s="8" t="b">
        <v>0</v>
      </c>
      <c r="K65" s="15"/>
      <c r="L65" s="20"/>
      <c r="M65" s="39"/>
      <c r="N65" s="24"/>
      <c r="O65" s="20"/>
      <c r="P65" s="20"/>
    </row>
    <row r="66">
      <c r="A66" s="8"/>
      <c r="B66" s="37"/>
      <c r="C66" s="24"/>
      <c r="D66" s="24"/>
      <c r="E66" s="24"/>
      <c r="F66" s="24"/>
      <c r="G66" s="38"/>
      <c r="H66" s="38"/>
      <c r="I66" s="14" t="str">
        <f t="shared" si="1"/>
        <v/>
      </c>
      <c r="J66" s="8" t="b">
        <v>0</v>
      </c>
      <c r="K66" s="15"/>
      <c r="L66" s="20"/>
      <c r="M66" s="39"/>
      <c r="N66" s="24"/>
      <c r="O66" s="20"/>
      <c r="P66" s="20"/>
    </row>
    <row r="67">
      <c r="A67" s="8"/>
      <c r="B67" s="37"/>
      <c r="C67" s="24"/>
      <c r="D67" s="24"/>
      <c r="E67" s="24"/>
      <c r="F67" s="24"/>
      <c r="G67" s="38"/>
      <c r="H67" s="38"/>
      <c r="I67" s="14" t="str">
        <f t="shared" si="1"/>
        <v/>
      </c>
      <c r="J67" s="8" t="b">
        <v>0</v>
      </c>
      <c r="K67" s="15"/>
      <c r="L67" s="20"/>
      <c r="M67" s="39"/>
      <c r="N67" s="24"/>
      <c r="O67" s="20"/>
      <c r="P67" s="20"/>
    </row>
    <row r="68">
      <c r="A68" s="8"/>
      <c r="B68" s="37"/>
      <c r="C68" s="24"/>
      <c r="D68" s="24"/>
      <c r="E68" s="24"/>
      <c r="F68" s="24"/>
      <c r="G68" s="38"/>
      <c r="H68" s="38"/>
      <c r="I68" s="14" t="str">
        <f t="shared" si="1"/>
        <v/>
      </c>
      <c r="J68" s="8" t="b">
        <v>0</v>
      </c>
      <c r="K68" s="15"/>
      <c r="L68" s="20"/>
      <c r="M68" s="39"/>
      <c r="N68" s="24"/>
      <c r="O68" s="20"/>
      <c r="P68" s="20"/>
    </row>
    <row r="69">
      <c r="A69" s="8"/>
      <c r="B69" s="37"/>
      <c r="C69" s="24"/>
      <c r="D69" s="24"/>
      <c r="E69" s="24"/>
      <c r="F69" s="24"/>
      <c r="G69" s="38"/>
      <c r="H69" s="38"/>
      <c r="I69" s="14" t="str">
        <f t="shared" si="1"/>
        <v/>
      </c>
      <c r="J69" s="8" t="b">
        <v>0</v>
      </c>
      <c r="K69" s="15"/>
      <c r="L69" s="20"/>
      <c r="M69" s="39"/>
      <c r="N69" s="24"/>
      <c r="O69" s="20"/>
      <c r="P69" s="20"/>
    </row>
    <row r="70">
      <c r="A70" s="8"/>
      <c r="B70" s="37"/>
      <c r="C70" s="24"/>
      <c r="D70" s="24"/>
      <c r="E70" s="24"/>
      <c r="F70" s="24"/>
      <c r="G70" s="38"/>
      <c r="H70" s="38"/>
      <c r="I70" s="14" t="str">
        <f t="shared" si="1"/>
        <v/>
      </c>
      <c r="J70" s="8" t="b">
        <v>0</v>
      </c>
      <c r="K70" s="15"/>
      <c r="L70" s="20"/>
      <c r="M70" s="39"/>
      <c r="N70" s="24"/>
      <c r="O70" s="20"/>
      <c r="P70" s="20"/>
    </row>
    <row r="71">
      <c r="A71" s="8"/>
      <c r="B71" s="37"/>
      <c r="C71" s="24"/>
      <c r="D71" s="24"/>
      <c r="E71" s="24"/>
      <c r="F71" s="24"/>
      <c r="G71" s="38"/>
      <c r="H71" s="38"/>
      <c r="I71" s="14" t="str">
        <f t="shared" si="1"/>
        <v/>
      </c>
      <c r="J71" s="8" t="b">
        <v>0</v>
      </c>
      <c r="K71" s="15"/>
      <c r="L71" s="20"/>
      <c r="M71" s="39"/>
      <c r="N71" s="24"/>
      <c r="O71" s="20"/>
      <c r="P71" s="20"/>
    </row>
    <row r="72">
      <c r="A72" s="8"/>
      <c r="B72" s="37"/>
      <c r="C72" s="24"/>
      <c r="D72" s="24"/>
      <c r="E72" s="24"/>
      <c r="F72" s="24"/>
      <c r="G72" s="38"/>
      <c r="H72" s="38"/>
      <c r="I72" s="14" t="str">
        <f t="shared" si="1"/>
        <v/>
      </c>
      <c r="J72" s="8" t="b">
        <v>0</v>
      </c>
      <c r="K72" s="15"/>
      <c r="L72" s="20"/>
      <c r="M72" s="39"/>
      <c r="N72" s="24"/>
      <c r="O72" s="20"/>
      <c r="P72" s="20"/>
    </row>
    <row r="73">
      <c r="A73" s="8"/>
      <c r="B73" s="37"/>
      <c r="C73" s="24"/>
      <c r="D73" s="24"/>
      <c r="E73" s="24"/>
      <c r="F73" s="24"/>
      <c r="G73" s="38"/>
      <c r="H73" s="38"/>
      <c r="I73" s="14" t="str">
        <f t="shared" si="1"/>
        <v/>
      </c>
      <c r="J73" s="8" t="b">
        <v>0</v>
      </c>
      <c r="K73" s="15"/>
      <c r="L73" s="20"/>
      <c r="M73" s="39"/>
      <c r="N73" s="24"/>
      <c r="O73" s="20"/>
      <c r="P73" s="20"/>
    </row>
    <row r="74">
      <c r="A74" s="8"/>
      <c r="B74" s="37"/>
      <c r="C74" s="24"/>
      <c r="D74" s="24"/>
      <c r="E74" s="24"/>
      <c r="F74" s="24"/>
      <c r="G74" s="38"/>
      <c r="H74" s="38"/>
      <c r="I74" s="14" t="str">
        <f t="shared" si="1"/>
        <v/>
      </c>
      <c r="J74" s="8" t="b">
        <v>0</v>
      </c>
      <c r="K74" s="15"/>
      <c r="L74" s="20"/>
      <c r="M74" s="39"/>
      <c r="N74" s="24"/>
      <c r="O74" s="20"/>
      <c r="P74" s="20"/>
    </row>
    <row r="75">
      <c r="A75" s="8"/>
      <c r="B75" s="37"/>
      <c r="C75" s="24"/>
      <c r="D75" s="24"/>
      <c r="E75" s="24"/>
      <c r="F75" s="24"/>
      <c r="G75" s="38"/>
      <c r="H75" s="38"/>
      <c r="I75" s="14" t="str">
        <f t="shared" si="1"/>
        <v/>
      </c>
      <c r="J75" s="8" t="b">
        <v>0</v>
      </c>
      <c r="K75" s="15"/>
      <c r="L75" s="20"/>
      <c r="M75" s="39"/>
      <c r="N75" s="24"/>
      <c r="O75" s="20"/>
      <c r="P75" s="20"/>
    </row>
    <row r="76">
      <c r="A76" s="8"/>
      <c r="B76" s="37"/>
      <c r="C76" s="24"/>
      <c r="D76" s="24"/>
      <c r="E76" s="24"/>
      <c r="F76" s="24"/>
      <c r="G76" s="38"/>
      <c r="H76" s="38"/>
      <c r="I76" s="14" t="str">
        <f t="shared" si="1"/>
        <v/>
      </c>
      <c r="J76" s="8" t="b">
        <v>0</v>
      </c>
      <c r="K76" s="15"/>
      <c r="L76" s="20"/>
      <c r="M76" s="39"/>
      <c r="N76" s="24"/>
      <c r="O76" s="20"/>
      <c r="P76" s="20"/>
    </row>
    <row r="77">
      <c r="A77" s="8"/>
      <c r="B77" s="37"/>
      <c r="C77" s="24"/>
      <c r="D77" s="24"/>
      <c r="E77" s="24"/>
      <c r="F77" s="24"/>
      <c r="G77" s="38"/>
      <c r="H77" s="38"/>
      <c r="I77" s="14" t="str">
        <f t="shared" si="1"/>
        <v/>
      </c>
      <c r="J77" s="8" t="b">
        <v>0</v>
      </c>
      <c r="K77" s="15"/>
      <c r="L77" s="20"/>
      <c r="M77" s="39"/>
      <c r="N77" s="24"/>
      <c r="O77" s="20"/>
      <c r="P77" s="20"/>
    </row>
    <row r="78">
      <c r="A78" s="8"/>
      <c r="B78" s="37"/>
      <c r="C78" s="24"/>
      <c r="D78" s="24"/>
      <c r="E78" s="24"/>
      <c r="F78" s="24"/>
      <c r="G78" s="38"/>
      <c r="H78" s="38"/>
      <c r="I78" s="14" t="str">
        <f t="shared" si="1"/>
        <v/>
      </c>
      <c r="J78" s="8" t="b">
        <v>0</v>
      </c>
      <c r="K78" s="15"/>
      <c r="L78" s="20"/>
      <c r="M78" s="39"/>
      <c r="N78" s="24"/>
      <c r="O78" s="20"/>
      <c r="P78" s="20"/>
    </row>
    <row r="79">
      <c r="A79" s="8"/>
      <c r="B79" s="37"/>
      <c r="C79" s="24"/>
      <c r="D79" s="24"/>
      <c r="E79" s="24"/>
      <c r="F79" s="24"/>
      <c r="G79" s="38"/>
      <c r="H79" s="38"/>
      <c r="I79" s="14" t="str">
        <f t="shared" si="1"/>
        <v/>
      </c>
      <c r="J79" s="8" t="b">
        <v>0</v>
      </c>
      <c r="K79" s="15"/>
      <c r="L79" s="20"/>
      <c r="M79" s="39"/>
      <c r="N79" s="24"/>
      <c r="O79" s="20"/>
      <c r="P79" s="20"/>
    </row>
    <row r="80">
      <c r="A80" s="8"/>
      <c r="B80" s="37"/>
      <c r="C80" s="24"/>
      <c r="D80" s="24"/>
      <c r="E80" s="24"/>
      <c r="F80" s="24"/>
      <c r="G80" s="38"/>
      <c r="H80" s="38"/>
      <c r="I80" s="14" t="str">
        <f t="shared" si="1"/>
        <v/>
      </c>
      <c r="J80" s="8" t="b">
        <v>0</v>
      </c>
      <c r="K80" s="15"/>
      <c r="L80" s="20"/>
      <c r="M80" s="39"/>
      <c r="N80" s="24"/>
      <c r="O80" s="20"/>
      <c r="P80" s="20"/>
    </row>
    <row r="81">
      <c r="A81" s="8"/>
      <c r="B81" s="37"/>
      <c r="C81" s="24"/>
      <c r="D81" s="24"/>
      <c r="E81" s="24"/>
      <c r="F81" s="24"/>
      <c r="G81" s="38"/>
      <c r="H81" s="38"/>
      <c r="I81" s="14" t="str">
        <f t="shared" si="1"/>
        <v/>
      </c>
      <c r="J81" s="8" t="b">
        <v>0</v>
      </c>
      <c r="K81" s="15"/>
      <c r="L81" s="20"/>
      <c r="M81" s="39"/>
      <c r="N81" s="24"/>
      <c r="O81" s="20"/>
      <c r="P81" s="20"/>
    </row>
    <row r="82">
      <c r="A82" s="8"/>
      <c r="B82" s="37"/>
      <c r="C82" s="24"/>
      <c r="D82" s="24"/>
      <c r="E82" s="24"/>
      <c r="F82" s="24"/>
      <c r="G82" s="38"/>
      <c r="H82" s="38"/>
      <c r="I82" s="14" t="str">
        <f t="shared" si="1"/>
        <v/>
      </c>
      <c r="J82" s="8" t="b">
        <v>0</v>
      </c>
      <c r="K82" s="15"/>
      <c r="L82" s="20"/>
      <c r="M82" s="39"/>
      <c r="N82" s="24"/>
      <c r="O82" s="20"/>
      <c r="P82" s="20"/>
    </row>
    <row r="83">
      <c r="A83" s="8"/>
      <c r="B83" s="37"/>
      <c r="C83" s="24"/>
      <c r="D83" s="24"/>
      <c r="E83" s="24"/>
      <c r="F83" s="24"/>
      <c r="G83" s="38"/>
      <c r="H83" s="38"/>
      <c r="I83" s="14" t="str">
        <f t="shared" si="1"/>
        <v/>
      </c>
      <c r="J83" s="8" t="b">
        <v>0</v>
      </c>
      <c r="K83" s="15"/>
      <c r="L83" s="20"/>
      <c r="M83" s="39"/>
      <c r="N83" s="24"/>
      <c r="O83" s="20"/>
      <c r="P83" s="20"/>
    </row>
    <row r="84">
      <c r="A84" s="8"/>
      <c r="B84" s="37"/>
      <c r="C84" s="24"/>
      <c r="D84" s="24"/>
      <c r="E84" s="24"/>
      <c r="F84" s="24"/>
      <c r="G84" s="38"/>
      <c r="H84" s="38"/>
      <c r="I84" s="14" t="str">
        <f t="shared" si="1"/>
        <v/>
      </c>
      <c r="J84" s="8" t="b">
        <v>0</v>
      </c>
      <c r="K84" s="15"/>
      <c r="L84" s="20"/>
      <c r="M84" s="39"/>
      <c r="N84" s="24"/>
      <c r="O84" s="20"/>
      <c r="P84" s="20"/>
    </row>
    <row r="85">
      <c r="A85" s="8"/>
      <c r="B85" s="37"/>
      <c r="C85" s="24"/>
      <c r="D85" s="24"/>
      <c r="E85" s="24"/>
      <c r="F85" s="24"/>
      <c r="G85" s="38"/>
      <c r="H85" s="38"/>
      <c r="I85" s="14" t="str">
        <f t="shared" si="1"/>
        <v/>
      </c>
      <c r="J85" s="8" t="b">
        <v>0</v>
      </c>
      <c r="K85" s="15"/>
      <c r="L85" s="20"/>
      <c r="M85" s="39"/>
      <c r="N85" s="24"/>
      <c r="O85" s="20"/>
      <c r="P85" s="20"/>
    </row>
    <row r="86">
      <c r="A86" s="8"/>
      <c r="B86" s="37"/>
      <c r="C86" s="24"/>
      <c r="D86" s="24"/>
      <c r="E86" s="24"/>
      <c r="F86" s="24"/>
      <c r="G86" s="38"/>
      <c r="H86" s="38"/>
      <c r="I86" s="14" t="str">
        <f t="shared" si="1"/>
        <v/>
      </c>
      <c r="J86" s="8" t="b">
        <v>0</v>
      </c>
      <c r="K86" s="15"/>
      <c r="L86" s="20"/>
      <c r="M86" s="39"/>
      <c r="N86" s="24"/>
      <c r="O86" s="20"/>
      <c r="P86" s="20"/>
    </row>
    <row r="87">
      <c r="A87" s="8"/>
      <c r="B87" s="37"/>
      <c r="C87" s="24"/>
      <c r="D87" s="24"/>
      <c r="E87" s="24"/>
      <c r="F87" s="24"/>
      <c r="G87" s="38"/>
      <c r="H87" s="38"/>
      <c r="I87" s="14" t="str">
        <f t="shared" si="1"/>
        <v/>
      </c>
      <c r="J87" s="8" t="b">
        <v>0</v>
      </c>
      <c r="K87" s="15"/>
      <c r="L87" s="20"/>
      <c r="M87" s="39"/>
      <c r="N87" s="24"/>
      <c r="O87" s="20"/>
      <c r="P87" s="20"/>
    </row>
    <row r="88">
      <c r="A88" s="8"/>
      <c r="B88" s="37"/>
      <c r="C88" s="24"/>
      <c r="D88" s="24"/>
      <c r="E88" s="24"/>
      <c r="F88" s="24"/>
      <c r="G88" s="38"/>
      <c r="H88" s="38"/>
      <c r="I88" s="14" t="str">
        <f t="shared" si="1"/>
        <v/>
      </c>
      <c r="J88" s="8" t="b">
        <v>0</v>
      </c>
      <c r="K88" s="15"/>
      <c r="L88" s="20"/>
      <c r="M88" s="39"/>
      <c r="N88" s="24"/>
      <c r="O88" s="20"/>
      <c r="P88" s="20"/>
    </row>
    <row r="89">
      <c r="A89" s="8"/>
      <c r="B89" s="37"/>
      <c r="C89" s="24"/>
      <c r="D89" s="24"/>
      <c r="E89" s="24"/>
      <c r="F89" s="24"/>
      <c r="G89" s="38"/>
      <c r="H89" s="38"/>
      <c r="I89" s="14" t="str">
        <f t="shared" si="1"/>
        <v/>
      </c>
      <c r="J89" s="8" t="b">
        <v>0</v>
      </c>
      <c r="K89" s="15"/>
      <c r="L89" s="20"/>
      <c r="M89" s="39"/>
      <c r="N89" s="24"/>
      <c r="O89" s="20"/>
      <c r="P89" s="20"/>
    </row>
    <row r="90">
      <c r="A90" s="8"/>
      <c r="B90" s="37"/>
      <c r="C90" s="24"/>
      <c r="D90" s="24"/>
      <c r="E90" s="24"/>
      <c r="F90" s="24"/>
      <c r="G90" s="38"/>
      <c r="H90" s="38"/>
      <c r="I90" s="14" t="str">
        <f t="shared" si="1"/>
        <v/>
      </c>
      <c r="J90" s="8" t="b">
        <v>0</v>
      </c>
      <c r="K90" s="15"/>
      <c r="L90" s="20"/>
      <c r="M90" s="39"/>
      <c r="N90" s="24"/>
      <c r="O90" s="20"/>
      <c r="P90" s="20"/>
    </row>
    <row r="91">
      <c r="A91" s="8"/>
      <c r="B91" s="37"/>
      <c r="C91" s="24"/>
      <c r="D91" s="24"/>
      <c r="E91" s="24"/>
      <c r="F91" s="24"/>
      <c r="G91" s="38"/>
      <c r="H91" s="38"/>
      <c r="I91" s="14" t="str">
        <f t="shared" si="1"/>
        <v/>
      </c>
      <c r="J91" s="8" t="b">
        <v>0</v>
      </c>
      <c r="K91" s="15"/>
      <c r="L91" s="20"/>
      <c r="M91" s="39"/>
      <c r="N91" s="24"/>
      <c r="O91" s="20"/>
      <c r="P91" s="20"/>
    </row>
    <row r="92">
      <c r="A92" s="8"/>
      <c r="B92" s="37"/>
      <c r="C92" s="24"/>
      <c r="D92" s="24"/>
      <c r="E92" s="24"/>
      <c r="F92" s="24"/>
      <c r="G92" s="38"/>
      <c r="H92" s="38"/>
      <c r="I92" s="14" t="str">
        <f t="shared" si="1"/>
        <v/>
      </c>
      <c r="J92" s="8" t="b">
        <v>0</v>
      </c>
      <c r="K92" s="15"/>
      <c r="L92" s="20"/>
      <c r="M92" s="39"/>
      <c r="N92" s="24"/>
      <c r="O92" s="20"/>
      <c r="P92" s="20"/>
    </row>
    <row r="93">
      <c r="A93" s="8"/>
      <c r="B93" s="37"/>
      <c r="C93" s="24"/>
      <c r="D93" s="24"/>
      <c r="E93" s="24"/>
      <c r="F93" s="24"/>
      <c r="G93" s="38"/>
      <c r="H93" s="38"/>
      <c r="I93" s="14" t="str">
        <f t="shared" si="1"/>
        <v/>
      </c>
      <c r="J93" s="8" t="b">
        <v>0</v>
      </c>
      <c r="K93" s="15"/>
      <c r="L93" s="20"/>
      <c r="M93" s="39"/>
      <c r="N93" s="24"/>
      <c r="O93" s="20"/>
      <c r="P93" s="20"/>
    </row>
    <row r="94">
      <c r="A94" s="8"/>
      <c r="B94" s="37"/>
      <c r="C94" s="24"/>
      <c r="D94" s="24"/>
      <c r="E94" s="24"/>
      <c r="F94" s="24"/>
      <c r="G94" s="38"/>
      <c r="H94" s="38"/>
      <c r="I94" s="14" t="str">
        <f t="shared" si="1"/>
        <v/>
      </c>
      <c r="J94" s="8" t="b">
        <v>0</v>
      </c>
      <c r="K94" s="15"/>
      <c r="L94" s="20"/>
      <c r="M94" s="39"/>
      <c r="N94" s="24"/>
      <c r="O94" s="20"/>
      <c r="P94" s="20"/>
    </row>
    <row r="95">
      <c r="A95" s="8"/>
      <c r="B95" s="37"/>
      <c r="C95" s="24"/>
      <c r="D95" s="24"/>
      <c r="E95" s="24"/>
      <c r="F95" s="24"/>
      <c r="G95" s="38"/>
      <c r="H95" s="38"/>
      <c r="I95" s="14" t="str">
        <f t="shared" si="1"/>
        <v/>
      </c>
      <c r="J95" s="8" t="b">
        <v>0</v>
      </c>
      <c r="K95" s="15"/>
      <c r="L95" s="20"/>
      <c r="M95" s="39"/>
      <c r="N95" s="24"/>
      <c r="O95" s="20"/>
      <c r="P95" s="20"/>
    </row>
    <row r="96">
      <c r="A96" s="8"/>
      <c r="B96" s="37"/>
      <c r="C96" s="24"/>
      <c r="D96" s="24"/>
      <c r="E96" s="24"/>
      <c r="F96" s="24"/>
      <c r="G96" s="38"/>
      <c r="H96" s="38"/>
      <c r="I96" s="14" t="str">
        <f t="shared" si="1"/>
        <v/>
      </c>
      <c r="J96" s="8" t="b">
        <v>0</v>
      </c>
      <c r="K96" s="15"/>
      <c r="L96" s="20"/>
      <c r="M96" s="39"/>
      <c r="N96" s="24"/>
      <c r="O96" s="20"/>
      <c r="P96" s="20"/>
    </row>
    <row r="97">
      <c r="A97" s="8"/>
      <c r="B97" s="37"/>
      <c r="C97" s="24"/>
      <c r="D97" s="24"/>
      <c r="E97" s="24"/>
      <c r="F97" s="24"/>
      <c r="G97" s="38"/>
      <c r="H97" s="38"/>
      <c r="I97" s="14" t="str">
        <f t="shared" si="1"/>
        <v/>
      </c>
      <c r="J97" s="8" t="b">
        <v>0</v>
      </c>
      <c r="K97" s="15"/>
      <c r="L97" s="20"/>
      <c r="M97" s="39"/>
      <c r="N97" s="24"/>
      <c r="O97" s="20"/>
      <c r="P97" s="20"/>
    </row>
    <row r="98">
      <c r="A98" s="8"/>
      <c r="B98" s="37"/>
      <c r="C98" s="24"/>
      <c r="D98" s="24"/>
      <c r="E98" s="24"/>
      <c r="F98" s="24"/>
      <c r="G98" s="38"/>
      <c r="H98" s="38"/>
      <c r="I98" s="14" t="str">
        <f t="shared" si="1"/>
        <v/>
      </c>
      <c r="J98" s="8" t="b">
        <v>0</v>
      </c>
      <c r="K98" s="15"/>
      <c r="L98" s="20"/>
      <c r="M98" s="39"/>
      <c r="N98" s="24"/>
      <c r="O98" s="20"/>
      <c r="P98" s="20"/>
    </row>
    <row r="99">
      <c r="A99" s="8"/>
      <c r="B99" s="37"/>
      <c r="C99" s="24"/>
      <c r="D99" s="24"/>
      <c r="E99" s="24"/>
      <c r="F99" s="24"/>
      <c r="G99" s="38"/>
      <c r="H99" s="38"/>
      <c r="I99" s="14" t="str">
        <f t="shared" si="1"/>
        <v/>
      </c>
      <c r="J99" s="8" t="b">
        <v>0</v>
      </c>
      <c r="K99" s="15"/>
      <c r="L99" s="20"/>
      <c r="M99" s="39"/>
      <c r="N99" s="24"/>
      <c r="O99" s="20"/>
      <c r="P99" s="20"/>
    </row>
    <row r="100">
      <c r="A100" s="8"/>
      <c r="B100" s="37"/>
      <c r="C100" s="24"/>
      <c r="D100" s="24"/>
      <c r="E100" s="24"/>
      <c r="F100" s="24"/>
      <c r="G100" s="38"/>
      <c r="H100" s="38"/>
      <c r="I100" s="14" t="str">
        <f t="shared" si="1"/>
        <v/>
      </c>
      <c r="J100" s="8" t="b">
        <v>0</v>
      </c>
      <c r="K100" s="15"/>
      <c r="L100" s="20"/>
      <c r="M100" s="39"/>
      <c r="N100" s="24"/>
      <c r="O100" s="20"/>
      <c r="P100" s="20"/>
    </row>
    <row r="101">
      <c r="A101" s="8"/>
      <c r="B101" s="37"/>
      <c r="C101" s="24"/>
      <c r="D101" s="24"/>
      <c r="E101" s="24"/>
      <c r="F101" s="24"/>
      <c r="G101" s="38"/>
      <c r="H101" s="38"/>
      <c r="I101" s="14" t="str">
        <f t="shared" si="1"/>
        <v/>
      </c>
      <c r="J101" s="8" t="b">
        <v>0</v>
      </c>
      <c r="K101" s="15"/>
      <c r="L101" s="20"/>
      <c r="M101" s="39"/>
      <c r="N101" s="24"/>
      <c r="O101" s="20"/>
      <c r="P101" s="20"/>
    </row>
    <row r="102">
      <c r="A102" s="8"/>
      <c r="B102" s="37"/>
      <c r="C102" s="24"/>
      <c r="D102" s="24"/>
      <c r="E102" s="24"/>
      <c r="F102" s="24"/>
      <c r="G102" s="38"/>
      <c r="H102" s="38"/>
      <c r="I102" s="14" t="str">
        <f t="shared" si="1"/>
        <v/>
      </c>
      <c r="J102" s="8" t="b">
        <v>0</v>
      </c>
      <c r="K102" s="15"/>
      <c r="L102" s="20"/>
      <c r="M102" s="39"/>
      <c r="N102" s="24"/>
      <c r="O102" s="20"/>
      <c r="P102" s="20"/>
    </row>
    <row r="103">
      <c r="A103" s="8"/>
      <c r="B103" s="37"/>
      <c r="C103" s="24"/>
      <c r="D103" s="24"/>
      <c r="E103" s="24"/>
      <c r="F103" s="24"/>
      <c r="G103" s="38"/>
      <c r="H103" s="38"/>
      <c r="I103" s="14" t="str">
        <f t="shared" si="1"/>
        <v/>
      </c>
      <c r="J103" s="8" t="b">
        <v>0</v>
      </c>
      <c r="K103" s="15"/>
      <c r="L103" s="20"/>
      <c r="M103" s="39"/>
      <c r="N103" s="24"/>
      <c r="O103" s="20"/>
      <c r="P103" s="20"/>
    </row>
    <row r="104">
      <c r="A104" s="8"/>
      <c r="B104" s="37"/>
      <c r="C104" s="24"/>
      <c r="D104" s="24"/>
      <c r="E104" s="24"/>
      <c r="F104" s="24"/>
      <c r="G104" s="38"/>
      <c r="H104" s="38"/>
      <c r="I104" s="14" t="str">
        <f t="shared" si="1"/>
        <v/>
      </c>
      <c r="J104" s="8" t="b">
        <v>0</v>
      </c>
      <c r="K104" s="15"/>
      <c r="L104" s="20"/>
      <c r="M104" s="39"/>
      <c r="N104" s="24"/>
      <c r="O104" s="20"/>
      <c r="P104" s="20"/>
    </row>
    <row r="105">
      <c r="A105" s="8"/>
      <c r="B105" s="37"/>
      <c r="C105" s="24"/>
      <c r="D105" s="24"/>
      <c r="E105" s="24"/>
      <c r="F105" s="24"/>
      <c r="G105" s="38"/>
      <c r="H105" s="38"/>
      <c r="I105" s="14" t="str">
        <f t="shared" si="1"/>
        <v/>
      </c>
      <c r="J105" s="8" t="b">
        <v>0</v>
      </c>
      <c r="K105" s="15"/>
      <c r="L105" s="20"/>
      <c r="M105" s="39"/>
      <c r="N105" s="24"/>
      <c r="O105" s="20"/>
      <c r="P105" s="20"/>
    </row>
    <row r="106">
      <c r="A106" s="8"/>
      <c r="B106" s="37"/>
      <c r="C106" s="24"/>
      <c r="D106" s="24"/>
      <c r="E106" s="24"/>
      <c r="F106" s="24"/>
      <c r="G106" s="38"/>
      <c r="H106" s="38"/>
      <c r="I106" s="14" t="str">
        <f t="shared" si="1"/>
        <v/>
      </c>
      <c r="J106" s="8" t="b">
        <v>0</v>
      </c>
      <c r="K106" s="15"/>
      <c r="L106" s="20"/>
      <c r="M106" s="39"/>
      <c r="N106" s="24"/>
      <c r="O106" s="20"/>
      <c r="P106" s="20"/>
    </row>
    <row r="107">
      <c r="A107" s="8"/>
      <c r="B107" s="37"/>
      <c r="C107" s="24"/>
      <c r="D107" s="24"/>
      <c r="E107" s="24"/>
      <c r="F107" s="24"/>
      <c r="G107" s="38"/>
      <c r="H107" s="38"/>
      <c r="I107" s="14" t="str">
        <f t="shared" si="1"/>
        <v/>
      </c>
      <c r="J107" s="8" t="b">
        <v>0</v>
      </c>
      <c r="K107" s="15"/>
      <c r="L107" s="20"/>
      <c r="M107" s="39"/>
      <c r="N107" s="24"/>
      <c r="O107" s="20"/>
      <c r="P107" s="20"/>
    </row>
    <row r="108">
      <c r="A108" s="8"/>
      <c r="B108" s="37"/>
      <c r="C108" s="24"/>
      <c r="D108" s="24"/>
      <c r="E108" s="24"/>
      <c r="F108" s="24"/>
      <c r="G108" s="38"/>
      <c r="H108" s="38"/>
      <c r="I108" s="14" t="str">
        <f t="shared" si="1"/>
        <v/>
      </c>
      <c r="J108" s="8" t="b">
        <v>0</v>
      </c>
      <c r="K108" s="15"/>
      <c r="L108" s="20"/>
      <c r="M108" s="39"/>
      <c r="N108" s="24"/>
      <c r="O108" s="20"/>
      <c r="P108" s="20"/>
    </row>
    <row r="109">
      <c r="A109" s="8"/>
      <c r="B109" s="37"/>
      <c r="C109" s="24"/>
      <c r="D109" s="24"/>
      <c r="E109" s="24"/>
      <c r="F109" s="24"/>
      <c r="G109" s="38"/>
      <c r="H109" s="38"/>
      <c r="I109" s="14" t="str">
        <f t="shared" si="1"/>
        <v/>
      </c>
      <c r="J109" s="8" t="b">
        <v>0</v>
      </c>
      <c r="K109" s="15"/>
      <c r="L109" s="20"/>
      <c r="M109" s="39"/>
      <c r="N109" s="24"/>
      <c r="O109" s="20"/>
      <c r="P109" s="20"/>
    </row>
    <row r="110">
      <c r="A110" s="8"/>
      <c r="B110" s="37"/>
      <c r="C110" s="24"/>
      <c r="D110" s="24"/>
      <c r="E110" s="24"/>
      <c r="F110" s="24"/>
      <c r="G110" s="38"/>
      <c r="H110" s="38"/>
      <c r="I110" s="14" t="str">
        <f t="shared" si="1"/>
        <v/>
      </c>
      <c r="J110" s="8" t="b">
        <v>0</v>
      </c>
      <c r="K110" s="15"/>
      <c r="L110" s="20"/>
      <c r="M110" s="39"/>
      <c r="N110" s="24"/>
      <c r="O110" s="20"/>
      <c r="P110" s="20"/>
    </row>
    <row r="111">
      <c r="A111" s="8"/>
      <c r="B111" s="37"/>
      <c r="C111" s="24"/>
      <c r="D111" s="24"/>
      <c r="E111" s="24"/>
      <c r="F111" s="24"/>
      <c r="G111" s="38"/>
      <c r="H111" s="38"/>
      <c r="I111" s="14" t="str">
        <f t="shared" si="1"/>
        <v/>
      </c>
      <c r="J111" s="8" t="b">
        <v>0</v>
      </c>
      <c r="K111" s="15"/>
      <c r="L111" s="20"/>
      <c r="M111" s="39"/>
      <c r="N111" s="24"/>
      <c r="O111" s="20"/>
      <c r="P111" s="20"/>
    </row>
    <row r="112">
      <c r="A112" s="8"/>
      <c r="B112" s="37"/>
      <c r="C112" s="24"/>
      <c r="D112" s="24"/>
      <c r="E112" s="24"/>
      <c r="F112" s="24"/>
      <c r="G112" s="38"/>
      <c r="H112" s="38"/>
      <c r="I112" s="14" t="str">
        <f t="shared" si="1"/>
        <v/>
      </c>
      <c r="J112" s="8" t="b">
        <v>0</v>
      </c>
      <c r="K112" s="15"/>
      <c r="L112" s="20"/>
      <c r="M112" s="39"/>
      <c r="N112" s="24"/>
      <c r="O112" s="20"/>
      <c r="P112" s="20"/>
    </row>
    <row r="113">
      <c r="A113" s="8"/>
      <c r="B113" s="37"/>
      <c r="C113" s="24"/>
      <c r="D113" s="24"/>
      <c r="E113" s="24"/>
      <c r="F113" s="24"/>
      <c r="G113" s="38"/>
      <c r="H113" s="38"/>
      <c r="I113" s="14" t="str">
        <f t="shared" si="1"/>
        <v/>
      </c>
      <c r="J113" s="8" t="b">
        <v>0</v>
      </c>
      <c r="K113" s="15"/>
      <c r="L113" s="20"/>
      <c r="M113" s="39"/>
      <c r="N113" s="24"/>
      <c r="O113" s="20"/>
      <c r="P113" s="20"/>
    </row>
    <row r="114">
      <c r="A114" s="8"/>
      <c r="B114" s="37"/>
      <c r="C114" s="24"/>
      <c r="D114" s="24"/>
      <c r="E114" s="24"/>
      <c r="F114" s="24"/>
      <c r="G114" s="38"/>
      <c r="H114" s="38"/>
      <c r="I114" s="14" t="str">
        <f t="shared" si="1"/>
        <v/>
      </c>
      <c r="J114" s="8" t="b">
        <v>0</v>
      </c>
      <c r="K114" s="15"/>
      <c r="L114" s="20"/>
      <c r="M114" s="39"/>
      <c r="N114" s="24"/>
      <c r="O114" s="20"/>
      <c r="P114" s="20"/>
    </row>
    <row r="115">
      <c r="A115" s="8"/>
      <c r="B115" s="37"/>
      <c r="C115" s="24"/>
      <c r="D115" s="24"/>
      <c r="E115" s="24"/>
      <c r="F115" s="24"/>
      <c r="G115" s="38"/>
      <c r="H115" s="38"/>
      <c r="I115" s="14" t="str">
        <f t="shared" si="1"/>
        <v/>
      </c>
      <c r="J115" s="8" t="b">
        <v>0</v>
      </c>
      <c r="K115" s="15"/>
      <c r="L115" s="20"/>
      <c r="M115" s="39"/>
      <c r="N115" s="24"/>
      <c r="O115" s="20"/>
      <c r="P115" s="20"/>
    </row>
    <row r="116">
      <c r="A116" s="8"/>
      <c r="B116" s="37"/>
      <c r="C116" s="24"/>
      <c r="D116" s="24"/>
      <c r="E116" s="24"/>
      <c r="F116" s="24"/>
      <c r="G116" s="38"/>
      <c r="H116" s="38"/>
      <c r="I116" s="14" t="str">
        <f t="shared" si="1"/>
        <v/>
      </c>
      <c r="J116" s="8" t="b">
        <v>0</v>
      </c>
      <c r="K116" s="15"/>
      <c r="L116" s="20"/>
      <c r="M116" s="39"/>
      <c r="N116" s="24"/>
      <c r="O116" s="20"/>
      <c r="P116" s="20"/>
    </row>
    <row r="117">
      <c r="A117" s="8"/>
      <c r="B117" s="37"/>
      <c r="C117" s="24"/>
      <c r="D117" s="24"/>
      <c r="E117" s="24"/>
      <c r="F117" s="24"/>
      <c r="G117" s="38"/>
      <c r="H117" s="38"/>
      <c r="I117" s="14" t="str">
        <f t="shared" si="1"/>
        <v/>
      </c>
      <c r="J117" s="8" t="b">
        <v>0</v>
      </c>
      <c r="K117" s="15"/>
      <c r="L117" s="20"/>
      <c r="M117" s="39"/>
      <c r="N117" s="24"/>
      <c r="O117" s="20"/>
      <c r="P117" s="20"/>
    </row>
    <row r="118">
      <c r="A118" s="8"/>
      <c r="B118" s="37"/>
      <c r="C118" s="24"/>
      <c r="D118" s="24"/>
      <c r="E118" s="24"/>
      <c r="F118" s="24"/>
      <c r="G118" s="38"/>
      <c r="H118" s="38"/>
      <c r="I118" s="14" t="str">
        <f t="shared" si="1"/>
        <v/>
      </c>
      <c r="J118" s="8" t="b">
        <v>0</v>
      </c>
      <c r="K118" s="15"/>
      <c r="L118" s="20"/>
      <c r="M118" s="39"/>
      <c r="N118" s="24"/>
      <c r="O118" s="20"/>
      <c r="P118" s="20"/>
    </row>
    <row r="119">
      <c r="A119" s="8"/>
      <c r="B119" s="37"/>
      <c r="C119" s="24"/>
      <c r="D119" s="24"/>
      <c r="E119" s="24"/>
      <c r="F119" s="24"/>
      <c r="G119" s="38"/>
      <c r="H119" s="38"/>
      <c r="I119" s="14" t="str">
        <f t="shared" si="1"/>
        <v/>
      </c>
      <c r="J119" s="8" t="b">
        <v>0</v>
      </c>
      <c r="K119" s="15"/>
      <c r="L119" s="20"/>
      <c r="M119" s="39"/>
      <c r="N119" s="24"/>
      <c r="O119" s="20"/>
      <c r="P119" s="20"/>
    </row>
    <row r="120">
      <c r="A120" s="8"/>
      <c r="B120" s="37"/>
      <c r="C120" s="24"/>
      <c r="D120" s="24"/>
      <c r="E120" s="24"/>
      <c r="F120" s="24"/>
      <c r="G120" s="38"/>
      <c r="H120" s="38"/>
      <c r="I120" s="14" t="str">
        <f t="shared" si="1"/>
        <v/>
      </c>
      <c r="J120" s="8" t="b">
        <v>0</v>
      </c>
      <c r="K120" s="15"/>
      <c r="L120" s="20"/>
      <c r="M120" s="39"/>
      <c r="N120" s="24"/>
      <c r="O120" s="20"/>
      <c r="P120" s="20"/>
    </row>
    <row r="121">
      <c r="A121" s="8"/>
      <c r="B121" s="37"/>
      <c r="C121" s="24"/>
      <c r="D121" s="24"/>
      <c r="E121" s="24"/>
      <c r="F121" s="24"/>
      <c r="G121" s="38"/>
      <c r="H121" s="38"/>
      <c r="I121" s="14" t="str">
        <f t="shared" si="1"/>
        <v/>
      </c>
      <c r="J121" s="8" t="b">
        <v>0</v>
      </c>
      <c r="K121" s="15"/>
      <c r="L121" s="20"/>
      <c r="M121" s="39"/>
      <c r="N121" s="24"/>
      <c r="O121" s="20"/>
      <c r="P121" s="20"/>
    </row>
    <row r="122">
      <c r="A122" s="8"/>
      <c r="B122" s="37"/>
      <c r="C122" s="24"/>
      <c r="D122" s="24"/>
      <c r="E122" s="24"/>
      <c r="F122" s="24"/>
      <c r="G122" s="38"/>
      <c r="H122" s="38"/>
      <c r="I122" s="14" t="str">
        <f t="shared" si="1"/>
        <v/>
      </c>
      <c r="J122" s="8" t="b">
        <v>0</v>
      </c>
      <c r="K122" s="15"/>
      <c r="L122" s="20"/>
      <c r="M122" s="39"/>
      <c r="N122" s="24"/>
      <c r="O122" s="20"/>
      <c r="P122" s="20"/>
    </row>
    <row r="123">
      <c r="A123" s="8"/>
      <c r="B123" s="37"/>
      <c r="C123" s="24"/>
      <c r="D123" s="24"/>
      <c r="E123" s="24"/>
      <c r="F123" s="24"/>
      <c r="G123" s="38"/>
      <c r="H123" s="38"/>
      <c r="I123" s="14" t="str">
        <f t="shared" si="1"/>
        <v/>
      </c>
      <c r="J123" s="8" t="b">
        <v>0</v>
      </c>
      <c r="K123" s="15"/>
      <c r="L123" s="20"/>
      <c r="M123" s="39"/>
      <c r="N123" s="24"/>
      <c r="O123" s="20"/>
      <c r="P123" s="20"/>
    </row>
    <row r="124">
      <c r="A124" s="8"/>
      <c r="B124" s="37"/>
      <c r="C124" s="24"/>
      <c r="D124" s="24"/>
      <c r="E124" s="24"/>
      <c r="F124" s="24"/>
      <c r="G124" s="38"/>
      <c r="H124" s="38"/>
      <c r="I124" s="14" t="str">
        <f t="shared" si="1"/>
        <v/>
      </c>
      <c r="J124" s="8" t="b">
        <v>0</v>
      </c>
      <c r="K124" s="15"/>
      <c r="L124" s="20"/>
      <c r="M124" s="39"/>
      <c r="N124" s="24"/>
      <c r="O124" s="20"/>
      <c r="P124" s="20"/>
    </row>
    <row r="125">
      <c r="A125" s="8"/>
      <c r="B125" s="37"/>
      <c r="C125" s="24"/>
      <c r="D125" s="24"/>
      <c r="E125" s="24"/>
      <c r="F125" s="24"/>
      <c r="G125" s="38"/>
      <c r="H125" s="38"/>
      <c r="I125" s="14" t="str">
        <f t="shared" si="1"/>
        <v/>
      </c>
      <c r="J125" s="8" t="b">
        <v>0</v>
      </c>
      <c r="K125" s="15"/>
      <c r="L125" s="20"/>
      <c r="M125" s="39"/>
      <c r="N125" s="24"/>
      <c r="O125" s="20"/>
      <c r="P125" s="20"/>
    </row>
    <row r="126">
      <c r="A126" s="8"/>
      <c r="B126" s="37"/>
      <c r="C126" s="24"/>
      <c r="D126" s="24"/>
      <c r="E126" s="24"/>
      <c r="F126" s="24"/>
      <c r="G126" s="38"/>
      <c r="H126" s="38"/>
      <c r="I126" s="14" t="str">
        <f t="shared" si="1"/>
        <v/>
      </c>
      <c r="J126" s="8" t="b">
        <v>0</v>
      </c>
      <c r="K126" s="15"/>
      <c r="L126" s="20"/>
      <c r="M126" s="39"/>
      <c r="N126" s="24"/>
      <c r="O126" s="20"/>
      <c r="P126" s="20"/>
    </row>
    <row r="127">
      <c r="A127" s="8"/>
      <c r="B127" s="37"/>
      <c r="C127" s="24"/>
      <c r="D127" s="24"/>
      <c r="E127" s="24"/>
      <c r="F127" s="24"/>
      <c r="G127" s="38"/>
      <c r="H127" s="38"/>
      <c r="I127" s="14" t="str">
        <f t="shared" si="1"/>
        <v/>
      </c>
      <c r="J127" s="8" t="b">
        <v>0</v>
      </c>
      <c r="K127" s="15"/>
      <c r="L127" s="20"/>
      <c r="M127" s="39"/>
      <c r="N127" s="24"/>
      <c r="O127" s="20"/>
      <c r="P127" s="20"/>
    </row>
    <row r="128">
      <c r="A128" s="8"/>
      <c r="B128" s="37"/>
      <c r="C128" s="24"/>
      <c r="D128" s="24"/>
      <c r="E128" s="24"/>
      <c r="F128" s="24"/>
      <c r="G128" s="38"/>
      <c r="H128" s="38"/>
      <c r="I128" s="14" t="str">
        <f t="shared" si="1"/>
        <v/>
      </c>
      <c r="J128" s="8" t="b">
        <v>0</v>
      </c>
      <c r="K128" s="15"/>
      <c r="L128" s="20"/>
      <c r="M128" s="39"/>
      <c r="N128" s="24"/>
      <c r="O128" s="20"/>
      <c r="P128" s="20"/>
    </row>
    <row r="129">
      <c r="A129" s="8"/>
      <c r="B129" s="37"/>
      <c r="C129" s="24"/>
      <c r="D129" s="24"/>
      <c r="E129" s="24"/>
      <c r="F129" s="24"/>
      <c r="G129" s="38"/>
      <c r="H129" s="38"/>
      <c r="I129" s="14" t="str">
        <f t="shared" si="1"/>
        <v/>
      </c>
      <c r="J129" s="8" t="b">
        <v>0</v>
      </c>
      <c r="K129" s="15"/>
      <c r="L129" s="20"/>
      <c r="M129" s="39"/>
      <c r="N129" s="24"/>
      <c r="O129" s="20"/>
      <c r="P129" s="20"/>
    </row>
    <row r="130">
      <c r="A130" s="8"/>
      <c r="B130" s="37"/>
      <c r="C130" s="24"/>
      <c r="D130" s="24"/>
      <c r="E130" s="24"/>
      <c r="F130" s="24"/>
      <c r="G130" s="38"/>
      <c r="H130" s="38"/>
      <c r="I130" s="14" t="str">
        <f t="shared" si="1"/>
        <v/>
      </c>
      <c r="J130" s="8" t="b">
        <v>0</v>
      </c>
      <c r="K130" s="15"/>
      <c r="L130" s="20"/>
      <c r="M130" s="39"/>
      <c r="N130" s="24"/>
      <c r="O130" s="20"/>
      <c r="P130" s="20"/>
    </row>
    <row r="131">
      <c r="A131" s="8"/>
      <c r="B131" s="37"/>
      <c r="C131" s="24"/>
      <c r="D131" s="24"/>
      <c r="E131" s="24"/>
      <c r="F131" s="24"/>
      <c r="G131" s="38"/>
      <c r="H131" s="38"/>
      <c r="I131" s="14" t="str">
        <f t="shared" si="1"/>
        <v/>
      </c>
      <c r="J131" s="8" t="b">
        <v>0</v>
      </c>
      <c r="K131" s="15"/>
      <c r="L131" s="20"/>
      <c r="M131" s="39"/>
      <c r="N131" s="24"/>
      <c r="O131" s="20"/>
      <c r="P131" s="20"/>
    </row>
    <row r="132">
      <c r="A132" s="8"/>
      <c r="B132" s="37"/>
      <c r="C132" s="24"/>
      <c r="D132" s="24"/>
      <c r="E132" s="24"/>
      <c r="F132" s="24"/>
      <c r="G132" s="38"/>
      <c r="H132" s="38"/>
      <c r="I132" s="14" t="str">
        <f t="shared" si="1"/>
        <v/>
      </c>
      <c r="J132" s="8" t="b">
        <v>0</v>
      </c>
      <c r="K132" s="15"/>
      <c r="L132" s="20"/>
      <c r="M132" s="39"/>
      <c r="N132" s="24"/>
      <c r="O132" s="20"/>
      <c r="P132" s="20"/>
    </row>
    <row r="133">
      <c r="A133" s="8"/>
      <c r="B133" s="37"/>
      <c r="C133" s="24"/>
      <c r="D133" s="24"/>
      <c r="E133" s="24"/>
      <c r="F133" s="24"/>
      <c r="G133" s="38"/>
      <c r="H133" s="38"/>
      <c r="I133" s="14" t="str">
        <f t="shared" si="1"/>
        <v/>
      </c>
      <c r="J133" s="8" t="b">
        <v>0</v>
      </c>
      <c r="K133" s="15"/>
      <c r="L133" s="20"/>
      <c r="M133" s="39"/>
      <c r="N133" s="24"/>
      <c r="O133" s="20"/>
      <c r="P133" s="20"/>
    </row>
    <row r="134">
      <c r="A134" s="8"/>
      <c r="B134" s="37"/>
      <c r="C134" s="24"/>
      <c r="D134" s="24"/>
      <c r="E134" s="24"/>
      <c r="F134" s="24"/>
      <c r="G134" s="38"/>
      <c r="H134" s="38"/>
      <c r="I134" s="14" t="str">
        <f t="shared" si="1"/>
        <v/>
      </c>
      <c r="J134" s="8" t="b">
        <v>0</v>
      </c>
      <c r="K134" s="15"/>
      <c r="L134" s="20"/>
      <c r="M134" s="39"/>
      <c r="N134" s="24"/>
      <c r="O134" s="20"/>
      <c r="P134" s="20"/>
    </row>
    <row r="135">
      <c r="A135" s="8"/>
      <c r="B135" s="37"/>
      <c r="C135" s="24"/>
      <c r="D135" s="24"/>
      <c r="E135" s="24"/>
      <c r="F135" s="24"/>
      <c r="G135" s="38"/>
      <c r="H135" s="38"/>
      <c r="I135" s="14" t="str">
        <f t="shared" si="1"/>
        <v/>
      </c>
      <c r="J135" s="8" t="b">
        <v>0</v>
      </c>
      <c r="K135" s="15"/>
      <c r="L135" s="20"/>
      <c r="M135" s="39"/>
      <c r="N135" s="24"/>
      <c r="O135" s="20"/>
      <c r="P135" s="20"/>
    </row>
    <row r="136">
      <c r="A136" s="8"/>
      <c r="B136" s="37"/>
      <c r="C136" s="24"/>
      <c r="D136" s="24"/>
      <c r="E136" s="24"/>
      <c r="F136" s="24"/>
      <c r="G136" s="38"/>
      <c r="H136" s="38"/>
      <c r="I136" s="14" t="str">
        <f t="shared" si="1"/>
        <v/>
      </c>
      <c r="J136" s="8" t="b">
        <v>0</v>
      </c>
      <c r="K136" s="15"/>
      <c r="L136" s="20"/>
      <c r="M136" s="39"/>
      <c r="N136" s="24"/>
      <c r="O136" s="20"/>
      <c r="P136" s="20"/>
    </row>
    <row r="137">
      <c r="A137" s="8"/>
      <c r="B137" s="37"/>
      <c r="C137" s="24"/>
      <c r="D137" s="24"/>
      <c r="E137" s="24"/>
      <c r="F137" s="24"/>
      <c r="G137" s="38"/>
      <c r="H137" s="38"/>
      <c r="I137" s="14" t="str">
        <f t="shared" si="1"/>
        <v/>
      </c>
      <c r="J137" s="8" t="b">
        <v>0</v>
      </c>
      <c r="K137" s="15"/>
      <c r="L137" s="20"/>
      <c r="M137" s="39"/>
      <c r="N137" s="24"/>
      <c r="O137" s="20"/>
      <c r="P137" s="20"/>
    </row>
    <row r="138">
      <c r="A138" s="8"/>
      <c r="B138" s="37"/>
      <c r="C138" s="24"/>
      <c r="D138" s="24"/>
      <c r="E138" s="24"/>
      <c r="F138" s="24"/>
      <c r="G138" s="38"/>
      <c r="H138" s="38"/>
      <c r="I138" s="14" t="str">
        <f t="shared" si="1"/>
        <v/>
      </c>
      <c r="J138" s="8" t="b">
        <v>0</v>
      </c>
      <c r="K138" s="15"/>
      <c r="L138" s="20"/>
      <c r="M138" s="39"/>
      <c r="N138" s="24"/>
      <c r="O138" s="20"/>
      <c r="P138" s="20"/>
    </row>
    <row r="139">
      <c r="A139" s="8"/>
      <c r="B139" s="37"/>
      <c r="C139" s="24"/>
      <c r="D139" s="24"/>
      <c r="E139" s="24"/>
      <c r="F139" s="24"/>
      <c r="G139" s="38"/>
      <c r="H139" s="38"/>
      <c r="I139" s="14" t="str">
        <f t="shared" si="1"/>
        <v/>
      </c>
      <c r="J139" s="8" t="b">
        <v>0</v>
      </c>
      <c r="K139" s="15"/>
      <c r="L139" s="20"/>
      <c r="M139" s="39"/>
      <c r="N139" s="24"/>
      <c r="O139" s="20"/>
      <c r="P139" s="20"/>
    </row>
    <row r="140">
      <c r="A140" s="8"/>
      <c r="B140" s="37"/>
      <c r="C140" s="24"/>
      <c r="D140" s="24"/>
      <c r="E140" s="24"/>
      <c r="F140" s="24"/>
      <c r="G140" s="38"/>
      <c r="H140" s="38"/>
      <c r="I140" s="14" t="str">
        <f t="shared" si="1"/>
        <v/>
      </c>
      <c r="J140" s="8" t="b">
        <v>0</v>
      </c>
      <c r="K140" s="15"/>
      <c r="L140" s="20"/>
      <c r="M140" s="39"/>
      <c r="N140" s="24"/>
      <c r="O140" s="20"/>
      <c r="P140" s="20"/>
    </row>
    <row r="141">
      <c r="A141" s="8"/>
      <c r="B141" s="37"/>
      <c r="C141" s="24"/>
      <c r="D141" s="24"/>
      <c r="E141" s="24"/>
      <c r="F141" s="24"/>
      <c r="G141" s="38"/>
      <c r="H141" s="38"/>
      <c r="I141" s="40"/>
      <c r="J141" s="8" t="b">
        <v>0</v>
      </c>
      <c r="K141" s="15"/>
      <c r="L141" s="20"/>
      <c r="M141" s="39"/>
      <c r="N141" s="24"/>
      <c r="O141" s="20"/>
      <c r="P141" s="20"/>
    </row>
    <row r="142">
      <c r="A142" s="8"/>
      <c r="B142" s="37"/>
      <c r="C142" s="24"/>
      <c r="D142" s="24"/>
      <c r="E142" s="24"/>
      <c r="F142" s="24"/>
      <c r="G142" s="38"/>
      <c r="H142" s="38"/>
      <c r="I142" s="40"/>
      <c r="J142" s="8" t="b">
        <v>0</v>
      </c>
      <c r="K142" s="15"/>
      <c r="L142" s="20"/>
      <c r="M142" s="39"/>
      <c r="N142" s="24"/>
      <c r="O142" s="20"/>
      <c r="P142" s="20"/>
    </row>
  </sheetData>
  <conditionalFormatting sqref="I1:I142">
    <cfRule type="containsBlanks" dxfId="0" priority="1">
      <formula>LEN(TRIM(I1))=0</formula>
    </cfRule>
  </conditionalFormatting>
  <dataValidations>
    <dataValidation type="list" allowBlank="1" showErrorMessage="1" sqref="A2:A142">
      <formula1>"Now,Later,Hide"</formula1>
    </dataValidation>
    <dataValidation type="list" allowBlank="1" showErrorMessage="1" sqref="K2:K142">
      <formula1>"Consulting,Development,Solutions Engineering,Strategy"</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41" t="s">
        <v>98</v>
      </c>
      <c r="B1" s="41" t="s">
        <v>99</v>
      </c>
      <c r="C1" s="41" t="s">
        <v>100</v>
      </c>
      <c r="D1" s="41" t="s">
        <v>101</v>
      </c>
    </row>
    <row r="2">
      <c r="A2" s="42" t="s">
        <v>102</v>
      </c>
      <c r="B2" s="43"/>
      <c r="C2" s="44"/>
      <c r="D2" s="44"/>
    </row>
    <row r="3">
      <c r="A3" s="45" t="s">
        <v>103</v>
      </c>
      <c r="B3" s="46" t="s">
        <v>104</v>
      </c>
      <c r="C3" s="47" t="s">
        <v>105</v>
      </c>
      <c r="D3" s="48"/>
    </row>
    <row r="4">
      <c r="A4" s="49" t="s">
        <v>106</v>
      </c>
      <c r="B4" s="50" t="s">
        <v>107</v>
      </c>
      <c r="C4" s="51" t="s">
        <v>108</v>
      </c>
      <c r="D4" s="48"/>
    </row>
    <row r="5">
      <c r="A5" s="45" t="s">
        <v>109</v>
      </c>
      <c r="B5" s="46">
        <v>4.5116554907E10</v>
      </c>
      <c r="C5" s="51" t="s">
        <v>110</v>
      </c>
      <c r="D5" s="48"/>
    </row>
    <row r="6">
      <c r="A6" s="49" t="s">
        <v>111</v>
      </c>
      <c r="B6" s="52"/>
      <c r="C6" s="51" t="s">
        <v>112</v>
      </c>
      <c r="D6" s="48"/>
    </row>
    <row r="7">
      <c r="A7" s="53"/>
      <c r="B7" s="52"/>
      <c r="C7" s="54"/>
      <c r="D7" s="48"/>
    </row>
    <row r="8">
      <c r="A8" s="42" t="s">
        <v>113</v>
      </c>
      <c r="B8" s="43"/>
      <c r="C8" s="44"/>
      <c r="D8" s="44"/>
    </row>
    <row r="9">
      <c r="A9" s="49" t="s">
        <v>114</v>
      </c>
      <c r="B9" s="55" t="s">
        <v>115</v>
      </c>
      <c r="C9" s="51" t="s">
        <v>116</v>
      </c>
      <c r="D9" s="56" t="s">
        <v>117</v>
      </c>
    </row>
    <row r="10">
      <c r="A10" s="49" t="s">
        <v>118</v>
      </c>
      <c r="B10" s="57">
        <v>45946.44722104167</v>
      </c>
      <c r="C10" s="51" t="s">
        <v>119</v>
      </c>
      <c r="D10" s="48"/>
    </row>
    <row r="11">
      <c r="A11" s="49" t="s">
        <v>120</v>
      </c>
      <c r="B11" s="58" t="s">
        <v>121</v>
      </c>
      <c r="C11" s="51" t="s">
        <v>122</v>
      </c>
      <c r="D11" s="48"/>
    </row>
    <row r="12">
      <c r="A12" s="49" t="s">
        <v>123</v>
      </c>
      <c r="B12" s="59" t="s">
        <v>124</v>
      </c>
      <c r="C12" s="51" t="s">
        <v>125</v>
      </c>
      <c r="D12" s="48"/>
    </row>
    <row r="13">
      <c r="A13" s="45" t="s">
        <v>126</v>
      </c>
      <c r="B13" s="48"/>
      <c r="C13" s="47" t="s">
        <v>127</v>
      </c>
      <c r="D13" s="54"/>
    </row>
    <row r="14">
      <c r="A14" s="49" t="s">
        <v>128</v>
      </c>
      <c r="B14" s="60"/>
      <c r="C14" s="51" t="s">
        <v>129</v>
      </c>
      <c r="D14" s="54"/>
    </row>
    <row r="15">
      <c r="A15" s="49" t="s">
        <v>130</v>
      </c>
      <c r="B15" s="60"/>
      <c r="C15" s="51" t="s">
        <v>129</v>
      </c>
      <c r="D15" s="54"/>
    </row>
    <row r="16">
      <c r="A16" s="53"/>
      <c r="B16" s="54"/>
      <c r="C16" s="54"/>
      <c r="D16" s="54"/>
    </row>
    <row r="17">
      <c r="A17" s="42" t="s">
        <v>131</v>
      </c>
      <c r="B17" s="43"/>
      <c r="C17" s="44"/>
      <c r="D17" s="44"/>
    </row>
    <row r="18">
      <c r="A18" s="45" t="s">
        <v>132</v>
      </c>
      <c r="B18" s="61">
        <v>325.0</v>
      </c>
      <c r="C18" s="47" t="s">
        <v>133</v>
      </c>
      <c r="D18" s="56" t="s">
        <v>134</v>
      </c>
    </row>
    <row r="19">
      <c r="A19" s="45" t="s">
        <v>135</v>
      </c>
      <c r="B19" s="62">
        <v>0.2</v>
      </c>
      <c r="C19" s="47" t="s">
        <v>136</v>
      </c>
      <c r="D19" s="48"/>
    </row>
    <row r="20">
      <c r="A20" s="45" t="s">
        <v>137</v>
      </c>
      <c r="B20" s="63" t="s">
        <v>138</v>
      </c>
      <c r="C20" s="64" t="s">
        <v>139</v>
      </c>
      <c r="D20" s="65"/>
    </row>
    <row r="21">
      <c r="A21" s="49" t="s">
        <v>140</v>
      </c>
      <c r="B21" s="66">
        <v>45936.0</v>
      </c>
      <c r="C21" s="47" t="s">
        <v>141</v>
      </c>
      <c r="D21" s="48"/>
    </row>
    <row r="22">
      <c r="A22" s="49" t="s">
        <v>142</v>
      </c>
      <c r="B22" s="67">
        <v>3.0</v>
      </c>
      <c r="C22" s="47" t="s">
        <v>143</v>
      </c>
      <c r="D22" s="56" t="s">
        <v>144</v>
      </c>
    </row>
    <row r="23">
      <c r="A23" s="16"/>
      <c r="B23" s="48"/>
      <c r="C23" s="48"/>
      <c r="D23" s="48"/>
    </row>
    <row r="24">
      <c r="A24" s="42" t="s">
        <v>145</v>
      </c>
      <c r="B24" s="43"/>
      <c r="C24" s="44"/>
      <c r="D24" s="44"/>
    </row>
    <row r="25">
      <c r="A25" s="45" t="s">
        <v>146</v>
      </c>
      <c r="B25" s="68"/>
      <c r="C25" s="51" t="s">
        <v>147</v>
      </c>
      <c r="D25" s="56" t="s">
        <v>148</v>
      </c>
    </row>
    <row r="26">
      <c r="A26" s="45" t="s">
        <v>149</v>
      </c>
      <c r="B26" s="69"/>
      <c r="C26" s="51" t="s">
        <v>150</v>
      </c>
      <c r="D26" s="56" t="s">
        <v>151</v>
      </c>
    </row>
    <row r="27">
      <c r="A27" s="45" t="s">
        <v>152</v>
      </c>
      <c r="B27" s="67"/>
      <c r="C27" s="51" t="s">
        <v>153</v>
      </c>
      <c r="D27" s="56" t="s">
        <v>154</v>
      </c>
    </row>
    <row r="28">
      <c r="A28" s="45" t="s">
        <v>155</v>
      </c>
      <c r="B28" s="70" t="s">
        <v>156</v>
      </c>
      <c r="C28" s="71" t="s">
        <v>157</v>
      </c>
      <c r="D28" s="65"/>
    </row>
    <row r="29">
      <c r="A29" s="16"/>
      <c r="B29" s="48"/>
      <c r="C29" s="48"/>
      <c r="D29" s="48"/>
    </row>
    <row r="30">
      <c r="A30" s="16"/>
      <c r="B30" s="48"/>
      <c r="C30" s="48"/>
      <c r="D30" s="48"/>
    </row>
    <row r="31">
      <c r="A31" s="72" t="s">
        <v>158</v>
      </c>
      <c r="B31" s="43"/>
      <c r="C31" s="44"/>
      <c r="D31" s="44"/>
    </row>
    <row r="32">
      <c r="A32" s="73" t="s">
        <v>159</v>
      </c>
      <c r="B32" s="28" t="s">
        <v>160</v>
      </c>
      <c r="C32" s="64" t="s">
        <v>161</v>
      </c>
      <c r="D32" s="48"/>
    </row>
    <row r="33">
      <c r="A33" s="48"/>
      <c r="B33" s="48"/>
      <c r="C33" s="48"/>
      <c r="D33" s="48"/>
    </row>
  </sheetData>
  <dataValidations>
    <dataValidation type="list" allowBlank="1" showErrorMessage="1" sqref="B14:B15">
      <formula1>"Yes,No"</formula1>
    </dataValidation>
    <dataValidation type="list" allowBlank="1" showErrorMessage="1" sqref="B11">
      <formula1>"Draft,Hide Hours + Financials,Show Estimates + Ranges,Show Estimates + Ranges + Medians,Final Presentation,Archived"</formula1>
    </dataValidation>
  </dataValidations>
  <hyperlinks>
    <hyperlink r:id="rId1" ref="B4"/>
    <hyperlink r:id="rId2" ref="B9"/>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4" width="25.75"/>
  </cols>
  <sheetData>
    <row r="1">
      <c r="A1" s="74"/>
      <c r="B1" s="74"/>
      <c r="C1" s="74"/>
      <c r="D1" s="41" t="s">
        <v>101</v>
      </c>
      <c r="E1" s="75"/>
      <c r="F1" s="75"/>
      <c r="G1" s="75"/>
      <c r="H1" s="75"/>
      <c r="I1" s="75"/>
      <c r="J1" s="75"/>
      <c r="K1" s="75"/>
      <c r="L1" s="75"/>
      <c r="M1" s="75"/>
      <c r="N1" s="75"/>
      <c r="O1" s="75"/>
      <c r="P1" s="75"/>
      <c r="Q1" s="75"/>
      <c r="R1" s="75"/>
      <c r="S1" s="75"/>
      <c r="T1" s="75"/>
      <c r="U1" s="75"/>
      <c r="V1" s="75"/>
      <c r="W1" s="75"/>
      <c r="X1" s="75"/>
      <c r="Y1" s="75"/>
      <c r="Z1" s="75"/>
    </row>
    <row r="2">
      <c r="A2" s="76" t="s">
        <v>162</v>
      </c>
      <c r="B2" s="77"/>
      <c r="C2" s="77"/>
      <c r="D2" s="77"/>
      <c r="E2" s="75"/>
      <c r="F2" s="75"/>
      <c r="G2" s="75"/>
      <c r="H2" s="75"/>
      <c r="I2" s="75"/>
      <c r="J2" s="75"/>
      <c r="K2" s="75"/>
      <c r="L2" s="75"/>
      <c r="M2" s="75"/>
      <c r="N2" s="75"/>
      <c r="O2" s="75"/>
      <c r="P2" s="75"/>
      <c r="Q2" s="75"/>
      <c r="R2" s="75"/>
      <c r="S2" s="75"/>
      <c r="T2" s="75"/>
      <c r="U2" s="75"/>
      <c r="V2" s="75"/>
      <c r="W2" s="75"/>
      <c r="X2" s="75"/>
      <c r="Y2" s="75"/>
      <c r="Z2" s="75"/>
    </row>
    <row r="3">
      <c r="A3" s="78" t="s">
        <v>163</v>
      </c>
      <c r="B3" s="79">
        <f>SUMIF(Input!A:A,"Now",Input!I:I)</f>
        <v>196</v>
      </c>
      <c r="C3" s="51" t="s">
        <v>164</v>
      </c>
      <c r="D3" s="80"/>
      <c r="E3" s="75"/>
      <c r="F3" s="75"/>
      <c r="G3" s="75"/>
      <c r="H3" s="75"/>
      <c r="I3" s="75"/>
      <c r="J3" s="75"/>
      <c r="K3" s="75"/>
      <c r="L3" s="75"/>
      <c r="M3" s="75"/>
      <c r="N3" s="75"/>
      <c r="O3" s="75"/>
      <c r="P3" s="75"/>
      <c r="Q3" s="75"/>
      <c r="R3" s="75"/>
      <c r="S3" s="75"/>
      <c r="T3" s="75"/>
      <c r="U3" s="75"/>
      <c r="V3" s="75"/>
      <c r="W3" s="75"/>
      <c r="X3" s="75"/>
      <c r="Y3" s="75"/>
      <c r="Z3" s="75"/>
    </row>
    <row r="4">
      <c r="A4" s="78" t="s">
        <v>165</v>
      </c>
      <c r="B4" s="79">
        <f>round(B3*Config!B19,0)</f>
        <v>39</v>
      </c>
      <c r="C4" s="51" t="s">
        <v>166</v>
      </c>
      <c r="D4" s="75"/>
      <c r="E4" s="75"/>
      <c r="F4" s="75"/>
      <c r="G4" s="75"/>
      <c r="H4" s="75"/>
      <c r="I4" s="75"/>
      <c r="J4" s="75"/>
      <c r="K4" s="75"/>
      <c r="L4" s="75"/>
      <c r="M4" s="75"/>
      <c r="N4" s="75"/>
      <c r="O4" s="75"/>
      <c r="P4" s="75"/>
      <c r="Q4" s="75"/>
      <c r="R4" s="75"/>
      <c r="S4" s="75"/>
      <c r="T4" s="75"/>
      <c r="U4" s="75"/>
      <c r="V4" s="75"/>
      <c r="W4" s="75"/>
      <c r="X4" s="75"/>
      <c r="Y4" s="75"/>
      <c r="Z4" s="75"/>
    </row>
    <row r="5">
      <c r="A5" s="78" t="s">
        <v>167</v>
      </c>
      <c r="B5" s="79">
        <f>sum(B3:B4)</f>
        <v>235</v>
      </c>
      <c r="C5" s="51" t="s">
        <v>168</v>
      </c>
      <c r="D5" s="81" t="s">
        <v>169</v>
      </c>
      <c r="E5" s="75"/>
      <c r="F5" s="75"/>
      <c r="G5" s="75"/>
      <c r="H5" s="75"/>
      <c r="I5" s="75"/>
      <c r="J5" s="75"/>
      <c r="K5" s="75"/>
      <c r="L5" s="75"/>
      <c r="M5" s="75"/>
      <c r="N5" s="75"/>
      <c r="O5" s="75"/>
      <c r="P5" s="75"/>
      <c r="Q5" s="75"/>
      <c r="R5" s="75"/>
      <c r="S5" s="75"/>
      <c r="T5" s="75"/>
      <c r="U5" s="75"/>
      <c r="V5" s="75"/>
      <c r="W5" s="75"/>
      <c r="X5" s="75"/>
      <c r="Y5" s="75"/>
      <c r="Z5" s="75"/>
    </row>
    <row r="6">
      <c r="A6" s="78" t="s">
        <v>170</v>
      </c>
      <c r="B6" s="79">
        <f>Config!B26 * Config!B27</f>
        <v>0</v>
      </c>
      <c r="C6" s="75"/>
      <c r="D6" s="75"/>
      <c r="E6" s="75"/>
      <c r="F6" s="75"/>
      <c r="G6" s="75"/>
      <c r="H6" s="75"/>
      <c r="I6" s="75"/>
      <c r="J6" s="75"/>
      <c r="K6" s="75"/>
      <c r="L6" s="75"/>
      <c r="M6" s="75"/>
      <c r="N6" s="75"/>
      <c r="O6" s="75"/>
      <c r="P6" s="75"/>
      <c r="Q6" s="75"/>
      <c r="R6" s="75"/>
      <c r="S6" s="75"/>
      <c r="T6" s="75"/>
      <c r="U6" s="75"/>
      <c r="V6" s="75"/>
      <c r="W6" s="75"/>
      <c r="X6" s="75"/>
      <c r="Y6" s="75"/>
      <c r="Z6" s="75"/>
    </row>
    <row r="7">
      <c r="A7" s="78" t="s">
        <v>171</v>
      </c>
      <c r="B7" s="59">
        <f>sum(B5:B6)</f>
        <v>235</v>
      </c>
      <c r="C7" s="51" t="s">
        <v>172</v>
      </c>
      <c r="D7" s="81" t="s">
        <v>173</v>
      </c>
      <c r="E7" s="75"/>
      <c r="F7" s="75"/>
      <c r="G7" s="75"/>
      <c r="H7" s="75"/>
      <c r="I7" s="75"/>
      <c r="J7" s="75"/>
      <c r="K7" s="75"/>
      <c r="L7" s="75"/>
      <c r="M7" s="75"/>
      <c r="N7" s="75"/>
      <c r="O7" s="75"/>
      <c r="P7" s="75"/>
      <c r="Q7" s="75"/>
      <c r="R7" s="75"/>
      <c r="S7" s="75"/>
      <c r="T7" s="75"/>
      <c r="U7" s="75"/>
      <c r="V7" s="75"/>
      <c r="W7" s="75"/>
      <c r="X7" s="75"/>
      <c r="Y7" s="75"/>
      <c r="Z7" s="75"/>
    </row>
    <row r="8">
      <c r="A8" s="78" t="s">
        <v>174</v>
      </c>
      <c r="B8" s="82">
        <f>(B5*Config!B18)+(B6*Config!B25)</f>
        <v>76375</v>
      </c>
      <c r="C8" s="51" t="s">
        <v>172</v>
      </c>
      <c r="D8" s="81" t="s">
        <v>175</v>
      </c>
      <c r="E8" s="75"/>
      <c r="F8" s="75"/>
      <c r="G8" s="75"/>
      <c r="H8" s="75"/>
      <c r="I8" s="75"/>
      <c r="J8" s="75"/>
      <c r="K8" s="75"/>
      <c r="L8" s="75"/>
      <c r="M8" s="75"/>
      <c r="N8" s="75"/>
      <c r="O8" s="75"/>
      <c r="P8" s="75"/>
      <c r="Q8" s="75"/>
      <c r="R8" s="75"/>
      <c r="S8" s="75"/>
      <c r="T8" s="75"/>
      <c r="U8" s="75"/>
      <c r="V8" s="75"/>
      <c r="W8" s="75"/>
      <c r="X8" s="75"/>
      <c r="Y8" s="75"/>
      <c r="Z8" s="75"/>
    </row>
    <row r="9">
      <c r="A9" s="78" t="s">
        <v>176</v>
      </c>
      <c r="B9" s="83">
        <f>EDATE(Config!B21, Config!B22)</f>
        <v>46028</v>
      </c>
      <c r="C9" s="75"/>
      <c r="D9" s="75"/>
      <c r="E9" s="75"/>
      <c r="F9" s="75"/>
      <c r="G9" s="75"/>
      <c r="H9" s="75"/>
      <c r="I9" s="75"/>
      <c r="J9" s="75"/>
      <c r="K9" s="75"/>
      <c r="L9" s="75"/>
      <c r="M9" s="75"/>
      <c r="N9" s="75"/>
      <c r="O9" s="75"/>
      <c r="P9" s="75"/>
      <c r="Q9" s="75"/>
      <c r="R9" s="75"/>
      <c r="S9" s="75"/>
      <c r="T9" s="75"/>
      <c r="U9" s="75"/>
      <c r="V9" s="75"/>
      <c r="W9" s="75"/>
      <c r="X9" s="75"/>
      <c r="Y9" s="75"/>
      <c r="Z9" s="75"/>
    </row>
    <row r="10">
      <c r="A10" s="78" t="s">
        <v>177</v>
      </c>
      <c r="B10" s="79">
        <f>roundup(B3/Config!B22,0)</f>
        <v>66</v>
      </c>
      <c r="C10" s="75"/>
      <c r="D10" s="75"/>
      <c r="E10" s="75"/>
      <c r="F10" s="75"/>
      <c r="G10" s="75"/>
      <c r="H10" s="75"/>
      <c r="I10" s="75"/>
      <c r="J10" s="75"/>
      <c r="K10" s="75"/>
      <c r="L10" s="75"/>
      <c r="M10" s="75"/>
      <c r="N10" s="75"/>
      <c r="O10" s="75"/>
      <c r="P10" s="75"/>
      <c r="Q10" s="75"/>
      <c r="R10" s="75"/>
      <c r="S10" s="75"/>
      <c r="T10" s="75"/>
      <c r="U10" s="75"/>
      <c r="V10" s="75"/>
      <c r="W10" s="75"/>
      <c r="X10" s="75"/>
      <c r="Y10" s="75"/>
      <c r="Z10" s="75"/>
    </row>
    <row r="11">
      <c r="A11" s="78" t="s">
        <v>178</v>
      </c>
      <c r="B11" s="79">
        <f>roundup(B10/4.3,0)</f>
        <v>16</v>
      </c>
      <c r="C11" s="75"/>
      <c r="D11" s="75"/>
      <c r="E11" s="75"/>
      <c r="F11" s="75"/>
      <c r="G11" s="75"/>
      <c r="H11" s="75"/>
      <c r="I11" s="75"/>
      <c r="J11" s="75"/>
      <c r="K11" s="75"/>
      <c r="L11" s="75"/>
      <c r="M11" s="75"/>
      <c r="N11" s="75"/>
      <c r="O11" s="75"/>
      <c r="P11" s="75"/>
      <c r="Q11" s="75"/>
      <c r="R11" s="75"/>
      <c r="S11" s="75"/>
      <c r="T11" s="75"/>
      <c r="U11" s="75"/>
      <c r="V11" s="75"/>
      <c r="W11" s="75"/>
      <c r="X11" s="75"/>
      <c r="Y11" s="75"/>
      <c r="Z11" s="75"/>
    </row>
    <row r="12">
      <c r="A12" s="78" t="s">
        <v>179</v>
      </c>
      <c r="B12" s="79">
        <f>B11*1.2</f>
        <v>19.2</v>
      </c>
      <c r="C12" s="80"/>
      <c r="D12" s="80"/>
      <c r="E12" s="75"/>
      <c r="F12" s="75"/>
      <c r="G12" s="75"/>
      <c r="H12" s="75"/>
      <c r="I12" s="75"/>
      <c r="J12" s="75"/>
      <c r="K12" s="75"/>
      <c r="L12" s="75"/>
      <c r="M12" s="75"/>
      <c r="N12" s="75"/>
      <c r="O12" s="75"/>
      <c r="P12" s="75"/>
      <c r="Q12" s="75"/>
      <c r="R12" s="75"/>
      <c r="S12" s="75"/>
      <c r="T12" s="75"/>
      <c r="U12" s="75"/>
      <c r="V12" s="75"/>
      <c r="W12" s="75"/>
      <c r="X12" s="75"/>
      <c r="Y12" s="75"/>
      <c r="Z12" s="75"/>
    </row>
    <row r="13">
      <c r="A13" s="78" t="s">
        <v>180</v>
      </c>
      <c r="B13" s="79">
        <f>B11*0.5</f>
        <v>8</v>
      </c>
      <c r="C13" s="80"/>
      <c r="D13" s="80"/>
      <c r="E13" s="75"/>
      <c r="F13" s="75"/>
      <c r="G13" s="75"/>
      <c r="H13" s="75"/>
      <c r="I13" s="75"/>
      <c r="J13" s="75"/>
      <c r="K13" s="75"/>
      <c r="L13" s="75"/>
      <c r="M13" s="75"/>
      <c r="N13" s="75"/>
      <c r="O13" s="75"/>
      <c r="P13" s="75"/>
      <c r="Q13" s="75"/>
      <c r="R13" s="75"/>
      <c r="S13" s="75"/>
      <c r="T13" s="75"/>
      <c r="U13" s="75"/>
      <c r="V13" s="75"/>
      <c r="W13" s="75"/>
      <c r="X13" s="75"/>
      <c r="Y13" s="75"/>
      <c r="Z13" s="75"/>
    </row>
    <row r="14">
      <c r="A14" s="78" t="s">
        <v>181</v>
      </c>
      <c r="B14" s="84">
        <f>C21</f>
        <v>0.125</v>
      </c>
      <c r="C14" s="80"/>
      <c r="D14" s="81" t="s">
        <v>182</v>
      </c>
      <c r="E14" s="75"/>
      <c r="F14" s="75"/>
      <c r="G14" s="75"/>
      <c r="H14" s="75"/>
      <c r="I14" s="75"/>
      <c r="J14" s="75"/>
      <c r="K14" s="75"/>
      <c r="L14" s="75"/>
      <c r="M14" s="75"/>
      <c r="N14" s="75"/>
      <c r="O14" s="75"/>
      <c r="P14" s="75"/>
      <c r="Q14" s="75"/>
      <c r="R14" s="75"/>
      <c r="S14" s="75"/>
      <c r="T14" s="75"/>
      <c r="U14" s="75"/>
      <c r="V14" s="75"/>
      <c r="W14" s="75"/>
      <c r="X14" s="75"/>
      <c r="Y14" s="75"/>
      <c r="Z14" s="75"/>
    </row>
    <row r="15">
      <c r="A15" s="78" t="s">
        <v>183</v>
      </c>
      <c r="B15" s="84">
        <f>C23</f>
        <v>0</v>
      </c>
      <c r="C15" s="80"/>
      <c r="D15" s="81" t="s">
        <v>184</v>
      </c>
      <c r="E15" s="75"/>
      <c r="F15" s="75"/>
      <c r="G15" s="75"/>
      <c r="H15" s="75"/>
      <c r="I15" s="75"/>
      <c r="J15" s="75"/>
      <c r="K15" s="75"/>
      <c r="L15" s="75"/>
      <c r="M15" s="75"/>
      <c r="N15" s="75"/>
      <c r="O15" s="75"/>
      <c r="P15" s="75"/>
      <c r="Q15" s="75"/>
      <c r="R15" s="75"/>
      <c r="S15" s="75"/>
      <c r="T15" s="75"/>
      <c r="U15" s="75"/>
      <c r="V15" s="75"/>
      <c r="W15" s="75"/>
      <c r="X15" s="75"/>
      <c r="Y15" s="75"/>
      <c r="Z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c r="A18" s="76" t="s">
        <v>185</v>
      </c>
      <c r="B18" s="77"/>
      <c r="C18" s="77"/>
      <c r="D18" s="77"/>
      <c r="E18" s="75"/>
      <c r="F18" s="75"/>
      <c r="G18" s="75"/>
      <c r="H18" s="75"/>
      <c r="I18" s="75"/>
      <c r="J18" s="75"/>
      <c r="K18" s="75"/>
      <c r="L18" s="75"/>
      <c r="M18" s="75"/>
      <c r="N18" s="75"/>
      <c r="O18" s="75"/>
      <c r="P18" s="75"/>
      <c r="Q18" s="75"/>
      <c r="R18" s="75"/>
      <c r="S18" s="75"/>
      <c r="T18" s="75"/>
      <c r="U18" s="75"/>
      <c r="V18" s="75"/>
      <c r="W18" s="75"/>
      <c r="X18" s="75"/>
      <c r="Y18" s="75"/>
      <c r="Z18" s="75"/>
    </row>
    <row r="19">
      <c r="A19" s="85"/>
      <c r="B19" s="86" t="s">
        <v>186</v>
      </c>
      <c r="C19" s="86" t="s">
        <v>187</v>
      </c>
      <c r="D19" s="75"/>
      <c r="E19" s="75"/>
      <c r="F19" s="75"/>
      <c r="G19" s="75"/>
      <c r="H19" s="75"/>
      <c r="I19" s="75"/>
      <c r="J19" s="75"/>
      <c r="K19" s="75"/>
      <c r="L19" s="75"/>
      <c r="M19" s="75"/>
      <c r="N19" s="75"/>
      <c r="O19" s="75"/>
      <c r="P19" s="75"/>
      <c r="Q19" s="75"/>
      <c r="R19" s="75"/>
      <c r="S19" s="75"/>
      <c r="T19" s="75"/>
      <c r="U19" s="75"/>
      <c r="V19" s="75"/>
      <c r="W19" s="75"/>
      <c r="X19" s="75"/>
      <c r="Y19" s="75"/>
      <c r="Z19" s="75"/>
    </row>
    <row r="20">
      <c r="A20" s="78" t="s">
        <v>21</v>
      </c>
      <c r="B20" s="87">
        <f>SUMIFS(Input!I:I,Input!K:K,"Consulting",Input!A:A,"Now")</f>
        <v>10</v>
      </c>
      <c r="C20" s="84">
        <f>B20/B26</f>
        <v>0.1785714286</v>
      </c>
      <c r="D20" s="80"/>
      <c r="E20" s="80"/>
      <c r="F20" s="75"/>
      <c r="G20" s="75"/>
      <c r="H20" s="75"/>
      <c r="I20" s="75"/>
      <c r="J20" s="75"/>
      <c r="K20" s="75"/>
      <c r="L20" s="75"/>
      <c r="M20" s="75"/>
      <c r="N20" s="75"/>
      <c r="O20" s="75"/>
      <c r="P20" s="75"/>
      <c r="Q20" s="75"/>
      <c r="R20" s="75"/>
      <c r="S20" s="75"/>
      <c r="T20" s="75"/>
      <c r="U20" s="75"/>
      <c r="V20" s="75"/>
      <c r="W20" s="75"/>
      <c r="X20" s="75"/>
      <c r="Y20" s="75"/>
      <c r="Z20" s="75"/>
    </row>
    <row r="21">
      <c r="A21" s="78" t="s">
        <v>27</v>
      </c>
      <c r="B21" s="87">
        <f>SUMIFS(Input!I:I,Input!K:K,"Development",Input!A:A,"Now")</f>
        <v>7</v>
      </c>
      <c r="C21" s="84">
        <f>B21/B26</f>
        <v>0.125</v>
      </c>
      <c r="D21" s="80"/>
      <c r="E21" s="75"/>
      <c r="F21" s="75"/>
      <c r="G21" s="75"/>
      <c r="H21" s="75"/>
      <c r="I21" s="75"/>
      <c r="J21" s="75"/>
      <c r="K21" s="75"/>
      <c r="L21" s="75"/>
      <c r="M21" s="75"/>
      <c r="N21" s="75"/>
      <c r="O21" s="75"/>
      <c r="P21" s="75"/>
      <c r="Q21" s="75"/>
      <c r="R21" s="75"/>
      <c r="S21" s="75"/>
      <c r="T21" s="75"/>
      <c r="U21" s="75"/>
      <c r="V21" s="75"/>
      <c r="W21" s="75"/>
      <c r="X21" s="75"/>
      <c r="Y21" s="75"/>
      <c r="Z21" s="75"/>
    </row>
    <row r="22">
      <c r="A22" s="78" t="s">
        <v>188</v>
      </c>
      <c r="B22" s="87">
        <f>B4</f>
        <v>39</v>
      </c>
      <c r="C22" s="84">
        <f>B22/B26</f>
        <v>0.6964285714</v>
      </c>
      <c r="D22" s="80"/>
      <c r="E22" s="75"/>
      <c r="F22" s="75"/>
      <c r="G22" s="75"/>
      <c r="H22" s="75"/>
      <c r="I22" s="75"/>
      <c r="J22" s="75"/>
      <c r="K22" s="75"/>
      <c r="L22" s="75"/>
      <c r="M22" s="75"/>
      <c r="N22" s="75"/>
      <c r="O22" s="75"/>
      <c r="P22" s="75"/>
      <c r="Q22" s="75"/>
      <c r="R22" s="75"/>
      <c r="S22" s="75"/>
      <c r="T22" s="75"/>
      <c r="U22" s="75"/>
      <c r="V22" s="75"/>
      <c r="W22" s="75"/>
      <c r="X22" s="75"/>
      <c r="Y22" s="75"/>
      <c r="Z22" s="75"/>
    </row>
    <row r="23">
      <c r="A23" s="78" t="s">
        <v>189</v>
      </c>
      <c r="B23" s="87">
        <f>SUMIFS(Input!I:I,Input!K:K,"Solutions Engineering",Input!A:A,"Now")</f>
        <v>0</v>
      </c>
      <c r="C23" s="84">
        <f>B23/B26</f>
        <v>0</v>
      </c>
      <c r="D23" s="80"/>
      <c r="E23" s="75"/>
      <c r="F23" s="75"/>
      <c r="G23" s="75"/>
      <c r="H23" s="75"/>
      <c r="I23" s="75"/>
      <c r="J23" s="75"/>
      <c r="K23" s="75"/>
      <c r="L23" s="75"/>
      <c r="M23" s="75"/>
      <c r="N23" s="75"/>
      <c r="O23" s="75"/>
      <c r="P23" s="75"/>
      <c r="Q23" s="75"/>
      <c r="R23" s="75"/>
      <c r="S23" s="75"/>
      <c r="T23" s="75"/>
      <c r="U23" s="75"/>
      <c r="V23" s="75"/>
      <c r="W23" s="75"/>
      <c r="X23" s="75"/>
      <c r="Y23" s="75"/>
      <c r="Z23" s="75"/>
    </row>
    <row r="24">
      <c r="A24" s="78" t="s">
        <v>190</v>
      </c>
      <c r="B24" s="87">
        <f>SUMIFS(Input!I:I,Input!K:K,"Strategy",Input!A:A,"Now")</f>
        <v>0</v>
      </c>
      <c r="C24" s="84">
        <f>B24/B26</f>
        <v>0</v>
      </c>
      <c r="D24" s="80"/>
      <c r="E24" s="75"/>
      <c r="F24" s="75"/>
      <c r="G24" s="75"/>
      <c r="H24" s="75"/>
      <c r="I24" s="75"/>
      <c r="J24" s="75"/>
      <c r="K24" s="75"/>
      <c r="L24" s="75"/>
      <c r="M24" s="75"/>
      <c r="N24" s="75"/>
      <c r="O24" s="75"/>
      <c r="P24" s="75"/>
      <c r="Q24" s="75"/>
      <c r="R24" s="75"/>
      <c r="S24" s="75"/>
      <c r="T24" s="75"/>
      <c r="U24" s="75"/>
      <c r="V24" s="75"/>
      <c r="W24" s="75"/>
      <c r="X24" s="75"/>
      <c r="Y24" s="75"/>
      <c r="Z24" s="75"/>
    </row>
    <row r="25">
      <c r="A25" s="75"/>
      <c r="B25" s="88"/>
      <c r="C25" s="89"/>
      <c r="D25" s="75"/>
      <c r="E25" s="75"/>
      <c r="F25" s="75"/>
      <c r="G25" s="75"/>
      <c r="H25" s="75"/>
      <c r="I25" s="75"/>
      <c r="J25" s="75"/>
      <c r="K25" s="75"/>
      <c r="L25" s="75"/>
      <c r="M25" s="75"/>
      <c r="N25" s="75"/>
      <c r="O25" s="75"/>
      <c r="P25" s="75"/>
      <c r="Q25" s="75"/>
      <c r="R25" s="75"/>
      <c r="S25" s="75"/>
      <c r="T25" s="75"/>
      <c r="U25" s="75"/>
      <c r="V25" s="75"/>
      <c r="W25" s="75"/>
      <c r="X25" s="75"/>
      <c r="Y25" s="75"/>
      <c r="Z25" s="75"/>
    </row>
    <row r="26">
      <c r="A26" s="78" t="s">
        <v>191</v>
      </c>
      <c r="B26" s="87">
        <f t="shared" ref="B26:C26" si="1">sum(B20:B24)</f>
        <v>56</v>
      </c>
      <c r="C26" s="84">
        <f t="shared" si="1"/>
        <v>1</v>
      </c>
      <c r="D26" s="80"/>
      <c r="E26" s="75"/>
      <c r="F26" s="75"/>
      <c r="G26" s="75"/>
      <c r="H26" s="75"/>
      <c r="I26" s="75"/>
      <c r="J26" s="75"/>
      <c r="K26" s="75"/>
      <c r="L26" s="75"/>
      <c r="M26" s="75"/>
      <c r="N26" s="75"/>
      <c r="O26" s="75"/>
      <c r="P26" s="75"/>
      <c r="Q26" s="75"/>
      <c r="R26" s="75"/>
      <c r="S26" s="75"/>
      <c r="T26" s="75"/>
      <c r="U26" s="75"/>
      <c r="V26" s="75"/>
      <c r="W26" s="75"/>
      <c r="X26" s="75"/>
      <c r="Y26" s="75"/>
      <c r="Z26" s="75"/>
    </row>
    <row r="27">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c r="A29" s="76" t="s">
        <v>192</v>
      </c>
      <c r="B29" s="90" t="s">
        <v>193</v>
      </c>
      <c r="C29" s="91" t="s">
        <v>194</v>
      </c>
      <c r="D29" s="77"/>
      <c r="E29" s="75"/>
      <c r="F29" s="75"/>
      <c r="G29" s="75"/>
      <c r="H29" s="75"/>
      <c r="I29" s="75"/>
      <c r="J29" s="75"/>
      <c r="K29" s="75"/>
      <c r="L29" s="75"/>
      <c r="M29" s="75"/>
      <c r="N29" s="75"/>
      <c r="O29" s="75"/>
      <c r="P29" s="75"/>
      <c r="Q29" s="75"/>
      <c r="R29" s="75"/>
      <c r="S29" s="75"/>
      <c r="T29" s="75"/>
      <c r="U29" s="75"/>
      <c r="V29" s="75"/>
      <c r="W29" s="75"/>
      <c r="X29" s="75"/>
      <c r="Y29" s="75"/>
      <c r="Z29" s="75"/>
    </row>
    <row r="30">
      <c r="A30" s="78" t="s">
        <v>195</v>
      </c>
      <c r="B30" s="92">
        <f>SUMIF(Input!A:A,"Now",Input!G:G)</f>
        <v>167</v>
      </c>
      <c r="C30" s="92">
        <f>SUMIF(Input!A:A,"Now",Input!H:H)</f>
        <v>221</v>
      </c>
      <c r="D30" s="80"/>
      <c r="E30" s="75"/>
      <c r="F30" s="75"/>
      <c r="G30" s="75"/>
      <c r="H30" s="75"/>
      <c r="I30" s="75"/>
      <c r="J30" s="75"/>
      <c r="K30" s="75"/>
      <c r="L30" s="75"/>
      <c r="M30" s="75"/>
      <c r="N30" s="75"/>
      <c r="O30" s="75"/>
      <c r="P30" s="75"/>
      <c r="Q30" s="75"/>
      <c r="R30" s="75"/>
      <c r="S30" s="75"/>
      <c r="T30" s="75"/>
      <c r="U30" s="75"/>
      <c r="V30" s="75"/>
      <c r="W30" s="75"/>
      <c r="X30" s="75"/>
      <c r="Y30" s="75"/>
      <c r="Z30" s="75"/>
    </row>
    <row r="31">
      <c r="A31" s="78" t="s">
        <v>196</v>
      </c>
      <c r="B31" s="93">
        <f>round(B30*Config!B19,0)</f>
        <v>33</v>
      </c>
      <c r="C31" s="93">
        <f>round(C30*Config!B19,0)</f>
        <v>44</v>
      </c>
      <c r="D31" s="75"/>
      <c r="E31" s="75"/>
      <c r="F31" s="75"/>
      <c r="G31" s="75"/>
      <c r="H31" s="75"/>
      <c r="I31" s="75"/>
      <c r="J31" s="75"/>
      <c r="K31" s="75"/>
      <c r="L31" s="75"/>
      <c r="M31" s="75"/>
      <c r="N31" s="75"/>
      <c r="O31" s="75"/>
      <c r="P31" s="75"/>
      <c r="Q31" s="75"/>
      <c r="R31" s="75"/>
      <c r="S31" s="75"/>
      <c r="T31" s="75"/>
      <c r="U31" s="75"/>
      <c r="V31" s="75"/>
      <c r="W31" s="75"/>
      <c r="X31" s="75"/>
      <c r="Y31" s="75"/>
      <c r="Z31" s="75"/>
    </row>
    <row r="32">
      <c r="A32" s="78" t="s">
        <v>197</v>
      </c>
      <c r="B32" s="92">
        <f>B6</f>
        <v>0</v>
      </c>
      <c r="C32" s="92">
        <f>B6</f>
        <v>0</v>
      </c>
      <c r="D32" s="75"/>
      <c r="E32" s="75"/>
      <c r="F32" s="75"/>
      <c r="G32" s="75"/>
      <c r="H32" s="75"/>
      <c r="I32" s="75"/>
      <c r="J32" s="75"/>
      <c r="K32" s="75"/>
      <c r="L32" s="75"/>
      <c r="M32" s="75"/>
      <c r="N32" s="75"/>
      <c r="O32" s="75"/>
      <c r="P32" s="75"/>
      <c r="Q32" s="75"/>
      <c r="R32" s="75"/>
      <c r="S32" s="75"/>
      <c r="T32" s="75"/>
      <c r="U32" s="75"/>
      <c r="V32" s="75"/>
      <c r="W32" s="75"/>
      <c r="X32" s="75"/>
      <c r="Y32" s="75"/>
      <c r="Z32" s="75"/>
    </row>
    <row r="33">
      <c r="A33" s="78" t="s">
        <v>198</v>
      </c>
      <c r="B33" s="92">
        <f t="shared" ref="B33:C33" si="2">SUM(B30:B32)</f>
        <v>200</v>
      </c>
      <c r="C33" s="79">
        <f t="shared" si="2"/>
        <v>265</v>
      </c>
      <c r="D33" s="80"/>
      <c r="E33" s="75"/>
      <c r="F33" s="75"/>
      <c r="G33" s="75"/>
      <c r="H33" s="75"/>
      <c r="I33" s="75"/>
      <c r="J33" s="75"/>
      <c r="K33" s="75"/>
      <c r="L33" s="75"/>
      <c r="M33" s="75"/>
      <c r="N33" s="75"/>
      <c r="O33" s="75"/>
      <c r="P33" s="75"/>
      <c r="Q33" s="75"/>
      <c r="R33" s="75"/>
      <c r="S33" s="75"/>
      <c r="T33" s="75"/>
      <c r="U33" s="75"/>
      <c r="V33" s="75"/>
      <c r="W33" s="75"/>
      <c r="X33" s="75"/>
      <c r="Y33" s="75"/>
      <c r="Z33" s="75"/>
    </row>
    <row r="34">
      <c r="A34" s="78" t="s">
        <v>199</v>
      </c>
      <c r="B34" s="94">
        <f>(sum(B30:B31)*Config!B18)+(B32*Config!B25)</f>
        <v>65000</v>
      </c>
      <c r="C34" s="94">
        <f>(sum(C30:C31)*Config!B18)+(C32*Config!B25)</f>
        <v>86125</v>
      </c>
      <c r="D34" s="75"/>
      <c r="E34" s="95"/>
      <c r="F34" s="75"/>
      <c r="G34" s="75"/>
      <c r="H34" s="75"/>
      <c r="I34" s="75"/>
      <c r="J34" s="75"/>
      <c r="K34" s="75"/>
      <c r="L34" s="75"/>
      <c r="M34" s="75"/>
      <c r="N34" s="75"/>
      <c r="O34" s="75"/>
      <c r="P34" s="75"/>
      <c r="Q34" s="75"/>
      <c r="R34" s="75"/>
      <c r="S34" s="75"/>
      <c r="T34" s="75"/>
      <c r="U34" s="75"/>
      <c r="V34" s="75"/>
      <c r="W34" s="75"/>
      <c r="X34" s="75"/>
      <c r="Y34" s="75"/>
      <c r="Z34" s="75"/>
    </row>
    <row r="35">
      <c r="A35" s="75"/>
      <c r="B35" s="96"/>
      <c r="C35" s="96"/>
      <c r="D35" s="75"/>
      <c r="E35" s="95"/>
      <c r="F35" s="75"/>
      <c r="G35" s="75"/>
      <c r="H35" s="75"/>
      <c r="I35" s="75"/>
      <c r="J35" s="75"/>
      <c r="K35" s="75"/>
      <c r="L35" s="75"/>
      <c r="M35" s="75"/>
      <c r="N35" s="75"/>
      <c r="O35" s="75"/>
      <c r="P35" s="75"/>
      <c r="Q35" s="75"/>
      <c r="R35" s="75"/>
      <c r="S35" s="75"/>
      <c r="T35" s="75"/>
      <c r="U35" s="75"/>
      <c r="V35" s="75"/>
      <c r="W35" s="75"/>
      <c r="X35" s="75"/>
      <c r="Y35" s="75"/>
      <c r="Z35" s="75"/>
    </row>
    <row r="36">
      <c r="A36" s="76" t="s">
        <v>200</v>
      </c>
      <c r="B36" s="77"/>
      <c r="C36" s="77"/>
      <c r="D36" s="77"/>
      <c r="E36" s="75"/>
      <c r="F36" s="75"/>
      <c r="G36" s="75"/>
      <c r="H36" s="75"/>
      <c r="I36" s="75"/>
      <c r="J36" s="75"/>
      <c r="K36" s="75"/>
      <c r="L36" s="75"/>
      <c r="M36" s="75"/>
      <c r="N36" s="75"/>
      <c r="O36" s="75"/>
      <c r="P36" s="75"/>
      <c r="Q36" s="75"/>
      <c r="R36" s="75"/>
      <c r="S36" s="75"/>
      <c r="T36" s="75"/>
      <c r="U36" s="75"/>
      <c r="V36" s="75"/>
      <c r="W36" s="75"/>
      <c r="X36" s="75"/>
      <c r="Y36" s="75"/>
      <c r="Z36" s="75"/>
    </row>
    <row r="37">
      <c r="A37" s="97" t="str">
        <f>IFERROR(__xludf.DUMMYFUNCTION("VSTACK(
  QUERY(Input!A:I,""SELECT B, SUM(I), SUM(I)*""&amp;Config!B18&amp;"" WHERE B IS NOT NULL AND A = 'Now' GROUP BY B LABEL B 'Workstream', SUM(I) 'Total Hours', SUM(I)*""&amp;Config!B18&amp;"" 'Total Investment'"",1),
  {""Project Management"", ROUND(SUMPRODUCT(QUE"&amp;"RY(Input!A:I,""SELECT SUM(I) WHERE B IS NOT NULL AND A = 'Now' GROUP BY B LABEL SUM(I) ''"",0))*Config!B19,0), ROUND(SUMPRODUCT(QUERY(Input!A:I,""SELECT SUM(I) WHERE B IS NOT NULL AND A = 'Now' GROUP BY B LABEL SUM(I) ''"",0))*Config!B19,0)*Config!B18},
 "&amp;" {""Post-Launch Support"", Config!B26*Config!B27, Config!B26*Config!B27*Config!B25}
)"),"Workstream")</f>
        <v>Workstream</v>
      </c>
      <c r="B37" s="98" t="str">
        <f>IFERROR(__xludf.DUMMYFUNCTION("""COMPUTED_VALUE"""),"Total Hours")</f>
        <v>Total Hours</v>
      </c>
      <c r="C37" s="99" t="str">
        <f>IFERROR(__xludf.DUMMYFUNCTION("""COMPUTED_VALUE"""),"Total Investment")</f>
        <v>Total Investment</v>
      </c>
      <c r="D37" s="80"/>
      <c r="E37" s="75"/>
      <c r="F37" s="75"/>
      <c r="G37" s="75"/>
      <c r="H37" s="75"/>
      <c r="I37" s="75"/>
      <c r="J37" s="75"/>
      <c r="K37" s="75"/>
      <c r="L37" s="75"/>
      <c r="M37" s="75"/>
      <c r="N37" s="75"/>
      <c r="O37" s="75"/>
      <c r="P37" s="75"/>
      <c r="Q37" s="75"/>
      <c r="R37" s="75"/>
      <c r="S37" s="75"/>
      <c r="T37" s="75"/>
      <c r="U37" s="75"/>
      <c r="V37" s="75"/>
      <c r="W37" s="75"/>
      <c r="X37" s="75"/>
      <c r="Y37" s="75"/>
      <c r="Z37" s="75"/>
    </row>
    <row r="38">
      <c r="A38" s="75" t="str">
        <f>IFERROR(__xludf.DUMMYFUNCTION("""COMPUTED_VALUE"""),"Mobilization")</f>
        <v>Mobilization</v>
      </c>
      <c r="B38" s="79">
        <f>IFERROR(__xludf.DUMMYFUNCTION("""COMPUTED_VALUE"""),10.0)</f>
        <v>10</v>
      </c>
      <c r="C38" s="100">
        <f>IFERROR(__xludf.DUMMYFUNCTION("""COMPUTED_VALUE"""),3250.0)</f>
        <v>3250</v>
      </c>
      <c r="D38" s="75"/>
      <c r="E38" s="75"/>
      <c r="F38" s="75"/>
      <c r="G38" s="75"/>
      <c r="H38" s="75"/>
      <c r="I38" s="75"/>
      <c r="J38" s="75"/>
      <c r="K38" s="75"/>
      <c r="L38" s="75"/>
      <c r="M38" s="75"/>
      <c r="N38" s="75"/>
      <c r="O38" s="75"/>
      <c r="P38" s="75"/>
      <c r="Q38" s="75"/>
      <c r="R38" s="75"/>
      <c r="S38" s="75"/>
      <c r="T38" s="75"/>
      <c r="U38" s="75"/>
      <c r="V38" s="75"/>
      <c r="W38" s="75"/>
      <c r="X38" s="75"/>
      <c r="Y38" s="75"/>
      <c r="Z38" s="75"/>
    </row>
    <row r="39">
      <c r="A39" s="75" t="str">
        <f>IFERROR(__xludf.DUMMYFUNCTION("""COMPUTED_VALUE"""),"Optimization Recommendations")</f>
        <v>Optimization Recommendations</v>
      </c>
      <c r="B39" s="79">
        <f>IFERROR(__xludf.DUMMYFUNCTION("""COMPUTED_VALUE"""),74.0)</f>
        <v>74</v>
      </c>
      <c r="C39" s="100">
        <f>IFERROR(__xludf.DUMMYFUNCTION("""COMPUTED_VALUE"""),24050.0)</f>
        <v>24050</v>
      </c>
      <c r="D39" s="75"/>
      <c r="E39" s="75"/>
      <c r="F39" s="75"/>
      <c r="G39" s="75"/>
      <c r="H39" s="75"/>
      <c r="I39" s="75"/>
      <c r="J39" s="75"/>
      <c r="K39" s="75"/>
      <c r="L39" s="75"/>
      <c r="M39" s="75"/>
      <c r="N39" s="75"/>
      <c r="O39" s="75"/>
      <c r="P39" s="75"/>
      <c r="Q39" s="75"/>
      <c r="R39" s="75"/>
      <c r="S39" s="75"/>
      <c r="T39" s="75"/>
      <c r="U39" s="75"/>
      <c r="V39" s="75"/>
      <c r="W39" s="75"/>
      <c r="X39" s="75"/>
      <c r="Y39" s="75"/>
      <c r="Z39" s="75"/>
    </row>
    <row r="40">
      <c r="A40" s="75" t="str">
        <f>IFERROR(__xludf.DUMMYFUNCTION("""COMPUTED_VALUE"""),"Presentation")</f>
        <v>Presentation</v>
      </c>
      <c r="B40" s="79">
        <f>IFERROR(__xludf.DUMMYFUNCTION("""COMPUTED_VALUE"""),5.0)</f>
        <v>5</v>
      </c>
      <c r="C40" s="100">
        <f>IFERROR(__xludf.DUMMYFUNCTION("""COMPUTED_VALUE"""),1625.0)</f>
        <v>1625</v>
      </c>
      <c r="D40" s="75"/>
      <c r="E40" s="75"/>
      <c r="F40" s="75"/>
      <c r="G40" s="75"/>
      <c r="H40" s="75"/>
      <c r="I40" s="75"/>
      <c r="J40" s="75"/>
      <c r="K40" s="75"/>
      <c r="L40" s="75"/>
      <c r="M40" s="75"/>
      <c r="N40" s="75"/>
      <c r="O40" s="75"/>
      <c r="P40" s="75"/>
      <c r="Q40" s="75"/>
      <c r="R40" s="75"/>
      <c r="S40" s="75"/>
      <c r="T40" s="75"/>
      <c r="U40" s="75"/>
      <c r="V40" s="75"/>
      <c r="W40" s="75"/>
      <c r="X40" s="75"/>
      <c r="Y40" s="75"/>
      <c r="Z40" s="75"/>
    </row>
    <row r="41">
      <c r="A41" s="75" t="str">
        <f>IFERROR(__xludf.DUMMYFUNCTION("""COMPUTED_VALUE"""),"Process Discovery &amp; Documentation")</f>
        <v>Process Discovery &amp; Documentation</v>
      </c>
      <c r="B41" s="79">
        <f>IFERROR(__xludf.DUMMYFUNCTION("""COMPUTED_VALUE"""),25.0)</f>
        <v>25</v>
      </c>
      <c r="C41" s="100">
        <f>IFERROR(__xludf.DUMMYFUNCTION("""COMPUTED_VALUE"""),8125.0)</f>
        <v>8125</v>
      </c>
      <c r="D41" s="75"/>
      <c r="E41" s="75"/>
      <c r="F41" s="75"/>
      <c r="G41" s="75"/>
      <c r="H41" s="75"/>
      <c r="I41" s="75"/>
      <c r="J41" s="75"/>
      <c r="K41" s="75"/>
      <c r="L41" s="75"/>
      <c r="M41" s="75"/>
      <c r="N41" s="75"/>
      <c r="O41" s="75"/>
      <c r="P41" s="75"/>
      <c r="Q41" s="75"/>
      <c r="R41" s="75"/>
      <c r="S41" s="75"/>
      <c r="T41" s="75"/>
      <c r="U41" s="75"/>
      <c r="V41" s="75"/>
      <c r="W41" s="75"/>
      <c r="X41" s="75"/>
      <c r="Y41" s="75"/>
      <c r="Z41" s="75"/>
    </row>
    <row r="42">
      <c r="A42" s="75" t="str">
        <f>IFERROR(__xludf.DUMMYFUNCTION("""COMPUTED_VALUE"""),"Reporting &amp; Analytics Strategy")</f>
        <v>Reporting &amp; Analytics Strategy</v>
      </c>
      <c r="B42" s="79">
        <f>IFERROR(__xludf.DUMMYFUNCTION("""COMPUTED_VALUE"""),24.0)</f>
        <v>24</v>
      </c>
      <c r="C42" s="100">
        <f>IFERROR(__xludf.DUMMYFUNCTION("""COMPUTED_VALUE"""),7800.0)</f>
        <v>7800</v>
      </c>
      <c r="D42" s="75"/>
      <c r="E42" s="75"/>
      <c r="F42" s="75"/>
      <c r="G42" s="75"/>
      <c r="H42" s="75"/>
      <c r="I42" s="75"/>
      <c r="J42" s="75"/>
      <c r="K42" s="75"/>
      <c r="L42" s="75"/>
      <c r="M42" s="75"/>
      <c r="N42" s="75"/>
      <c r="O42" s="75"/>
      <c r="P42" s="75"/>
      <c r="Q42" s="75"/>
      <c r="R42" s="75"/>
      <c r="S42" s="75"/>
      <c r="T42" s="75"/>
      <c r="U42" s="75"/>
      <c r="V42" s="75"/>
      <c r="W42" s="75"/>
      <c r="X42" s="75"/>
      <c r="Y42" s="75"/>
      <c r="Z42" s="75"/>
    </row>
    <row r="43">
      <c r="A43" s="75" t="str">
        <f>IFERROR(__xludf.DUMMYFUNCTION("""COMPUTED_VALUE"""),"Strategic Planning &amp; Roadmap")</f>
        <v>Strategic Planning &amp; Roadmap</v>
      </c>
      <c r="B43" s="79">
        <f>IFERROR(__xludf.DUMMYFUNCTION("""COMPUTED_VALUE"""),26.0)</f>
        <v>26</v>
      </c>
      <c r="C43" s="100">
        <f>IFERROR(__xludf.DUMMYFUNCTION("""COMPUTED_VALUE"""),8450.0)</f>
        <v>8450</v>
      </c>
      <c r="D43" s="75"/>
      <c r="E43" s="75"/>
      <c r="F43" s="75"/>
      <c r="G43" s="75"/>
      <c r="H43" s="75"/>
      <c r="I43" s="75"/>
      <c r="J43" s="75"/>
      <c r="K43" s="75"/>
      <c r="L43" s="75"/>
      <c r="M43" s="75"/>
      <c r="N43" s="75"/>
      <c r="O43" s="75"/>
      <c r="P43" s="75"/>
      <c r="Q43" s="75"/>
      <c r="R43" s="75"/>
      <c r="S43" s="75"/>
      <c r="T43" s="75"/>
      <c r="U43" s="75"/>
      <c r="V43" s="75"/>
      <c r="W43" s="75"/>
      <c r="X43" s="75"/>
      <c r="Y43" s="75"/>
      <c r="Z43" s="75"/>
    </row>
    <row r="44">
      <c r="A44" s="75" t="str">
        <f>IFERROR(__xludf.DUMMYFUNCTION("""COMPUTED_VALUE"""),"Technical Assessment")</f>
        <v>Technical Assessment</v>
      </c>
      <c r="B44" s="79">
        <f>IFERROR(__xludf.DUMMYFUNCTION("""COMPUTED_VALUE"""),32.0)</f>
        <v>32</v>
      </c>
      <c r="C44" s="100">
        <f>IFERROR(__xludf.DUMMYFUNCTION("""COMPUTED_VALUE"""),10400.0)</f>
        <v>10400</v>
      </c>
      <c r="D44" s="75"/>
      <c r="E44" s="75"/>
      <c r="F44" s="75"/>
      <c r="G44" s="75"/>
      <c r="H44" s="75"/>
      <c r="I44" s="75"/>
      <c r="J44" s="75"/>
      <c r="K44" s="75"/>
      <c r="L44" s="75"/>
      <c r="M44" s="75"/>
      <c r="N44" s="75"/>
      <c r="O44" s="75"/>
      <c r="P44" s="75"/>
      <c r="Q44" s="75"/>
      <c r="R44" s="75"/>
      <c r="S44" s="75"/>
      <c r="T44" s="75"/>
      <c r="U44" s="75"/>
      <c r="V44" s="75"/>
      <c r="W44" s="75"/>
      <c r="X44" s="75"/>
      <c r="Y44" s="75"/>
      <c r="Z44" s="75"/>
    </row>
    <row r="45">
      <c r="A45" s="75" t="str">
        <f>IFERROR(__xludf.DUMMYFUNCTION("""COMPUTED_VALUE"""),"Project Management")</f>
        <v>Project Management</v>
      </c>
      <c r="B45" s="79">
        <f>IFERROR(__xludf.DUMMYFUNCTION("""COMPUTED_VALUE"""),39.0)</f>
        <v>39</v>
      </c>
      <c r="C45" s="100">
        <f>IFERROR(__xludf.DUMMYFUNCTION("""COMPUTED_VALUE"""),12675.0)</f>
        <v>12675</v>
      </c>
      <c r="D45" s="75"/>
      <c r="E45" s="75"/>
      <c r="F45" s="75"/>
      <c r="G45" s="75"/>
      <c r="H45" s="75"/>
      <c r="I45" s="75"/>
      <c r="J45" s="75"/>
      <c r="K45" s="75"/>
      <c r="L45" s="75"/>
      <c r="M45" s="75"/>
      <c r="N45" s="75"/>
      <c r="O45" s="75"/>
      <c r="P45" s="75"/>
      <c r="Q45" s="75"/>
      <c r="R45" s="75"/>
      <c r="S45" s="75"/>
      <c r="T45" s="75"/>
      <c r="U45" s="75"/>
      <c r="V45" s="75"/>
      <c r="W45" s="75"/>
      <c r="X45" s="75"/>
      <c r="Y45" s="75"/>
      <c r="Z45" s="75"/>
    </row>
    <row r="46">
      <c r="A46" s="75" t="str">
        <f>IFERROR(__xludf.DUMMYFUNCTION("""COMPUTED_VALUE"""),"Post-Launch Support")</f>
        <v>Post-Launch Support</v>
      </c>
      <c r="B46" s="79">
        <f>IFERROR(__xludf.DUMMYFUNCTION("""COMPUTED_VALUE"""),0.0)</f>
        <v>0</v>
      </c>
      <c r="C46" s="100">
        <f>IFERROR(__xludf.DUMMYFUNCTION("""COMPUTED_VALUE"""),0.0)</f>
        <v>0</v>
      </c>
      <c r="D46" s="75"/>
      <c r="E46" s="75"/>
      <c r="F46" s="75"/>
      <c r="G46" s="75"/>
      <c r="H46" s="75"/>
      <c r="I46" s="75"/>
      <c r="J46" s="75"/>
      <c r="K46" s="75"/>
      <c r="L46" s="75"/>
      <c r="M46" s="75"/>
      <c r="N46" s="75"/>
      <c r="O46" s="75"/>
      <c r="P46" s="75"/>
      <c r="Q46" s="75"/>
      <c r="R46" s="75"/>
      <c r="S46" s="75"/>
      <c r="T46" s="75"/>
      <c r="U46" s="75"/>
      <c r="V46" s="75"/>
      <c r="W46" s="75"/>
      <c r="X46" s="75"/>
      <c r="Y46" s="75"/>
      <c r="Z46" s="75"/>
    </row>
    <row r="47">
      <c r="A47" s="75"/>
      <c r="B47" s="79"/>
      <c r="C47" s="100"/>
      <c r="D47" s="75"/>
      <c r="E47" s="75"/>
      <c r="F47" s="75"/>
      <c r="G47" s="75"/>
      <c r="H47" s="75"/>
      <c r="I47" s="75"/>
      <c r="J47" s="75"/>
      <c r="K47" s="75"/>
      <c r="L47" s="75"/>
      <c r="M47" s="75"/>
      <c r="N47" s="75"/>
      <c r="O47" s="75"/>
      <c r="P47" s="75"/>
      <c r="Q47" s="75"/>
      <c r="R47" s="75"/>
      <c r="S47" s="75"/>
      <c r="T47" s="75"/>
      <c r="U47" s="75"/>
      <c r="V47" s="75"/>
      <c r="W47" s="75"/>
      <c r="X47" s="75"/>
      <c r="Y47" s="75"/>
      <c r="Z47" s="75"/>
    </row>
    <row r="48">
      <c r="A48" s="75"/>
      <c r="B48" s="79"/>
      <c r="C48" s="100"/>
      <c r="D48" s="75"/>
      <c r="E48" s="75"/>
      <c r="F48" s="75"/>
      <c r="G48" s="75"/>
      <c r="H48" s="75"/>
      <c r="I48" s="75"/>
      <c r="J48" s="75"/>
      <c r="K48" s="75"/>
      <c r="L48" s="75"/>
      <c r="M48" s="75"/>
      <c r="N48" s="75"/>
      <c r="O48" s="75"/>
      <c r="P48" s="75"/>
      <c r="Q48" s="75"/>
      <c r="R48" s="75"/>
      <c r="S48" s="75"/>
      <c r="T48" s="75"/>
      <c r="U48" s="75"/>
      <c r="V48" s="75"/>
      <c r="W48" s="75"/>
      <c r="X48" s="75"/>
      <c r="Y48" s="75"/>
      <c r="Z48" s="75"/>
    </row>
    <row r="49">
      <c r="A49" s="75"/>
      <c r="B49" s="75"/>
      <c r="C49" s="101"/>
      <c r="D49" s="75"/>
      <c r="E49" s="75"/>
      <c r="F49" s="75"/>
      <c r="G49" s="75"/>
      <c r="H49" s="75"/>
      <c r="I49" s="75"/>
      <c r="J49" s="75"/>
      <c r="K49" s="75"/>
      <c r="L49" s="75"/>
      <c r="M49" s="75"/>
      <c r="N49" s="75"/>
      <c r="O49" s="75"/>
      <c r="P49" s="75"/>
      <c r="Q49" s="75"/>
      <c r="R49" s="75"/>
      <c r="S49" s="75"/>
      <c r="T49" s="75"/>
      <c r="U49" s="75"/>
      <c r="V49" s="75"/>
      <c r="W49" s="75"/>
      <c r="X49" s="75"/>
      <c r="Y49" s="75"/>
      <c r="Z49" s="75"/>
    </row>
    <row r="50">
      <c r="A50" s="75"/>
      <c r="B50" s="75"/>
      <c r="C50" s="101"/>
      <c r="D50" s="75"/>
      <c r="E50" s="75"/>
      <c r="F50" s="75"/>
      <c r="G50" s="75"/>
      <c r="H50" s="75"/>
      <c r="I50" s="75"/>
      <c r="J50" s="75"/>
      <c r="K50" s="75"/>
      <c r="L50" s="75"/>
      <c r="M50" s="75"/>
      <c r="N50" s="75"/>
      <c r="O50" s="75"/>
      <c r="P50" s="75"/>
      <c r="Q50" s="75"/>
      <c r="R50" s="75"/>
      <c r="S50" s="75"/>
      <c r="T50" s="75"/>
      <c r="U50" s="75"/>
      <c r="V50" s="75"/>
      <c r="W50" s="75"/>
      <c r="X50" s="75"/>
      <c r="Y50" s="75"/>
      <c r="Z50" s="75"/>
    </row>
    <row r="51">
      <c r="A51" s="75"/>
      <c r="B51" s="75"/>
      <c r="C51" s="101"/>
      <c r="D51" s="75"/>
      <c r="E51" s="75"/>
      <c r="F51" s="75"/>
      <c r="G51" s="75"/>
      <c r="H51" s="75"/>
      <c r="I51" s="75"/>
      <c r="J51" s="75"/>
      <c r="K51" s="75"/>
      <c r="L51" s="75"/>
      <c r="M51" s="75"/>
      <c r="N51" s="75"/>
      <c r="O51" s="75"/>
      <c r="P51" s="75"/>
      <c r="Q51" s="75"/>
      <c r="R51" s="75"/>
      <c r="S51" s="75"/>
      <c r="T51" s="75"/>
      <c r="U51" s="75"/>
      <c r="V51" s="75"/>
      <c r="W51" s="75"/>
      <c r="X51" s="75"/>
      <c r="Y51" s="75"/>
      <c r="Z51" s="75"/>
    </row>
    <row r="52">
      <c r="A52" s="75"/>
      <c r="B52" s="75"/>
      <c r="C52" s="101"/>
      <c r="D52" s="75"/>
      <c r="E52" s="75"/>
      <c r="F52" s="75"/>
      <c r="G52" s="75"/>
      <c r="H52" s="75"/>
      <c r="I52" s="75"/>
      <c r="J52" s="75"/>
      <c r="K52" s="75"/>
      <c r="L52" s="75"/>
      <c r="M52" s="75"/>
      <c r="N52" s="75"/>
      <c r="O52" s="75"/>
      <c r="P52" s="75"/>
      <c r="Q52" s="75"/>
      <c r="R52" s="75"/>
      <c r="S52" s="75"/>
      <c r="T52" s="75"/>
      <c r="U52" s="75"/>
      <c r="V52" s="75"/>
      <c r="W52" s="75"/>
      <c r="X52" s="75"/>
      <c r="Y52" s="75"/>
      <c r="Z52" s="75"/>
    </row>
    <row r="53">
      <c r="A53" s="75"/>
      <c r="B53" s="75"/>
      <c r="C53" s="101"/>
      <c r="D53" s="75"/>
      <c r="E53" s="75"/>
      <c r="F53" s="75"/>
      <c r="G53" s="75"/>
      <c r="H53" s="75"/>
      <c r="I53" s="75"/>
      <c r="J53" s="75"/>
      <c r="K53" s="75"/>
      <c r="L53" s="75"/>
      <c r="M53" s="75"/>
      <c r="N53" s="75"/>
      <c r="O53" s="75"/>
      <c r="P53" s="75"/>
      <c r="Q53" s="75"/>
      <c r="R53" s="75"/>
      <c r="S53" s="75"/>
      <c r="T53" s="75"/>
      <c r="U53" s="75"/>
      <c r="V53" s="75"/>
      <c r="W53" s="75"/>
      <c r="X53" s="75"/>
      <c r="Y53" s="75"/>
      <c r="Z53" s="75"/>
    </row>
    <row r="54">
      <c r="A54" s="75"/>
      <c r="B54" s="75"/>
      <c r="C54" s="101"/>
      <c r="D54" s="75"/>
      <c r="E54" s="75"/>
      <c r="F54" s="75"/>
      <c r="G54" s="75"/>
      <c r="H54" s="75"/>
      <c r="I54" s="75"/>
      <c r="J54" s="75"/>
      <c r="K54" s="75"/>
      <c r="L54" s="75"/>
      <c r="M54" s="75"/>
      <c r="N54" s="75"/>
      <c r="O54" s="75"/>
      <c r="P54" s="75"/>
      <c r="Q54" s="75"/>
      <c r="R54" s="75"/>
      <c r="S54" s="75"/>
      <c r="T54" s="75"/>
      <c r="U54" s="75"/>
      <c r="V54" s="75"/>
      <c r="W54" s="75"/>
      <c r="X54" s="75"/>
      <c r="Y54" s="75"/>
      <c r="Z54" s="75"/>
    </row>
    <row r="55">
      <c r="A55" s="75"/>
      <c r="B55" s="75"/>
      <c r="C55" s="101"/>
      <c r="D55" s="75"/>
      <c r="E55" s="75"/>
      <c r="F55" s="75"/>
      <c r="G55" s="75"/>
      <c r="H55" s="75"/>
      <c r="I55" s="75"/>
      <c r="J55" s="75"/>
      <c r="K55" s="75"/>
      <c r="L55" s="75"/>
      <c r="M55" s="75"/>
      <c r="N55" s="75"/>
      <c r="O55" s="75"/>
      <c r="P55" s="75"/>
      <c r="Q55" s="75"/>
      <c r="R55" s="75"/>
      <c r="S55" s="75"/>
      <c r="T55" s="75"/>
      <c r="U55" s="75"/>
      <c r="V55" s="75"/>
      <c r="W55" s="75"/>
      <c r="X55" s="75"/>
      <c r="Y55" s="75"/>
      <c r="Z55" s="75"/>
    </row>
    <row r="56">
      <c r="A56" s="75"/>
      <c r="B56" s="75"/>
      <c r="C56" s="101"/>
      <c r="D56" s="75"/>
      <c r="E56" s="75"/>
      <c r="F56" s="75"/>
      <c r="G56" s="75"/>
      <c r="H56" s="75"/>
      <c r="I56" s="75"/>
      <c r="J56" s="75"/>
      <c r="K56" s="75"/>
      <c r="L56" s="75"/>
      <c r="M56" s="75"/>
      <c r="N56" s="75"/>
      <c r="O56" s="75"/>
      <c r="P56" s="75"/>
      <c r="Q56" s="75"/>
      <c r="R56" s="75"/>
      <c r="S56" s="75"/>
      <c r="T56" s="75"/>
      <c r="U56" s="75"/>
      <c r="V56" s="75"/>
      <c r="W56" s="75"/>
      <c r="X56" s="75"/>
      <c r="Y56" s="75"/>
      <c r="Z56" s="75"/>
    </row>
    <row r="57">
      <c r="A57" s="75"/>
      <c r="B57" s="75"/>
      <c r="C57" s="101"/>
      <c r="D57" s="75"/>
      <c r="E57" s="75"/>
      <c r="F57" s="75"/>
      <c r="G57" s="75"/>
      <c r="H57" s="75"/>
      <c r="I57" s="75"/>
      <c r="J57" s="75"/>
      <c r="K57" s="75"/>
      <c r="L57" s="75"/>
      <c r="M57" s="75"/>
      <c r="N57" s="75"/>
      <c r="O57" s="75"/>
      <c r="P57" s="75"/>
      <c r="Q57" s="75"/>
      <c r="R57" s="75"/>
      <c r="S57" s="75"/>
      <c r="T57" s="75"/>
      <c r="U57" s="75"/>
      <c r="V57" s="75"/>
      <c r="W57" s="75"/>
      <c r="X57" s="75"/>
      <c r="Y57" s="75"/>
      <c r="Z57" s="75"/>
    </row>
    <row r="58">
      <c r="A58" s="75"/>
      <c r="B58" s="75"/>
      <c r="C58" s="101"/>
      <c r="D58" s="75"/>
      <c r="E58" s="75"/>
      <c r="F58" s="75"/>
      <c r="G58" s="75"/>
      <c r="H58" s="75"/>
      <c r="I58" s="75"/>
      <c r="J58" s="75"/>
      <c r="K58" s="75"/>
      <c r="L58" s="75"/>
      <c r="M58" s="75"/>
      <c r="N58" s="75"/>
      <c r="O58" s="75"/>
      <c r="P58" s="75"/>
      <c r="Q58" s="75"/>
      <c r="R58" s="75"/>
      <c r="S58" s="75"/>
      <c r="T58" s="75"/>
      <c r="U58" s="75"/>
      <c r="V58" s="75"/>
      <c r="W58" s="75"/>
      <c r="X58" s="75"/>
      <c r="Y58" s="75"/>
      <c r="Z58" s="75"/>
    </row>
    <row r="59">
      <c r="A59" s="75"/>
      <c r="B59" s="75"/>
      <c r="C59" s="101"/>
      <c r="D59" s="75"/>
      <c r="E59" s="75"/>
      <c r="F59" s="75"/>
      <c r="G59" s="75"/>
      <c r="H59" s="75"/>
      <c r="I59" s="75"/>
      <c r="J59" s="75"/>
      <c r="K59" s="75"/>
      <c r="L59" s="75"/>
      <c r="M59" s="75"/>
      <c r="N59" s="75"/>
      <c r="O59" s="75"/>
      <c r="P59" s="75"/>
      <c r="Q59" s="75"/>
      <c r="R59" s="75"/>
      <c r="S59" s="75"/>
      <c r="T59" s="75"/>
      <c r="U59" s="75"/>
      <c r="V59" s="75"/>
      <c r="W59" s="75"/>
      <c r="X59" s="75"/>
      <c r="Y59" s="75"/>
      <c r="Z59" s="75"/>
    </row>
    <row r="60">
      <c r="A60" s="75"/>
      <c r="B60" s="75"/>
      <c r="C60" s="101"/>
      <c r="D60" s="75"/>
      <c r="E60" s="75"/>
      <c r="F60" s="75"/>
      <c r="G60" s="75"/>
      <c r="H60" s="75"/>
      <c r="I60" s="75"/>
      <c r="J60" s="75"/>
      <c r="K60" s="75"/>
      <c r="L60" s="75"/>
      <c r="M60" s="75"/>
      <c r="N60" s="75"/>
      <c r="O60" s="75"/>
      <c r="P60" s="75"/>
      <c r="Q60" s="75"/>
      <c r="R60" s="75"/>
      <c r="S60" s="75"/>
      <c r="T60" s="75"/>
      <c r="U60" s="75"/>
      <c r="V60" s="75"/>
      <c r="W60" s="75"/>
      <c r="X60" s="75"/>
      <c r="Y60" s="75"/>
      <c r="Z60" s="75"/>
    </row>
    <row r="61">
      <c r="A61" s="75"/>
      <c r="B61" s="75"/>
      <c r="C61" s="101"/>
      <c r="D61" s="75"/>
      <c r="E61" s="75"/>
      <c r="F61" s="75"/>
      <c r="G61" s="75"/>
      <c r="H61" s="75"/>
      <c r="I61" s="75"/>
      <c r="J61" s="75"/>
      <c r="K61" s="75"/>
      <c r="L61" s="75"/>
      <c r="M61" s="75"/>
      <c r="N61" s="75"/>
      <c r="O61" s="75"/>
      <c r="P61" s="75"/>
      <c r="Q61" s="75"/>
      <c r="R61" s="75"/>
      <c r="S61" s="75"/>
      <c r="T61" s="75"/>
      <c r="U61" s="75"/>
      <c r="V61" s="75"/>
      <c r="W61" s="75"/>
      <c r="X61" s="75"/>
      <c r="Y61" s="75"/>
      <c r="Z61" s="75"/>
    </row>
    <row r="62">
      <c r="A62" s="75"/>
      <c r="B62" s="75"/>
      <c r="C62" s="101"/>
      <c r="D62" s="75"/>
      <c r="E62" s="75"/>
      <c r="F62" s="75"/>
      <c r="G62" s="75"/>
      <c r="H62" s="75"/>
      <c r="I62" s="75"/>
      <c r="J62" s="75"/>
      <c r="K62" s="75"/>
      <c r="L62" s="75"/>
      <c r="M62" s="75"/>
      <c r="N62" s="75"/>
      <c r="O62" s="75"/>
      <c r="P62" s="75"/>
      <c r="Q62" s="75"/>
      <c r="R62" s="75"/>
      <c r="S62" s="75"/>
      <c r="T62" s="75"/>
      <c r="U62" s="75"/>
      <c r="V62" s="75"/>
      <c r="W62" s="75"/>
      <c r="X62" s="75"/>
      <c r="Y62" s="75"/>
      <c r="Z62" s="75"/>
    </row>
    <row r="63">
      <c r="A63" s="75"/>
      <c r="B63" s="75"/>
      <c r="C63" s="101"/>
      <c r="D63" s="75"/>
      <c r="E63" s="75"/>
      <c r="F63" s="75"/>
      <c r="G63" s="75"/>
      <c r="H63" s="75"/>
      <c r="I63" s="75"/>
      <c r="J63" s="75"/>
      <c r="K63" s="75"/>
      <c r="L63" s="75"/>
      <c r="M63" s="75"/>
      <c r="N63" s="75"/>
      <c r="O63" s="75"/>
      <c r="P63" s="75"/>
      <c r="Q63" s="75"/>
      <c r="R63" s="75"/>
      <c r="S63" s="75"/>
      <c r="T63" s="75"/>
      <c r="U63" s="75"/>
      <c r="V63" s="75"/>
      <c r="W63" s="75"/>
      <c r="X63" s="75"/>
      <c r="Y63" s="75"/>
      <c r="Z63" s="75"/>
    </row>
    <row r="64">
      <c r="A64" s="75"/>
      <c r="B64" s="75"/>
      <c r="C64" s="101"/>
      <c r="D64" s="75"/>
      <c r="E64" s="75"/>
      <c r="F64" s="75"/>
      <c r="G64" s="75"/>
      <c r="H64" s="75"/>
      <c r="I64" s="75"/>
      <c r="J64" s="75"/>
      <c r="K64" s="75"/>
      <c r="L64" s="75"/>
      <c r="M64" s="75"/>
      <c r="N64" s="75"/>
      <c r="O64" s="75"/>
      <c r="P64" s="75"/>
      <c r="Q64" s="75"/>
      <c r="R64" s="75"/>
      <c r="S64" s="75"/>
      <c r="T64" s="75"/>
      <c r="U64" s="75"/>
      <c r="V64" s="75"/>
      <c r="W64" s="75"/>
      <c r="X64" s="75"/>
      <c r="Y64" s="75"/>
      <c r="Z64" s="75"/>
    </row>
    <row r="65">
      <c r="A65" s="75"/>
      <c r="B65" s="75"/>
      <c r="C65" s="101"/>
      <c r="D65" s="75"/>
      <c r="E65" s="75"/>
      <c r="F65" s="75"/>
      <c r="G65" s="75"/>
      <c r="H65" s="75"/>
      <c r="I65" s="75"/>
      <c r="J65" s="75"/>
      <c r="K65" s="75"/>
      <c r="L65" s="75"/>
      <c r="M65" s="75"/>
      <c r="N65" s="75"/>
      <c r="O65" s="75"/>
      <c r="P65" s="75"/>
      <c r="Q65" s="75"/>
      <c r="R65" s="75"/>
      <c r="S65" s="75"/>
      <c r="T65" s="75"/>
      <c r="U65" s="75"/>
      <c r="V65" s="75"/>
      <c r="W65" s="75"/>
      <c r="X65" s="75"/>
      <c r="Y65" s="75"/>
      <c r="Z65" s="75"/>
    </row>
    <row r="66">
      <c r="A66" s="75"/>
      <c r="B66" s="75"/>
      <c r="C66" s="101"/>
      <c r="D66" s="75"/>
      <c r="E66" s="75"/>
      <c r="F66" s="75"/>
      <c r="G66" s="75"/>
      <c r="H66" s="75"/>
      <c r="I66" s="75"/>
      <c r="J66" s="75"/>
      <c r="K66" s="75"/>
      <c r="L66" s="75"/>
      <c r="M66" s="75"/>
      <c r="N66" s="75"/>
      <c r="O66" s="75"/>
      <c r="P66" s="75"/>
      <c r="Q66" s="75"/>
      <c r="R66" s="75"/>
      <c r="S66" s="75"/>
      <c r="T66" s="75"/>
      <c r="U66" s="75"/>
      <c r="V66" s="75"/>
      <c r="W66" s="75"/>
      <c r="X66" s="75"/>
      <c r="Y66" s="75"/>
      <c r="Z66" s="75"/>
    </row>
    <row r="67">
      <c r="A67" s="75"/>
      <c r="B67" s="75"/>
      <c r="C67" s="101"/>
      <c r="D67" s="75"/>
      <c r="E67" s="75"/>
      <c r="F67" s="75"/>
      <c r="G67" s="75"/>
      <c r="H67" s="75"/>
      <c r="I67" s="75"/>
      <c r="J67" s="75"/>
      <c r="K67" s="75"/>
      <c r="L67" s="75"/>
      <c r="M67" s="75"/>
      <c r="N67" s="75"/>
      <c r="O67" s="75"/>
      <c r="P67" s="75"/>
      <c r="Q67" s="75"/>
      <c r="R67" s="75"/>
      <c r="S67" s="75"/>
      <c r="T67" s="75"/>
      <c r="U67" s="75"/>
      <c r="V67" s="75"/>
      <c r="W67" s="75"/>
      <c r="X67" s="75"/>
      <c r="Y67" s="75"/>
      <c r="Z67" s="75"/>
    </row>
    <row r="68">
      <c r="A68" s="75"/>
      <c r="B68" s="75"/>
      <c r="C68" s="101"/>
      <c r="D68" s="75"/>
      <c r="E68" s="75"/>
      <c r="F68" s="75"/>
      <c r="G68" s="75"/>
      <c r="H68" s="75"/>
      <c r="I68" s="75"/>
      <c r="J68" s="75"/>
      <c r="K68" s="75"/>
      <c r="L68" s="75"/>
      <c r="M68" s="75"/>
      <c r="N68" s="75"/>
      <c r="O68" s="75"/>
      <c r="P68" s="75"/>
      <c r="Q68" s="75"/>
      <c r="R68" s="75"/>
      <c r="S68" s="75"/>
      <c r="T68" s="75"/>
      <c r="U68" s="75"/>
      <c r="V68" s="75"/>
      <c r="W68" s="75"/>
      <c r="X68" s="75"/>
      <c r="Y68" s="75"/>
      <c r="Z68" s="75"/>
    </row>
    <row r="69">
      <c r="A69" s="75"/>
      <c r="B69" s="75"/>
      <c r="C69" s="101"/>
      <c r="D69" s="75"/>
      <c r="E69" s="75"/>
      <c r="F69" s="75"/>
      <c r="G69" s="75"/>
      <c r="H69" s="75"/>
      <c r="I69" s="75"/>
      <c r="J69" s="75"/>
      <c r="K69" s="75"/>
      <c r="L69" s="75"/>
      <c r="M69" s="75"/>
      <c r="N69" s="75"/>
      <c r="O69" s="75"/>
      <c r="P69" s="75"/>
      <c r="Q69" s="75"/>
      <c r="R69" s="75"/>
      <c r="S69" s="75"/>
      <c r="T69" s="75"/>
      <c r="U69" s="75"/>
      <c r="V69" s="75"/>
      <c r="W69" s="75"/>
      <c r="X69" s="75"/>
      <c r="Y69" s="75"/>
      <c r="Z69" s="75"/>
    </row>
    <row r="70">
      <c r="A70" s="75"/>
      <c r="B70" s="75"/>
      <c r="C70" s="101"/>
      <c r="D70" s="75"/>
      <c r="E70" s="75"/>
      <c r="F70" s="75"/>
      <c r="G70" s="75"/>
      <c r="H70" s="75"/>
      <c r="I70" s="75"/>
      <c r="J70" s="75"/>
      <c r="K70" s="75"/>
      <c r="L70" s="75"/>
      <c r="M70" s="75"/>
      <c r="N70" s="75"/>
      <c r="O70" s="75"/>
      <c r="P70" s="75"/>
      <c r="Q70" s="75"/>
      <c r="R70" s="75"/>
      <c r="S70" s="75"/>
      <c r="T70" s="75"/>
      <c r="U70" s="75"/>
      <c r="V70" s="75"/>
      <c r="W70" s="75"/>
      <c r="X70" s="75"/>
      <c r="Y70" s="75"/>
      <c r="Z70" s="75"/>
    </row>
    <row r="71">
      <c r="A71" s="75"/>
      <c r="B71" s="75"/>
      <c r="C71" s="101"/>
      <c r="D71" s="75"/>
      <c r="E71" s="75"/>
      <c r="F71" s="75"/>
      <c r="G71" s="75"/>
      <c r="H71" s="75"/>
      <c r="I71" s="75"/>
      <c r="J71" s="75"/>
      <c r="K71" s="75"/>
      <c r="L71" s="75"/>
      <c r="M71" s="75"/>
      <c r="N71" s="75"/>
      <c r="O71" s="75"/>
      <c r="P71" s="75"/>
      <c r="Q71" s="75"/>
      <c r="R71" s="75"/>
      <c r="S71" s="75"/>
      <c r="T71" s="75"/>
      <c r="U71" s="75"/>
      <c r="V71" s="75"/>
      <c r="W71" s="75"/>
      <c r="X71" s="75"/>
      <c r="Y71" s="75"/>
      <c r="Z71" s="75"/>
    </row>
    <row r="72">
      <c r="A72" s="75"/>
      <c r="B72" s="75"/>
      <c r="C72" s="101"/>
      <c r="D72" s="75"/>
      <c r="E72" s="75"/>
      <c r="F72" s="75"/>
      <c r="G72" s="75"/>
      <c r="H72" s="75"/>
      <c r="I72" s="75"/>
      <c r="J72" s="75"/>
      <c r="K72" s="75"/>
      <c r="L72" s="75"/>
      <c r="M72" s="75"/>
      <c r="N72" s="75"/>
      <c r="O72" s="75"/>
      <c r="P72" s="75"/>
      <c r="Q72" s="75"/>
      <c r="R72" s="75"/>
      <c r="S72" s="75"/>
      <c r="T72" s="75"/>
      <c r="U72" s="75"/>
      <c r="V72" s="75"/>
      <c r="W72" s="75"/>
      <c r="X72" s="75"/>
      <c r="Y72" s="75"/>
      <c r="Z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sheetData>
  <drawing r:id="rId1"/>
</worksheet>
</file>