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 Stories" sheetId="1" r:id="rId4"/>
    <sheet state="hidden" name="Customer Stories without Book T" sheetId="2" r:id="rId5"/>
  </sheets>
  <definedNames/>
  <calcPr/>
</workbook>
</file>

<file path=xl/sharedStrings.xml><?xml version="1.0" encoding="utf-8"?>
<sst xmlns="http://schemas.openxmlformats.org/spreadsheetml/2006/main" count="78" uniqueCount="43">
  <si>
    <t>m</t>
  </si>
  <si>
    <r>
      <rPr>
        <rFont val="Arial"/>
        <b val="0"/>
        <color rgb="FFFFFFFF"/>
        <sz val="12.0"/>
      </rPr>
      <t>Client:</t>
    </r>
    <r>
      <rPr>
        <rFont val="Arial"/>
        <b/>
        <color rgb="FFFFFFFF"/>
        <sz val="20.0"/>
      </rPr>
      <t xml:space="preserve"> Literacy Partners </t>
    </r>
  </si>
  <si>
    <t xml:space="preserve">Master Customer Story </t>
  </si>
  <si>
    <t>Hours</t>
  </si>
  <si>
    <t>OOS</t>
  </si>
  <si>
    <t>Total</t>
  </si>
  <si>
    <t>Literacy Partners is a non-profit educational organization that is committed to literacy and strengthening families through a two-generation approach to education. Having implemented Salesforce in the past and not being able to keep up with its deeply technical upkeep, they found themselves going back to heavily manual and time-consuming methods of data collection, engagement tracking, and registration, They are now ready to build a scalable, user-friendly, and maintainable CRM within Hubspot and have enlisted Aptitude 8 to implement.</t>
  </si>
  <si>
    <t xml:space="preserve">Customer Story </t>
  </si>
  <si>
    <t>Suggested Implementation Path</t>
  </si>
  <si>
    <t>Assumptions</t>
  </si>
  <si>
    <t>Hours Estimate</t>
  </si>
  <si>
    <t>Literacy Partners needs to be able to register parents for workshops (webinars) and track registration vs attendance</t>
  </si>
  <si>
    <t>Create Workshops object associated to each workshop. Create Deal associated to enrolled contact based on zoom webinars data. Workflows to copy registered and attended as a status on the Webinar. Workshop will have a goal as well as an actual rollup property from Deal object. Workshop house associated number of books</t>
  </si>
  <si>
    <t>Will need at least 3 workflows to related the contact to the Workshop, Create the Deal, and Then Update the Deal status (not the stage) object. 2 calculated properties and one report to cover registration vs attendance (general)</t>
  </si>
  <si>
    <t xml:space="preserve">Literacy Partners needs to be able to report on Workshop registration and participation by each of: zip code,state,city,gender,founder/grant,topic/lesson/program. </t>
  </si>
  <si>
    <t>For location data, capture address in form. On submit, run a custom coded action to retrieve zip code from public API like Google, and populate that on to the contact. Key is to ensure accuracy of zip codes for later reporting. Gender can be captured in the form, founder/grant will be associated to the Workshop record, and topic/lesson/program will be a field on Workshop object (but may need to be a parent/child relationship if multiple Workshops rollup to a "curriculum")</t>
  </si>
  <si>
    <t>Assumes topic/lesson/program can be contained within a single property. If details needed may have to expand to a custom object (curriculum). Assumes client has access to either Operations Hub Pro or an iPaaS for the zip code lookup. 1-4 reports assumed with this story</t>
  </si>
  <si>
    <t>Need to capture lead source when someone registers</t>
  </si>
  <si>
    <t>Create a workflow that associates origination source and campaign, and create hidden utm fields on each form that feed into a workflow to capture original source from utms on each contact</t>
  </si>
  <si>
    <t xml:space="preserve">Assumes can use out of the box workflows, sources, and campaigns. </t>
  </si>
  <si>
    <t>Need to work from a dashboard with reports on where people learned about the workshop (whatsapp,facebook,etc), applied vs attended by city, and others covered in above line items (8 and 9)</t>
  </si>
  <si>
    <t>Create a dashboard for totals with ability to filter down by a particular workshop or curriculum</t>
  </si>
  <si>
    <t>Assumes dashboard to contain 10-15 reports</t>
  </si>
  <si>
    <t>Need to be able to track and display performance data for board presentations and progress monitoring on overall achievement such as number of workshops, parents served, books distributed</t>
  </si>
  <si>
    <t>Create several reports that sum number of workshops, contacts that participated, total number of books</t>
  </si>
  <si>
    <t>Assumes one dashboard with 4-5 cross-object reports</t>
  </si>
  <si>
    <t>Need to track participant journey for each event to ensure each participant makes it all the way through to receiving books and the next workshop</t>
  </si>
  <si>
    <t>Create a Deal for each potential/actual registration to a workshop for each person. Associate to a Workshop/Curriculum. Pipeline that goes from form fill, call to confirm attendance, zoom link via whatsapp,initial survey completed,final survey submitted, books sent</t>
  </si>
  <si>
    <t>Assumes deal is associated to each workshop and runs several workflows to populate data. This line does not include time for automation via whatsapp.</t>
  </si>
  <si>
    <t>Literacy Partners needs surveys to be completed before and after each workshop / curriculum to gauge performance with a calculated property from the first to last survey for KPI reporting on performance (# of books)</t>
  </si>
  <si>
    <t>use 3rd party survey tool, or use HubSpot form to intake information. Record first and last count on the deal and run a calculated property to get the difference. Roll up those numbers (avg) to the workshop for KPI reporting</t>
  </si>
  <si>
    <t>Assumes have the ability to intake information via HubSpot form or 3rd party form/survey tool</t>
  </si>
  <si>
    <t>Literacy Partners needs to be able to automatically send messages and surveys from HubSpot via whatsapp to registrants</t>
  </si>
  <si>
    <t>Create workflows for each survey when hits the appropriate deal stage as well as send zoom link once registered. Integrate whatsapp to HubSpot</t>
  </si>
  <si>
    <t>Assumes client will provide the copy in Spanish for A8 to input and 3 workflows to automate whatsapp communications.</t>
  </si>
  <si>
    <t xml:space="preserve">Literary Partners needs the ability to gather book data sent to parents across workshops </t>
  </si>
  <si>
    <t>Create object called Books that can be associated with registrants. Client will add line items to the Deal to allow for record keeping.</t>
  </si>
  <si>
    <t>Client will need to manually update the book list, but workflow will connect the two. Includes time to set up the object and the workflow. Please note this line item does not include an inventory.</t>
  </si>
  <si>
    <t>Need training and documentation on HubSpot setup to be able to use the system</t>
  </si>
  <si>
    <t>Provide a series of train the trainer sessions as well as loom, tango, and google doc assets</t>
  </si>
  <si>
    <t>Will provide 5 hours of training as well as 4-5 training assets based on client's unique setup</t>
  </si>
  <si>
    <r>
      <rPr>
        <rFont val="Arial"/>
        <b val="0"/>
        <color rgb="FFFFFFFF"/>
        <sz val="12.0"/>
      </rPr>
      <t>Client:</t>
    </r>
    <r>
      <rPr>
        <rFont val="Arial"/>
        <b/>
        <color rgb="FFFFFFFF"/>
        <sz val="20.0"/>
      </rPr>
      <t xml:space="preserve"> Literacy Partners </t>
    </r>
  </si>
  <si>
    <t xml:space="preserve"> Create Workshops object associated to each workshop. Create Deal associated to enrolled contact based on zoom webinars data. Workflows to copy registered and attended as a status on the Webinar. Workshop will have a goal as well as an actual rollup property from Deal object. Workshop house associated number of books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</si>
</sst>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rgb="FFFFFFFF"/>
      <name val="Arial"/>
      <scheme val="minor"/>
    </font>
    <font>
      <b/>
      <sz val="19.0"/>
      <color rgb="FFFFFFFF"/>
      <name val="Arial"/>
      <scheme val="minor"/>
    </font>
    <font>
      <b/>
      <sz val="12.0"/>
      <color rgb="FFFFFFFF"/>
      <name val="Rubik"/>
    </font>
    <font>
      <b/>
      <sz val="10.0"/>
      <color theme="1"/>
      <name val="Arial"/>
      <scheme val="minor"/>
    </font>
    <font>
      <b/>
      <sz val="18.0"/>
      <color rgb="FFFFFFFF"/>
      <name val="Rubik"/>
    </font>
    <font>
      <b/>
      <sz val="21.0"/>
      <color rgb="FFFFFFFF"/>
      <name val="Arial"/>
      <scheme val="minor"/>
    </font>
    <font>
      <sz val="10.0"/>
      <color rgb="FF374151"/>
      <name val="Arial"/>
    </font>
    <font>
      <color theme="1"/>
      <name val="Arial"/>
      <scheme val="minor"/>
    </font>
    <font>
      <b/>
      <sz val="16.0"/>
      <color rgb="FFFFFFFF"/>
      <name val="Rubik"/>
    </font>
    <font>
      <color theme="1"/>
      <name val="Arial"/>
    </font>
    <font>
      <color rgb="FF000000"/>
      <name val="Arial"/>
    </font>
  </fonts>
  <fills count="6">
    <fill>
      <patternFill patternType="none"/>
    </fill>
    <fill>
      <patternFill patternType="lightGray"/>
    </fill>
    <fill>
      <patternFill patternType="solid">
        <fgColor rgb="FF000000"/>
        <bgColor rgb="FF000000"/>
      </patternFill>
    </fill>
    <fill>
      <patternFill patternType="solid">
        <fgColor rgb="FFF1C232"/>
        <bgColor rgb="FFF1C232"/>
      </patternFill>
    </fill>
    <fill>
      <patternFill patternType="solid">
        <fgColor rgb="FFFFFFFF"/>
        <bgColor rgb="FFFFFFFF"/>
      </patternFill>
    </fill>
    <fill>
      <patternFill patternType="solid">
        <fgColor rgb="FFF3F3F3"/>
        <bgColor rgb="FFF3F3F3"/>
      </patternFill>
    </fill>
  </fills>
  <borders count="2">
    <border/>
    <border>
      <top style="thin">
        <color rgb="FFFBBC04"/>
      </top>
      <bottom style="thin">
        <color rgb="FFFBBC04"/>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readingOrder="0" shrinkToFit="0" vertical="center" wrapText="1"/>
    </xf>
    <xf borderId="0" fillId="2" fontId="3" numFmtId="0" xfId="0" applyAlignment="1" applyFont="1">
      <alignment readingOrder="0" shrinkToFit="0" vertical="center" wrapText="0"/>
    </xf>
    <xf borderId="0" fillId="3" fontId="4" numFmtId="0" xfId="0" applyAlignment="1" applyFill="1" applyFont="1">
      <alignment readingOrder="0" shrinkToFit="0" vertical="center" wrapText="0"/>
    </xf>
    <xf borderId="0" fillId="3" fontId="4" numFmtId="0" xfId="0" applyAlignment="1" applyFont="1">
      <alignment readingOrder="0" shrinkToFit="0" vertical="center" wrapText="1"/>
    </xf>
    <xf borderId="0" fillId="3" fontId="4" numFmtId="0" xfId="0" applyAlignment="1" applyFont="1">
      <alignment readingOrder="0" vertical="center"/>
    </xf>
    <xf borderId="0" fillId="2" fontId="5" numFmtId="0" xfId="0" applyAlignment="1" applyFont="1">
      <alignment readingOrder="0" shrinkToFit="0" vertical="center" wrapText="1"/>
    </xf>
    <xf borderId="0" fillId="2" fontId="6" numFmtId="0" xfId="0" applyAlignment="1" applyFont="1">
      <alignment shrinkToFit="0" vertical="center" wrapText="1"/>
    </xf>
    <xf borderId="0" fillId="2"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2" fontId="9" numFmtId="0" xfId="0" applyAlignment="1" applyFont="1">
      <alignment horizontal="left" readingOrder="0" shrinkToFit="0" vertical="center" wrapText="1"/>
    </xf>
    <xf borderId="1" fillId="0" fontId="10" numFmtId="0" xfId="0" applyAlignment="1" applyBorder="1" applyFont="1">
      <alignment readingOrder="0" shrinkToFit="0" vertical="center" wrapText="1"/>
    </xf>
    <xf borderId="1" fillId="0" fontId="10" numFmtId="0" xfId="0" applyAlignment="1" applyBorder="1" applyFont="1">
      <alignment readingOrder="0" vertical="center"/>
    </xf>
    <xf borderId="1" fillId="0" fontId="10" numFmtId="0" xfId="0" applyAlignment="1" applyBorder="1" applyFont="1">
      <alignment vertical="center"/>
    </xf>
    <xf borderId="1" fillId="4" fontId="10" numFmtId="0" xfId="0" applyAlignment="1" applyBorder="1" applyFill="1" applyFont="1">
      <alignment readingOrder="0" vertical="center"/>
    </xf>
    <xf borderId="0" fillId="5" fontId="11" numFmtId="0" xfId="0" applyAlignment="1" applyFill="1" applyFont="1">
      <alignment horizontal="left" readingOrder="0" shrinkToFit="0" wrapText="1"/>
    </xf>
    <xf borderId="0" fillId="0" fontId="10" numFmtId="0" xfId="0" applyAlignment="1" applyFont="1">
      <alignment readingOrder="0" vertical="center"/>
    </xf>
    <xf borderId="0" fillId="0" fontId="11" numFmtId="0" xfId="0" applyAlignment="1" applyFont="1">
      <alignment readingOrder="0" shrinkToFit="0" vertical="center" wrapText="1"/>
    </xf>
    <xf borderId="0" fillId="0" fontId="10" numFmtId="0" xfId="0" applyAlignment="1" applyFont="1">
      <alignment readingOrder="0" shrinkToFit="0" vertical="center" wrapText="1"/>
    </xf>
    <xf borderId="0" fillId="0" fontId="10" numFmtId="0" xfId="0" applyAlignment="1" applyFont="1">
      <alignment readingOrder="0" vertical="center"/>
    </xf>
    <xf borderId="0" fillId="0" fontId="10" numFmtId="0" xfId="0" applyAlignment="1" applyFont="1">
      <alignment readingOrder="0" vertical="center"/>
    </xf>
    <xf borderId="0" fillId="0" fontId="10" numFmtId="0" xfId="0" applyAlignment="1" applyFont="1">
      <alignment vertical="center"/>
    </xf>
    <xf borderId="0" fillId="0" fontId="8"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2">
    <tableStyle count="2" pivot="0" name="Customer Stories-style">
      <tableStyleElement dxfId="1" type="firstRowStripe"/>
      <tableStyleElement dxfId="2" type="secondRowStripe"/>
    </tableStyle>
    <tableStyle count="2" pivot="0" name="Customer Stories without Book 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47625</xdr:rowOff>
    </xdr:from>
    <xdr:ext cx="3019425"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47625</xdr:rowOff>
    </xdr:from>
    <xdr:ext cx="3019425"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7:F16" displayName="Table_1" name="Table_1" id="1">
  <tableColumns count="6">
    <tableColumn name="Column1" id="1"/>
    <tableColumn name="Column2" id="2"/>
    <tableColumn name="Column3" id="3"/>
    <tableColumn name="Column4" id="4"/>
    <tableColumn name="Column5" id="5"/>
    <tableColumn name="Column6" id="6"/>
  </tableColumns>
  <tableStyleInfo name="Customer Stories-style" showColumnStripes="0" showFirstColumn="1" showLastColumn="1" showRowStripes="1"/>
</table>
</file>

<file path=xl/tables/table2.xml><?xml version="1.0" encoding="utf-8"?>
<table xmlns="http://schemas.openxmlformats.org/spreadsheetml/2006/main" headerRowCount="0" ref="A7:F15" displayName="Table_2" name="Table_2" id="2">
  <tableColumns count="6">
    <tableColumn name="Column1" id="1"/>
    <tableColumn name="Column2" id="2"/>
    <tableColumn name="Column3" id="3"/>
    <tableColumn name="Column4" id="4"/>
    <tableColumn name="Column5" id="5"/>
    <tableColumn name="Column6" id="6"/>
  </tableColumns>
  <tableStyleInfo name="Customer Stories without Book 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25"/>
    <col customWidth="1" min="2" max="2" width="48.88"/>
    <col customWidth="1" min="3" max="3" width="49.25"/>
    <col customWidth="1" min="4" max="4" width="29.25"/>
    <col customWidth="1" min="5" max="6" width="25.63"/>
  </cols>
  <sheetData>
    <row r="1" ht="50.25" customHeight="1">
      <c r="A1" s="1" t="s">
        <v>0</v>
      </c>
      <c r="B1" s="2" t="s">
        <v>1</v>
      </c>
      <c r="C1" s="1"/>
      <c r="D1" s="1"/>
      <c r="E1" s="1"/>
      <c r="F1" s="1"/>
    </row>
    <row r="2" ht="9.75" customHeight="1">
      <c r="A2" s="3"/>
      <c r="B2" s="1"/>
      <c r="C2" s="1"/>
      <c r="D2" s="1"/>
      <c r="E2" s="1"/>
      <c r="F2" s="1"/>
    </row>
    <row r="3" ht="9.0" customHeight="1">
      <c r="A3" s="4"/>
      <c r="B3" s="5"/>
      <c r="C3" s="6"/>
      <c r="D3" s="6"/>
      <c r="E3" s="6"/>
      <c r="F3" s="6"/>
    </row>
    <row r="4" ht="39.0" customHeight="1">
      <c r="A4" s="7" t="s">
        <v>2</v>
      </c>
      <c r="B4" s="8"/>
      <c r="C4" s="8"/>
      <c r="D4" s="9" t="s">
        <v>3</v>
      </c>
      <c r="E4" s="9" t="s">
        <v>4</v>
      </c>
      <c r="F4" s="9" t="s">
        <v>5</v>
      </c>
    </row>
    <row r="5" ht="64.5" customHeight="1">
      <c r="A5" s="10" t="s">
        <v>6</v>
      </c>
      <c r="C5" s="11"/>
      <c r="D5" s="12">
        <f>SUM(D7:D15)</f>
        <v>152</v>
      </c>
      <c r="E5" s="12">
        <f>ROUNDUP(D5*0.2,0)</f>
        <v>31</v>
      </c>
      <c r="F5" s="12">
        <f>SUM(D5:E5)</f>
        <v>183</v>
      </c>
    </row>
    <row r="6" ht="30.0" customHeight="1">
      <c r="A6" s="13" t="s">
        <v>7</v>
      </c>
      <c r="B6" s="13" t="s">
        <v>8</v>
      </c>
      <c r="C6" s="13" t="s">
        <v>9</v>
      </c>
      <c r="D6" s="13" t="s">
        <v>10</v>
      </c>
      <c r="E6" s="13"/>
      <c r="F6" s="13"/>
    </row>
    <row r="7">
      <c r="A7" s="14" t="s">
        <v>11</v>
      </c>
      <c r="B7" s="14" t="s">
        <v>12</v>
      </c>
      <c r="C7" s="14" t="s">
        <v>13</v>
      </c>
      <c r="D7" s="15">
        <v>25.0</v>
      </c>
      <c r="E7" s="16"/>
      <c r="F7" s="16"/>
    </row>
    <row r="8">
      <c r="A8" s="14" t="s">
        <v>14</v>
      </c>
      <c r="B8" s="14" t="s">
        <v>15</v>
      </c>
      <c r="C8" s="14" t="s">
        <v>16</v>
      </c>
      <c r="D8" s="15">
        <v>30.0</v>
      </c>
      <c r="E8" s="16"/>
      <c r="F8" s="16"/>
    </row>
    <row r="9" ht="52.5" customHeight="1">
      <c r="A9" s="14" t="s">
        <v>17</v>
      </c>
      <c r="B9" s="14" t="s">
        <v>18</v>
      </c>
      <c r="C9" s="14" t="s">
        <v>19</v>
      </c>
      <c r="D9" s="15">
        <v>22.0</v>
      </c>
      <c r="E9" s="17"/>
      <c r="F9" s="16"/>
    </row>
    <row r="10" ht="39.0" customHeight="1">
      <c r="A10" s="14" t="s">
        <v>20</v>
      </c>
      <c r="B10" s="14" t="s">
        <v>21</v>
      </c>
      <c r="C10" s="14" t="s">
        <v>22</v>
      </c>
      <c r="D10" s="15">
        <v>15.0</v>
      </c>
      <c r="E10" s="16"/>
      <c r="F10" s="16"/>
    </row>
    <row r="11" ht="53.25" customHeight="1">
      <c r="A11" s="14" t="s">
        <v>23</v>
      </c>
      <c r="B11" s="14" t="s">
        <v>24</v>
      </c>
      <c r="C11" s="14" t="s">
        <v>25</v>
      </c>
      <c r="D11" s="15">
        <v>10.0</v>
      </c>
      <c r="E11" s="16"/>
      <c r="F11" s="16"/>
    </row>
    <row r="12" ht="39.0" customHeight="1">
      <c r="A12" s="14" t="s">
        <v>26</v>
      </c>
      <c r="B12" s="14" t="s">
        <v>27</v>
      </c>
      <c r="C12" s="14" t="s">
        <v>28</v>
      </c>
      <c r="D12" s="15">
        <v>15.0</v>
      </c>
      <c r="E12" s="16"/>
      <c r="F12" s="16"/>
    </row>
    <row r="13" ht="53.25" customHeight="1">
      <c r="A13" s="18" t="s">
        <v>29</v>
      </c>
      <c r="B13" s="14" t="s">
        <v>30</v>
      </c>
      <c r="C13" s="14" t="s">
        <v>31</v>
      </c>
      <c r="D13" s="15">
        <v>12.0</v>
      </c>
      <c r="E13" s="16"/>
      <c r="F13" s="16"/>
    </row>
    <row r="14">
      <c r="A14" s="14" t="s">
        <v>32</v>
      </c>
      <c r="B14" s="14" t="s">
        <v>33</v>
      </c>
      <c r="C14" s="14" t="s">
        <v>34</v>
      </c>
      <c r="D14" s="15">
        <v>15.0</v>
      </c>
      <c r="E14" s="19"/>
      <c r="F14" s="15"/>
    </row>
    <row r="15">
      <c r="A15" s="20" t="s">
        <v>35</v>
      </c>
      <c r="B15" s="14" t="s">
        <v>36</v>
      </c>
      <c r="C15" s="14" t="s">
        <v>37</v>
      </c>
      <c r="D15" s="15">
        <v>8.0</v>
      </c>
      <c r="E15" s="16"/>
      <c r="F15" s="16"/>
    </row>
    <row r="16">
      <c r="A16" s="20" t="s">
        <v>38</v>
      </c>
      <c r="B16" s="21" t="s">
        <v>39</v>
      </c>
      <c r="C16" s="21" t="s">
        <v>40</v>
      </c>
      <c r="D16" s="22">
        <v>12.0</v>
      </c>
      <c r="E16" s="23"/>
      <c r="F16" s="24"/>
    </row>
    <row r="17">
      <c r="A17" s="25"/>
    </row>
    <row r="18">
      <c r="A18" s="25"/>
    </row>
    <row r="19">
      <c r="A19" s="25"/>
    </row>
    <row r="20">
      <c r="A20" s="25"/>
    </row>
    <row r="21">
      <c r="A21" s="25"/>
    </row>
    <row r="22">
      <c r="A22" s="25"/>
    </row>
    <row r="23">
      <c r="A23" s="25"/>
    </row>
    <row r="24">
      <c r="A24" s="25"/>
    </row>
    <row r="25">
      <c r="A25" s="25"/>
    </row>
    <row r="26">
      <c r="A26" s="25"/>
    </row>
    <row r="27">
      <c r="A27" s="25"/>
    </row>
    <row r="28">
      <c r="A28" s="25"/>
    </row>
    <row r="29">
      <c r="A29" s="25"/>
    </row>
    <row r="30">
      <c r="A30" s="25"/>
    </row>
    <row r="31">
      <c r="A31" s="25"/>
    </row>
    <row r="32">
      <c r="A32" s="25"/>
    </row>
    <row r="33">
      <c r="A33" s="25"/>
    </row>
    <row r="34">
      <c r="A34" s="25"/>
    </row>
    <row r="35">
      <c r="A35" s="25"/>
    </row>
    <row r="36">
      <c r="A36" s="25"/>
    </row>
    <row r="37">
      <c r="A37" s="25"/>
    </row>
    <row r="38">
      <c r="A38" s="25"/>
    </row>
    <row r="39">
      <c r="A39" s="25"/>
    </row>
    <row r="40">
      <c r="A40" s="25"/>
    </row>
    <row r="41">
      <c r="A41" s="25"/>
    </row>
    <row r="42">
      <c r="A42" s="25"/>
    </row>
    <row r="43">
      <c r="A43" s="25"/>
    </row>
    <row r="44">
      <c r="A44" s="25"/>
    </row>
    <row r="45">
      <c r="A45" s="25"/>
    </row>
    <row r="46">
      <c r="A46" s="25"/>
    </row>
    <row r="47">
      <c r="A47" s="25"/>
    </row>
    <row r="48">
      <c r="A48" s="25"/>
    </row>
    <row r="49">
      <c r="A49" s="25"/>
    </row>
  </sheetData>
  <mergeCells count="1">
    <mergeCell ref="A5:B5"/>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6.25"/>
    <col customWidth="1" min="2" max="2" width="48.88"/>
    <col customWidth="1" min="3" max="3" width="49.25"/>
    <col customWidth="1" min="4" max="4" width="29.25"/>
    <col customWidth="1" min="5" max="6" width="25.63"/>
  </cols>
  <sheetData>
    <row r="1" ht="50.25" customHeight="1">
      <c r="A1" s="1"/>
      <c r="B1" s="2" t="s">
        <v>41</v>
      </c>
      <c r="C1" s="1"/>
      <c r="D1" s="1"/>
      <c r="E1" s="1"/>
      <c r="F1" s="1"/>
    </row>
    <row r="2" ht="9.75" customHeight="1">
      <c r="A2" s="3"/>
      <c r="B2" s="1"/>
      <c r="C2" s="1"/>
      <c r="D2" s="1"/>
      <c r="E2" s="1"/>
      <c r="F2" s="1"/>
    </row>
    <row r="3" ht="9.0" customHeight="1">
      <c r="A3" s="4"/>
      <c r="B3" s="5"/>
      <c r="C3" s="6"/>
      <c r="D3" s="6"/>
      <c r="E3" s="6"/>
      <c r="F3" s="6"/>
    </row>
    <row r="4" ht="39.0" customHeight="1">
      <c r="A4" s="7" t="s">
        <v>2</v>
      </c>
      <c r="B4" s="8"/>
      <c r="C4" s="8"/>
      <c r="D4" s="9" t="s">
        <v>3</v>
      </c>
      <c r="E4" s="9" t="s">
        <v>4</v>
      </c>
      <c r="F4" s="9" t="s">
        <v>5</v>
      </c>
    </row>
    <row r="5" ht="64.5" customHeight="1">
      <c r="A5" s="10" t="s">
        <v>6</v>
      </c>
      <c r="C5" s="11"/>
      <c r="D5" s="12">
        <f>SUM(D7:D14)</f>
        <v>132</v>
      </c>
      <c r="E5" s="12">
        <f>ROUNDUP(D5*0.2,0)</f>
        <v>27</v>
      </c>
      <c r="F5" s="12">
        <f>SUM(D5:E5)</f>
        <v>159</v>
      </c>
    </row>
    <row r="6" ht="30.0" customHeight="1">
      <c r="A6" s="13" t="s">
        <v>7</v>
      </c>
      <c r="B6" s="13" t="s">
        <v>8</v>
      </c>
      <c r="C6" s="13" t="s">
        <v>9</v>
      </c>
      <c r="D6" s="13" t="s">
        <v>10</v>
      </c>
      <c r="E6" s="13"/>
      <c r="F6" s="13"/>
    </row>
    <row r="7">
      <c r="A7" s="14" t="s">
        <v>11</v>
      </c>
      <c r="B7" s="14" t="s">
        <v>42</v>
      </c>
      <c r="C7" s="14" t="s">
        <v>13</v>
      </c>
      <c r="D7" s="15">
        <v>25.0</v>
      </c>
      <c r="E7" s="16"/>
      <c r="F7" s="16"/>
    </row>
    <row r="8">
      <c r="A8" s="14" t="s">
        <v>14</v>
      </c>
      <c r="B8" s="14" t="s">
        <v>15</v>
      </c>
      <c r="C8" s="14" t="s">
        <v>16</v>
      </c>
      <c r="D8" s="15">
        <v>25.0</v>
      </c>
      <c r="E8" s="16"/>
      <c r="F8" s="16"/>
    </row>
    <row r="9" ht="39.0" customHeight="1">
      <c r="A9" s="14" t="s">
        <v>17</v>
      </c>
      <c r="B9" s="14" t="s">
        <v>18</v>
      </c>
      <c r="C9" s="14" t="s">
        <v>19</v>
      </c>
      <c r="D9" s="15">
        <v>15.0</v>
      </c>
      <c r="E9" s="17"/>
      <c r="F9" s="16"/>
    </row>
    <row r="10" ht="39.0" customHeight="1">
      <c r="A10" s="14" t="s">
        <v>20</v>
      </c>
      <c r="B10" s="14" t="s">
        <v>21</v>
      </c>
      <c r="C10" s="14" t="s">
        <v>22</v>
      </c>
      <c r="D10" s="15">
        <v>15.0</v>
      </c>
      <c r="E10" s="16"/>
      <c r="F10" s="16"/>
    </row>
    <row r="11" ht="39.0" customHeight="1">
      <c r="A11" s="14" t="s">
        <v>23</v>
      </c>
      <c r="B11" s="14" t="s">
        <v>24</v>
      </c>
      <c r="C11" s="14" t="s">
        <v>25</v>
      </c>
      <c r="D11" s="15">
        <v>10.0</v>
      </c>
      <c r="E11" s="16"/>
      <c r="F11" s="16"/>
    </row>
    <row r="12" ht="39.0" customHeight="1">
      <c r="A12" s="14" t="s">
        <v>26</v>
      </c>
      <c r="B12" s="14" t="s">
        <v>27</v>
      </c>
      <c r="C12" s="14" t="s">
        <v>28</v>
      </c>
      <c r="D12" s="15">
        <v>15.0</v>
      </c>
      <c r="E12" s="16"/>
      <c r="F12" s="16"/>
    </row>
    <row r="13" ht="39.0" customHeight="1">
      <c r="A13" s="18" t="s">
        <v>29</v>
      </c>
      <c r="B13" s="14" t="s">
        <v>30</v>
      </c>
      <c r="C13" s="14" t="s">
        <v>31</v>
      </c>
      <c r="D13" s="15">
        <v>12.0</v>
      </c>
      <c r="E13" s="16"/>
      <c r="F13" s="16"/>
    </row>
    <row r="14">
      <c r="A14" s="14" t="s">
        <v>32</v>
      </c>
      <c r="B14" s="14" t="s">
        <v>33</v>
      </c>
      <c r="C14" s="14" t="s">
        <v>34</v>
      </c>
      <c r="D14" s="15">
        <v>15.0</v>
      </c>
      <c r="E14" s="19"/>
      <c r="F14" s="15"/>
    </row>
    <row r="15">
      <c r="A15" s="20" t="s">
        <v>38</v>
      </c>
      <c r="B15" s="21" t="s">
        <v>39</v>
      </c>
      <c r="C15" s="21" t="s">
        <v>40</v>
      </c>
      <c r="D15" s="22">
        <v>12.0</v>
      </c>
      <c r="E15" s="23"/>
      <c r="F15" s="24"/>
    </row>
    <row r="16">
      <c r="A16" s="25"/>
    </row>
    <row r="17">
      <c r="A17" s="25"/>
    </row>
    <row r="18">
      <c r="A18" s="25"/>
    </row>
    <row r="19">
      <c r="A19" s="25"/>
    </row>
    <row r="20">
      <c r="A20" s="25"/>
    </row>
    <row r="21">
      <c r="A21" s="25"/>
    </row>
    <row r="22">
      <c r="A22" s="25"/>
    </row>
    <row r="23">
      <c r="A23" s="25"/>
    </row>
    <row r="24">
      <c r="A24" s="25"/>
    </row>
    <row r="25">
      <c r="A25" s="25"/>
    </row>
    <row r="26">
      <c r="A26" s="25"/>
    </row>
    <row r="27">
      <c r="A27" s="25"/>
    </row>
    <row r="28">
      <c r="A28" s="25"/>
    </row>
    <row r="29">
      <c r="A29" s="25"/>
    </row>
    <row r="30">
      <c r="A30" s="25"/>
    </row>
    <row r="31">
      <c r="A31" s="25"/>
    </row>
    <row r="32">
      <c r="A32" s="25"/>
    </row>
    <row r="33">
      <c r="A33" s="25"/>
    </row>
    <row r="34">
      <c r="A34" s="25"/>
    </row>
    <row r="35">
      <c r="A35" s="25"/>
    </row>
    <row r="36">
      <c r="A36" s="25"/>
    </row>
    <row r="37">
      <c r="A37" s="25"/>
    </row>
    <row r="38">
      <c r="A38" s="25"/>
    </row>
    <row r="39">
      <c r="A39" s="25"/>
    </row>
    <row r="40">
      <c r="A40" s="25"/>
    </row>
    <row r="41">
      <c r="A41" s="25"/>
    </row>
    <row r="42">
      <c r="A42" s="25"/>
    </row>
    <row r="43">
      <c r="A43" s="25"/>
    </row>
    <row r="44">
      <c r="A44" s="25"/>
    </row>
    <row r="45">
      <c r="A45" s="25"/>
    </row>
    <row r="46">
      <c r="A46" s="25"/>
    </row>
    <row r="47">
      <c r="A47" s="25"/>
    </row>
    <row r="48">
      <c r="A48" s="25"/>
    </row>
  </sheetData>
  <mergeCells count="1">
    <mergeCell ref="A5:B5"/>
  </mergeCells>
  <drawing r:id="rId1"/>
  <tableParts count="1">
    <tablePart r:id="rId3"/>
  </tableParts>
</worksheet>
</file>