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riginal Scope Estimate" sheetId="1" r:id="rId4"/>
    <sheet state="hidden" name="Open Work" sheetId="2" r:id="rId5"/>
    <sheet state="visible" name="Open Work as of 125" sheetId="3" r:id="rId6"/>
    <sheet state="hidden" name="Additional Open Items" sheetId="4" r:id="rId7"/>
    <sheet state="visible" name="OOS Work" sheetId="5" r:id="rId8"/>
    <sheet state="hidden" name="A8 Master" sheetId="6" r:id="rId9"/>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8">
      <text>
        <t xml:space="preserve">@travis@aptitude8.com Can you confirm the project documentation is also updated to reflect the change in the "Amount" property label?
	-Brian Serocke</t>
      </text>
    </comment>
    <comment authorId="0" ref="D12">
      <text>
        <t xml:space="preserve">Once Emble adds the Total Product Quantities, A8 will use the same logic as the others to backfill Remaining Quantities.
	-Travis McGinnis</t>
      </text>
    </comment>
  </commentList>
</comments>
</file>

<file path=xl/sharedStrings.xml><?xml version="1.0" encoding="utf-8"?>
<sst xmlns="http://schemas.openxmlformats.org/spreadsheetml/2006/main" count="392" uniqueCount="216">
  <si>
    <t>Emble Events</t>
  </si>
  <si>
    <t xml:space="preserve">Master Customer Story </t>
  </si>
  <si>
    <t>Total Hours Estimate</t>
  </si>
  <si>
    <t>Project Estimate</t>
  </si>
  <si>
    <t>Total Investment</t>
  </si>
  <si>
    <t xml:space="preserve">Emble Events, an event company with multiple event brands, is seeking a comprehensive CRM and marketing platform to support their growth, streamline sales and marketing processes, and optimize event management. They aim to drive cross-selling and upselling across events, while improving internal efficiency and automating workflows. 
Their current tech stack is fragmented, with tools like QuickBase and Constant Contact disconnected. They are eager to implement HubSpot by the end of the year to prepare for event follow-ups after their busy season and recognize the need for a partner with event expertise to assist with data migration, integration, and change management. </t>
  </si>
  <si>
    <t>October 2025 Analysis</t>
  </si>
  <si>
    <t>Epic</t>
  </si>
  <si>
    <t xml:space="preserve">Customer Story </t>
  </si>
  <si>
    <t>Suggested Path</t>
  </si>
  <si>
    <t>Assumptions</t>
  </si>
  <si>
    <t>Est. Hours</t>
  </si>
  <si>
    <t>Phase</t>
  </si>
  <si>
    <t>POC</t>
  </si>
  <si>
    <t>% Complete</t>
  </si>
  <si>
    <t>Status and Analysis</t>
  </si>
  <si>
    <t>HubSpot Data Architecture</t>
  </si>
  <si>
    <t xml:space="preserve">Emble Events needs to design and implement a HubSpot CRM Architecture that reflects their business by accounting for different teams, permissions, objects, and hierarchies. </t>
  </si>
  <si>
    <t>Aptitude 8 to run discovery to produce a field mapping document, finalize objects, relationships, and properties for migration purposes and for future growth.</t>
  </si>
  <si>
    <t>Aptitude 8 to build a data model representing key objects, associations, and properties to prep for data migration and that also accounts for: 
- What data lives where throughout the attendee and sponsorship sales process through branding list management
- Which data is used in which parts of the program</t>
  </si>
  <si>
    <t>NOW</t>
  </si>
  <si>
    <t>Emble - Data Model.png</t>
  </si>
  <si>
    <r>
      <rPr/>
      <t xml:space="preserve">The resulting custom objects implemented in HubSpot and required by Emble include:
- Events
- Event Brandings
- Event Sponsorship Packages
- Event Registrations
This deviated from the original estimated data model linked to in column G, which only has Event and Sponsorship Opportunity objects. This was necessary due to Emble's requirements on how they wanted QB data reflected in HubSpot.
The </t>
    </r>
    <r>
      <rPr>
        <color rgb="FF1155CC"/>
        <u/>
      </rPr>
      <t>ClickUp Customer Story</t>
    </r>
    <r>
      <rPr/>
      <t xml:space="preserve"> has time logged to each subtask, all of which are marked as complete.
Each task has time logged beyond the scoped estimate.</t>
    </r>
  </si>
  <si>
    <t>Implement Data Model</t>
  </si>
  <si>
    <t>Emble Events seeks a more robust data model that supports various departments and teams in order to standardize activity tracking and monitoring as well as produce more reliable reporting.</t>
  </si>
  <si>
    <t>Use the data model produced in the HubSpot data architecture phase as truth for what new objects, fields, and association labels need to exist.</t>
  </si>
  <si>
    <t>- This is an execution task defined by row 7, HubSpot Data Architecture</t>
  </si>
  <si>
    <r>
      <rPr/>
      <t xml:space="preserve">A8 built two additional objects than outlined in the Data Model POC Screenshot and listed above.
The </t>
    </r>
    <r>
      <rPr>
        <color rgb="FF1155CC"/>
        <u/>
      </rPr>
      <t>ClickUp Customer Story task detail</t>
    </r>
    <r>
      <rPr/>
      <t xml:space="preserve"> differ from from what's outlined here in the scope.
Each task has time logged beyond the scope estimate.</t>
    </r>
  </si>
  <si>
    <t>Implement Users &amp; Permissions</t>
  </si>
  <si>
    <t>Emble Events needs permissions setup to align with their business needs so that the correct teams have visibility where they don't today and continue to segment visibility where teams shouldn't have it.</t>
  </si>
  <si>
    <t>Use the permissions exercise complete in the HubSpot Data Architecture phase as source of truth for what permissions to implement and how/when to bring in user groups.</t>
  </si>
  <si>
    <t>- This is an execution task defined by HubSpot Data Architecture deliverables</t>
  </si>
  <si>
    <t>Sample Teams, Users, Permissions Workbook.png</t>
  </si>
  <si>
    <r>
      <rPr/>
      <t xml:space="preserve">The </t>
    </r>
    <r>
      <rPr>
        <color rgb="FF1155CC"/>
        <u/>
      </rPr>
      <t>Clickup Customer Story task details</t>
    </r>
    <r>
      <rPr/>
      <t xml:space="preserve"> are more involved than what's scoped here.
Permissions Sets exist and are assigned to users. We have a backlog item to revisit this process during the retainer, though.</t>
    </r>
  </si>
  <si>
    <t>Customize Record Layouts</t>
  </si>
  <si>
    <t>Emble Events wants to show the right information to the right people at the right time on the right object so their users can have a simpler process to follow in their portal.</t>
  </si>
  <si>
    <t>Use the wire frames produced in the HubSpot Data Architecture as truth for what record customization needs to exist.</t>
  </si>
  <si>
    <t>- This is an execution task defined by HubSpot Data Architecture deliverables
- Contact, Company, Deal, and any custom object record customization 
- Up to 5 team/group views per object
- Includes left, middle, and right pane customizations
- No custom coded CRM cards</t>
  </si>
  <si>
    <r>
      <rPr/>
      <t xml:space="preserve">The </t>
    </r>
    <r>
      <rPr>
        <color rgb="FF1155CC"/>
        <u/>
      </rPr>
      <t>ClickUp Customer story</t>
    </r>
    <r>
      <rPr/>
      <t xml:space="preserve"> exceeded the time estimate by more than double, though record customization remains default on 2 of the 4 custom objects with no customization. 
The default views for Contacts, Companies, Deals and 2 of the 4 custom objects have been customized. There are no team-specific record customization views implemented, and it's unclear if that was a firm requirement from Emble.</t>
    </r>
  </si>
  <si>
    <t>Marketing Hub Implementation</t>
  </si>
  <si>
    <t>Emble Events is looking to utilize marketing hub so they can launch multi-channel campaigns across multiple business units, trigger workflows based on customer actions, and have more robust reporting on marketing KPIs.</t>
  </si>
  <si>
    <t>Aptitude 8 to recommend how the Marketing team can get the most out of HubSpot so they can vastly expand their capabilities.</t>
  </si>
  <si>
    <t>- Up to 10 advisory hours to recommend how the Marketing team should approach setting up Marketing Hub
- Examples of ways Aptitude 8 can support: set up the tracking code for web analytics, set up email marketing features, set account defaults, navigate reports &amp; dashboards, creating lists, creating campaigns, or to navigate HubSpot's automation features
- Aptitude 8 does not design email templates</t>
  </si>
  <si>
    <t>Marketing Setup Tasks 1.png</t>
  </si>
  <si>
    <r>
      <rPr/>
      <t xml:space="preserve">The </t>
    </r>
    <r>
      <rPr>
        <color rgb="FF1155CC"/>
        <u/>
      </rPr>
      <t>ClickUp Customer Story</t>
    </r>
    <r>
      <rPr/>
      <t xml:space="preserve"> has just under 10 hours logged of the scoped 10 advisory hours. Advisory hours indicate no concrete deliverable was included.
We have received several OOS requests from the marketing team to advise on segment creation and list imports.
All of the items in the linked "Marketing General Setup Tasks" screenshot appear to be done.</t>
    </r>
  </si>
  <si>
    <t>Sales Management and Custom Deal Pipelines</t>
  </si>
  <si>
    <t>Emble Events seeks to implement Sales Hub in HubSpot to automate lead management and streamline sales activities, improving visibility and efficiency in managing customer interaction.</t>
  </si>
  <si>
    <t>Aptitude 8 to build three pipelines to support Emble Events sales goals. The pipelines will be used to support new Attendees, new Sponsorships, and Account Management efforts.</t>
  </si>
  <si>
    <t>- Aptitude 8 to assist Emble Events with setting up lead scoring for each buyer persona
- Aptitude 8 to set up the deal pipeline so multi-year or multi-event deals can be tracked Multi-Year or Multi-Event Deal Tracking through a Contract custom object
- Aptitude 8 to set up 3 pipelines with up to 5 deal tags per pipeline
- Aptitude 8 to set up automation to support the deal process with up to 5 workflows</t>
  </si>
  <si>
    <t>Emble - Sales Pipelines.png</t>
  </si>
  <si>
    <r>
      <rPr/>
      <t xml:space="preserve">The </t>
    </r>
    <r>
      <rPr>
        <color rgb="FF1155CC"/>
        <u/>
      </rPr>
      <t>ClickUp Customer Story</t>
    </r>
    <r>
      <rPr/>
      <t xml:space="preserve"> subtasks are marked as complete, though there are discrepancies in the original scope estimate versus the project requirements. As a result:
- No lead scoring is configured for Contacts
- Multi-Year and Multi-Event Deals are in the backlog per details from Adam's documentation
- The Contract Object was descoped, and the installed DocuSign integration meets this requirement.
- 3 Deal pipelines were implemented for New Attendee, New Sponsorship, and Archive.
- No Deal tags exist or were determined to be required.
- A8 created 44 Deal-based workflows to support sales operations, exceeding the stated assumption of 5 workflows.</t>
    </r>
  </si>
  <si>
    <t>Sponsorship Opportunity and Inventory Management</t>
  </si>
  <si>
    <t>Emble Events needs a system that will keep track of branding opportunities that Sponsors can buy for each event held. They need this system to track inventory of item, have the ability to follow up with Sponsors for various requirements per item bought, and be able to supply accounting with who bought what to be billed outside of HubSpot.</t>
  </si>
  <si>
    <t>Aptitude 8 to build a basic inventory tracking mechanism inside of HubSpot using custom objects and custom coded actions. When an item has been bought by a sponsor, this will need to be reflected on the relevant custom object and be associated to the company, Event, and Contract. Aptitude 8 will need to add a custom code that adds the Sponsorship Opportunity as a line item to the correct deal.</t>
  </si>
  <si>
    <t>- Aptitude 8 will build the custom coded workflow actions that support the data model outlined in HubSpot Data Architecture for Sponsorship Opportunities and Inventory Management
- Aptitude 8 assumes Emble Events will supply us with the items needed for each event along with properties like price, specs, the event it belongs to, inventory count, etc. 
- Aptitude 8 assumes all billing mechanisms needed will be handled externally and only the amount to be billed can be sent to accounting teams or in a report. Any further tracking of invoicing and billing will result in a change order.</t>
  </si>
  <si>
    <r>
      <rPr/>
      <t xml:space="preserve">The </t>
    </r>
    <r>
      <rPr>
        <color rgb="FF1155CC"/>
        <u/>
      </rPr>
      <t>ClickUp Customer story</t>
    </r>
    <r>
      <rPr/>
      <t xml:space="preserve"> has completed tasks for Quoting &amp; Tracking Workflows, Build Product Catalog, Custom Quote Templates, Process Mapping and Documentation, and Inventory Tracking Workflows.</t>
    </r>
  </si>
  <si>
    <t>Data Migration</t>
  </si>
  <si>
    <t>Emble Events needs Aptitude 8's help importing historical data into HubSpot from Quickbase and Constant Contact.</t>
  </si>
  <si>
    <t>Aptitude 8 should strongly and clearly advise Emble Events on what to provide them so Aptitude 8 can quickly and accurately import historical sponsorship data as well as contacts and companies.</t>
  </si>
  <si>
    <t xml:space="preserve">- Emble Events will provide Aptitude 8 with CSV's per Aptitude 8's specifications
- Aptitude 8 will not manipulate any data
- Aptitude 8 will import up to 15,000 contact records with up to two (2) account association
- Aptitude 8 will import up 3,800 companies with up to one (1) contact association
-Aptitude 8 will import up to 2,100 deal records with up to one (1) contact association and up to one (company association)
- Aptitude 8 to import historical sponsorship data up to 6 past events years
</t>
  </si>
  <si>
    <r>
      <rPr>
        <rFont val="Arial"/>
      </rPr>
      <t xml:space="preserve">The </t>
    </r>
    <r>
      <rPr>
        <rFont val="Arial"/>
        <color rgb="FF1155CC"/>
        <u/>
      </rPr>
      <t>ClickUp Customer story</t>
    </r>
    <r>
      <rPr>
        <rFont val="Arial"/>
      </rPr>
      <t xml:space="preserve"> included three separate migrations to support various backfill and deployment efforts throughout the course of the project. 
Based on the stated assumptions in the original scope, A8 over delivered on this customer story. 
- Emble appears to have provided direct exports from QB, which is NOT what the first bullet point assumed.
- A8 was asked to and required to manipulate data for import
- A8 was asked to and required to create more than 2 associations per import
- A8 was asked to create more than one contact and one company association per Deal. The deal imports also included ESP and Event record associations. 
- ESPs go back to 2019 (six years as outlined in the scope).</t>
    </r>
  </si>
  <si>
    <t>Blogs and Landing Pages</t>
  </si>
  <si>
    <t>Emble Events needs to set up blogs and landing pages to support the various events they run throughout the year and to be able to differentiate between them.</t>
  </si>
  <si>
    <t>Aptitude 8 to assist in setting up business units to differentiate between branding for events held by Emble Events.</t>
  </si>
  <si>
    <t>- Aptitude 8 assumes Emble Events will pick a templated theme on the CMS marketplace or use an existing theme and therefore Aptitude 8 will make modifications to the template to ensure it complies with Emble Events requirements. Aptitude 8 will consult Emble Events on implications of choosing different themes and if it impacts scope.</t>
  </si>
  <si>
    <t>Swoogo Integration for Event Registration</t>
  </si>
  <si>
    <t>Emble Events needs to integrate Swoogo to HubSpot to track attendee registration and attendance.</t>
  </si>
  <si>
    <r>
      <rPr/>
      <t xml:space="preserve">Aptitude 8 to connect the </t>
    </r>
    <r>
      <rPr>
        <color rgb="FF1155CC"/>
        <u/>
      </rPr>
      <t>HubSpot Marketplace app</t>
    </r>
    <r>
      <rPr/>
      <t xml:space="preserve"> and set up the integration for historical and future data.</t>
    </r>
  </si>
  <si>
    <t>- Aptitude 8 to use the integration to import historical event data 
- Aptitude 8 to set up the integration to sync new registrations, including tracking of attendees vs. sponsors.
- Aptitude 8 to build automation to track and cap attendee registrations based on sponsorship levels (e.g., a sponsor is limited to 4 attendees). The capping mechanism will be built within HubSpot and through workflows.</t>
  </si>
  <si>
    <t>Monday Integration</t>
  </si>
  <si>
    <r>
      <rPr/>
      <t xml:space="preserve">Emble Events would like HubSpot and </t>
    </r>
    <r>
      <rPr>
        <color rgb="FF1155CC"/>
        <u/>
      </rPr>
      <t>Monday.com</t>
    </r>
    <r>
      <rPr/>
      <t xml:space="preserve"> to be integrated to graphic designers and marketing teams know what Sponsorship Opportunities were bought and what the next steps are for each.</t>
    </r>
  </si>
  <si>
    <t>Aptitude 8 to assist in setting up the HubSpot Marketplace app and out of the box workflows.</t>
  </si>
  <si>
    <r>
      <rPr/>
      <t xml:space="preserve">- Aptitude 8 will set up </t>
    </r>
    <r>
      <rPr>
        <color rgb="FF1155CC"/>
        <u/>
      </rPr>
      <t>Monday.com</t>
    </r>
    <r>
      <rPr/>
      <t xml:space="preserve"> and HubSpot's integration per the out of the box app
- Aptitude 8 assumes Emble Events will supply access to </t>
    </r>
    <r>
      <rPr>
        <color rgb="FF1155CC"/>
        <u/>
      </rPr>
      <t>Monday.com</t>
    </r>
    <r>
      <rPr/>
      <t xml:space="preserve"> and access to the necessary boards</t>
    </r>
  </si>
  <si>
    <t>Docusign Integration</t>
  </si>
  <si>
    <t>Emble Events would like Docusign to integrate with HubSpot to send and keep track of contract management.</t>
  </si>
  <si>
    <t>- Aptitude 8 will set up Docusign and HubSpot's integration per the out of the box app
- Aptitude 8 assumes Emble Events will supply access to Docusign and what triggers are needed when/where for contract management</t>
  </si>
  <si>
    <t>Docusign Overview.png</t>
  </si>
  <si>
    <t>SurveyMonkey</t>
  </si>
  <si>
    <t>Emble Events would like to follow up with attendees and sponsors post events to garner feedback.</t>
  </si>
  <si>
    <t>- Aptitude 8 will assist in setting up the SurveyMonkey integration so that survey responses sync to HubSpot automatically
- Aptitude 8 will not build any automation for event follow up rather supply Emble Events with documentation on how this can be done in the future</t>
  </si>
  <si>
    <t>SurveyMonkey Response on Contact.png</t>
  </si>
  <si>
    <t>HubSpot Process Automation</t>
  </si>
  <si>
    <t>Emble Events requires automation within HubSpot to improve efficiency across multiple departments.</t>
  </si>
  <si>
    <t>Aptitude 8 to implement workflows in HubSpot for sales and marketing teams.</t>
  </si>
  <si>
    <t>- Necessary triggers and actions are available in HubSpot. 
- A8 will create up to 8 automations for deal pipelines. If a custom coded action is needed outside of any of the other workstreams, Aptitude 8 can support that under this workstream</t>
  </si>
  <si>
    <t>Hubspot Task Automation .gif</t>
  </si>
  <si>
    <t>A8 created 44 Deal-based workflows, including custom-coded actions, to support various version of the implementation, including all automation that is currently active to support sales.</t>
  </si>
  <si>
    <t>User Acceptance Testing (UAT)</t>
  </si>
  <si>
    <t>Emble Events  needs thorough quality assurance and user acceptance testing to ensure functionality, performance, and user experience meets expected standards.</t>
  </si>
  <si>
    <t>- Aptitude 8 to conduct internal testing prior to handing off to the client
- Aptitude 8 to provide Emble Events with a UAT document and instructions on how to perform tests</t>
  </si>
  <si>
    <r>
      <rPr/>
      <t xml:space="preserve">The </t>
    </r>
    <r>
      <rPr>
        <color rgb="FF1155CC"/>
        <u/>
      </rPr>
      <t>ClickUp Task</t>
    </r>
    <r>
      <rPr/>
      <t xml:space="preserve"> for this aligns with the </t>
    </r>
    <r>
      <rPr>
        <color rgb="FF1155CC"/>
        <u/>
      </rPr>
      <t>UAT Workbook,</t>
    </r>
    <r>
      <rPr/>
      <t xml:space="preserve"> where Chaya marked all assigned test cases as "Pass." The remaining 20% were part of the marketing advisory workstream. </t>
    </r>
  </si>
  <si>
    <t>User Training and Documentation</t>
  </si>
  <si>
    <t>Emble Events needs to train their users on how to use HubSpot generally, but also how to manage the custom builds and solution that is built as part of this project</t>
  </si>
  <si>
    <t>A8 will conduct up to 3 live training programs with end users, 2 train the trainer sessions, provide documentation and training guides, and provide post go live support for a period of 1 week</t>
  </si>
  <si>
    <t>- Emble Events to facilitate scheduling and distribution of training assets
- Aptitude 8 will conduct up to 2 live training programs, one for each team
- Aptitude 8 will conduct up to 1 train the trainer sessions for admins/ops/integration management,
- Aptitude 8 will provide documentation and training guides, and provide post go live support for a period of 1 week</t>
  </si>
  <si>
    <r>
      <rPr/>
      <t xml:space="preserve">The </t>
    </r>
    <r>
      <rPr>
        <color rgb="FF1155CC"/>
        <u/>
      </rPr>
      <t>ClickUp Customer story</t>
    </r>
    <r>
      <rPr/>
      <t xml:space="preserve"> has 9 subtasks for different training sessions.
A8 conducted several training sessions as various stages of the project and additional sessions as the process changed.</t>
    </r>
  </si>
  <si>
    <t>Reporting and Dashboards</t>
  </si>
  <si>
    <t>Emble Events aims for enhanced reporting capabilities in HubSpot to obtain accurate insights into customer journeys, sales performance, and upsell opportunities.</t>
  </si>
  <si>
    <t>Aptitude 8 will configure up to (10) custom reports and (3) dashboards for Emble Events sales teams</t>
  </si>
  <si>
    <r>
      <rPr/>
      <t xml:space="preserve">The </t>
    </r>
    <r>
      <rPr>
        <color rgb="FF1155CC"/>
        <u/>
      </rPr>
      <t xml:space="preserve">ClickUp Customer Story </t>
    </r>
    <r>
      <rPr/>
      <t xml:space="preserve"> exceeded the 8-hour estimate by over 4x.
A8 created 17 custom reports and 2 custom dashboards instead of the assumed 10 and 3, respectively.</t>
    </r>
  </si>
  <si>
    <t>Project Management</t>
  </si>
  <si>
    <t>Aptitude 8 includes dedicated Project Management for all projects and retainers in order to ensure the highest standards in quality and delivery</t>
  </si>
  <si>
    <t>Aptitude 8 will assign a dedicated delivery lead to this project, to manage the timeline, hours, and deliverables</t>
  </si>
  <si>
    <t>This includes weekly sprint meetings for the duration of the project term to keep teams aligned and progress moving forward
Includes project provisioning, communication management, and timeline adjustments as needed to keep the project on track</t>
  </si>
  <si>
    <t xml:space="preserve">Project management time included kickoff, project administration, weekly sprint meetings with the Emble team, sprint meetings agendas and recap emails, daily meetings with Chaya, client communications, and ad-hoc project meetings as necessary. 
The project required 5.5x more PM time than originally estimated at 26 hours. 
</t>
  </si>
  <si>
    <t xml:space="preserve">Contingency </t>
  </si>
  <si>
    <t>Hours Aptitude 8 requires in order to handle any items that arise, larger than anticipated scope, or dependencies without necessitating a change order</t>
  </si>
  <si>
    <t xml:space="preserve">All non-epic tasks will be recorded under this epic </t>
  </si>
  <si>
    <t xml:space="preserve">Contingency was applied towards scoped customer stories that exceeded the original estimate due to complexity and necessary requirements. </t>
  </si>
  <si>
    <t xml:space="preserve">Post Launch Support </t>
  </si>
  <si>
    <t>Hours Aptitude 8 dedicates to support your team as they launch and adopt HubSpot.</t>
  </si>
  <si>
    <t>NEXT</t>
  </si>
  <si>
    <t>Not started</t>
  </si>
  <si>
    <t>Open Work</t>
  </si>
  <si>
    <t xml:space="preserve">The below table summarizes tasks open to A8 or Emble, their current status and action items to move forward. </t>
  </si>
  <si>
    <t>Item</t>
  </si>
  <si>
    <t>Description</t>
  </si>
  <si>
    <t>Detailed Status as of 10/23</t>
  </si>
  <si>
    <t>Next Steps to Progress... 
updated 12/3</t>
  </si>
  <si>
    <t xml:space="preserve">Missing Event Brandings </t>
  </si>
  <si>
    <t>Emails sent from Shana on 10/16 and 10/20</t>
  </si>
  <si>
    <t>Event Brandings are missing for Ecap26 &amp; ECW25</t>
  </si>
  <si>
    <t>Pending A8</t>
  </si>
  <si>
    <t>Event Branding Accounting Discrepancies Update</t>
  </si>
  <si>
    <r>
      <rPr>
        <rFont val="Arial"/>
      </rPr>
      <t xml:space="preserve">A8 has renamed "Amount" to "Final Amount After Discount" and replaced the "Final Price After Discount" column in the </t>
    </r>
    <r>
      <rPr>
        <rFont val="Arial"/>
        <color rgb="FF1155CC"/>
        <u/>
      </rPr>
      <t>Accounting View</t>
    </r>
    <r>
      <rPr>
        <rFont val="Arial"/>
      </rPr>
      <t>, which now has these columns: 
-Sponsor Price
-Discount
-Final Amount After Discount</t>
    </r>
  </si>
  <si>
    <r>
      <rPr>
        <rFont val="Arial"/>
        <b/>
        <color theme="1"/>
      </rPr>
      <t>Emble Action:</t>
    </r>
    <r>
      <rPr>
        <rFont val="Arial"/>
        <color theme="1"/>
      </rPr>
      <t xml:space="preserve"> Review and confirm the numbers in the Accounting view are accurate and that this issue can be completed. </t>
    </r>
  </si>
  <si>
    <t>Pending Emble</t>
  </si>
  <si>
    <t>Duplicate Event Branding Records</t>
  </si>
  <si>
    <r>
      <rPr>
        <rFont val="Arial"/>
      </rPr>
      <t xml:space="preserve">The duplicate Event Branding sponsorships we identified have been merged. These were instances where the same company had two or more identical sponsorships for the same event.
You can see those duplicate records </t>
    </r>
    <r>
      <rPr>
        <rFont val="Arial"/>
        <color rgb="FF1155CC"/>
        <u/>
      </rPr>
      <t>here</t>
    </r>
    <r>
      <rPr>
        <rFont val="Arial"/>
      </rPr>
      <t xml:space="preserve">.  The record that we kept as the master record is bolded in the workbook. </t>
    </r>
  </si>
  <si>
    <r>
      <rPr>
        <rFont val="Arial"/>
        <b/>
        <color theme="1"/>
      </rPr>
      <t xml:space="preserve">Emble Action Item: </t>
    </r>
    <r>
      <rPr>
        <rFont val="Arial"/>
        <color theme="1"/>
      </rPr>
      <t xml:space="preserve">Confirm these updates are complete as expected. If there are any duplicate event branding records you're currently aware of, please let us know. </t>
    </r>
  </si>
  <si>
    <t>Completed</t>
  </si>
  <si>
    <t>Deal Amounts &amp; Imported Line Items</t>
  </si>
  <si>
    <t xml:space="preserve">We tracked down the file where the values for the line item import came from (attached). 
It was the Company_Event_Sponsors export from QuickBase.
Row 2302 has the Glankler Brown example. It shows an Amount of $25k and a Discount of $5k, but it also has an Event Sponsor Amount of $30k. The Amount field was mapped into HubSpot, not the Event Sponsor Amount field. 
There are 951 rows (of the 2,317) where the "Amount" column does not match the "Event Sponsor - Amount" column. This likely means those Deals are also incorrect and may need to be updated. </t>
  </si>
  <si>
    <r>
      <rPr>
        <rFont val="Arial"/>
        <b/>
        <color theme="1"/>
      </rPr>
      <t xml:space="preserve">Emble Action Item 1: </t>
    </r>
    <r>
      <rPr>
        <rFont val="Arial"/>
        <color theme="1"/>
      </rPr>
      <t xml:space="preserve">Review the rows that do not match and let us know if the "Event Sponsor - Amount" is the correct value. 
</t>
    </r>
    <r>
      <rPr>
        <rFont val="Arial"/>
        <b/>
        <color theme="1"/>
      </rPr>
      <t>Emble Action Item 2:</t>
    </r>
    <r>
      <rPr>
        <rFont val="Arial"/>
        <color theme="1"/>
      </rPr>
      <t xml:space="preserve"> Why would there be two conflicting amounts in QuickBase, and where would they have come from? </t>
    </r>
  </si>
  <si>
    <t>Incorrect Deal Associations</t>
  </si>
  <si>
    <r>
      <rPr>
        <rFont val="Arial"/>
      </rPr>
      <t xml:space="preserve">We found a couple of dozen more Deals where the Deal Name and Associated Company do not match the corresponding Lead ID from QuickBase.
These have been mostly resolved with a few exceptions, outlined in the Actions Take Column in this workbook: </t>
    </r>
    <r>
      <rPr>
        <rFont val="Arial"/>
        <color rgb="FF1155CC"/>
        <u/>
      </rPr>
      <t>Incorrect Deal Associations 10-6-2025</t>
    </r>
  </si>
  <si>
    <r>
      <rPr>
        <rFont val="Arial"/>
        <b/>
      </rPr>
      <t>Emble Action Item:</t>
    </r>
    <r>
      <rPr>
        <rFont val="Arial"/>
      </rPr>
      <t xml:space="preserve"> Please specifically review these records
Row 5 - Deal for United Medical that should be for BLVD Treatment Centers
Row 7 - Deal for Tapestry Health that should be for In Bloom (Webster Capital)
Row 8 - Deal for Joda Abstract that should be for Everest Billing &amp; Consulting
Rows 11, 16, 17, 19, 22, and 23 - These Deals were all associated with </t>
    </r>
    <r>
      <rPr>
        <rFont val="Arial"/>
        <color rgb="FF1155CC"/>
        <u/>
      </rPr>
      <t>BH Property Ventures</t>
    </r>
    <r>
      <rPr>
        <rFont val="Arial"/>
      </rPr>
      <t xml:space="preserve">, but should be for Niznik Behavioral Health. However, the BH company record has a secondary domain for Niznik.
Rows 18, 20, and 21 - These Deals are for </t>
    </r>
    <r>
      <rPr>
        <rFont val="Arial"/>
        <color rgb="FF1155CC"/>
        <u/>
      </rPr>
      <t>Kolmac Integrated Behavioral Health</t>
    </r>
    <r>
      <rPr>
        <rFont val="Arial"/>
      </rPr>
      <t>, but should be for Concerted Care Group. However, the Kolmac company record has domains for Concerted Care Group.</t>
    </r>
  </si>
  <si>
    <t>Detailed Status as of 12/5</t>
  </si>
  <si>
    <t>Hours Estimate to Complete</t>
  </si>
  <si>
    <t>Emails sent from Shana on 10/16 and 10/20. Initial set of records received approval 11/26</t>
  </si>
  <si>
    <r>
      <rPr>
        <rFont val="Arial"/>
        <color theme="1"/>
      </rPr>
      <t xml:space="preserve">Assumes most of the remaining items will be resolved with the changes we made to the Line Items Report. 
</t>
    </r>
    <r>
      <rPr>
        <rFont val="Arial"/>
        <b/>
        <color theme="1"/>
      </rPr>
      <t>Emble Action:</t>
    </r>
    <r>
      <rPr>
        <rFont val="Arial"/>
        <color theme="1"/>
      </rPr>
      <t xml:space="preserve"> Review and identify which items were not addressed by updated Line item report. The other records not expected to be addressed by the report require more information before A8 can resolve and those information requests were provided last week to Emble for review.  </t>
    </r>
  </si>
  <si>
    <r>
      <rPr>
        <rFont val="Arial"/>
      </rPr>
      <t xml:space="preserve">A8 has renamed "Amount" to "Final Amount After Discount" and replaced the "Final Price After Discount" column in the </t>
    </r>
    <r>
      <rPr>
        <rFont val="Arial"/>
        <color rgb="FF1155CC"/>
        <u/>
      </rPr>
      <t>Accounting View</t>
    </r>
    <r>
      <rPr>
        <rFont val="Arial"/>
      </rPr>
      <t>, which now has these columns: 
-Sponsor Price
-Discount
-Final Amount After Discount
The other discrepancies submitted via Monday were the result of missing Deal or Company associations due to incomplete QuickBase data which prevented us from creating the relationships on record create. During our 12/5 sprint we showed Roman how to manually create associations and provided instructions  for him to import bulk associations.
For Deals, those with a missing Deal don't actually have a Deal to associate because the events are several years in the past and we only imported three years' worth of Deals.</t>
    </r>
  </si>
  <si>
    <r>
      <rPr>
        <rFont val="Arial"/>
        <b/>
        <color theme="1"/>
      </rPr>
      <t>Emble Action:</t>
    </r>
    <r>
      <rPr>
        <rFont val="Arial"/>
        <color theme="1"/>
      </rPr>
      <t xml:space="preserve"> Review and confirm the numbers in the Accounting view are accurate and that this issue can be completed. Time estimate is to field minor questions about how to conduct this review. </t>
    </r>
  </si>
  <si>
    <r>
      <rPr>
        <rFont val="Arial"/>
      </rPr>
      <t xml:space="preserve">The duplicate Event Branding sponsorships we identified have been merged. These were instances where the same company had two or more identical sponsorships for the same event.
You can see those duplicate records </t>
    </r>
    <r>
      <rPr>
        <rFont val="Arial"/>
        <color rgb="FF1155CC"/>
        <u/>
      </rPr>
      <t>here</t>
    </r>
    <r>
      <rPr>
        <rFont val="Arial"/>
      </rPr>
      <t xml:space="preserve">.  The record that we kept as the master record is bolded in the workbook. </t>
    </r>
  </si>
  <si>
    <r>
      <rPr>
        <rFont val="Arial"/>
        <b/>
        <color theme="1"/>
      </rPr>
      <t xml:space="preserve">Emble Action Item: </t>
    </r>
    <r>
      <rPr>
        <rFont val="Arial"/>
        <color theme="1"/>
      </rPr>
      <t xml:space="preserve">Confirm these updates are complete as expected. If there are any duplicate event branding records you're currently aware of, please let us know. </t>
    </r>
  </si>
  <si>
    <t>N/A</t>
  </si>
  <si>
    <t xml:space="preserve">A8 verified the line item import came from the file  Company_Event_Sponsors export from QuickBase. The file has two different Amount fields; only one was mapped to HubSpot. File sent to Emble team 10/3 to review and clarify use of Amount fields. Updating Amount fields on Deals has downstream impact on associated objects that will also need to be updated.
Row 2302 has the Glankler Brown example. It shows an Amount of $25k and a Discount of $5k, but it also has an Event Sponsor Amount of $30k. The Amount field was mapped into HubSpot, not the Event Sponsor Amount field. 
There are 951 rows (of the 2,317) where the "Amount" column does not match the "Event Sponsor - Amount" column. This likely means those Deals are also incorrect and may need to be updated. </t>
  </si>
  <si>
    <r>
      <rPr>
        <rFont val="Arial"/>
        <b/>
        <color theme="1"/>
      </rPr>
      <t xml:space="preserve">Emble Action Item 1: </t>
    </r>
    <r>
      <rPr>
        <rFont val="Arial"/>
        <color theme="1"/>
      </rPr>
      <t xml:space="preserve">Review the rows that do not match and let us know if the "Event Sponsor - Amount" is the correct value. 
</t>
    </r>
    <r>
      <rPr>
        <rFont val="Arial"/>
        <b/>
        <color theme="1"/>
      </rPr>
      <t>Emble Action Item 2:</t>
    </r>
    <r>
      <rPr>
        <rFont val="Arial"/>
        <color theme="1"/>
      </rPr>
      <t xml:space="preserve"> Why would there be two conflicting amounts in QuickBase; clarify any other business process requirements that different Amount fields might pose. </t>
    </r>
  </si>
  <si>
    <r>
      <rPr>
        <rFont val="Arial"/>
      </rPr>
      <t xml:space="preserve">We found a couple of dozen more Deals where the Deal Name and Associated Company do not match the corresponding Lead ID from QuickBase.
These have been mostly resolved with a few exceptions, outlined in the Actions Take Column in this workbook: </t>
    </r>
    <r>
      <rPr>
        <rFont val="Arial"/>
        <color rgb="FF1155CC"/>
        <u/>
      </rPr>
      <t>Incorrect Deal Associations 10-6-2025</t>
    </r>
  </si>
  <si>
    <r>
      <rPr>
        <rFont val="Arial"/>
        <b/>
      </rPr>
      <t>Emble Action Item:</t>
    </r>
    <r>
      <rPr>
        <rFont val="Arial"/>
      </rPr>
      <t xml:space="preserve"> Please specifically review these records
Row 5 - Deal for United Medical that should be for BLVD Treatment Centers
Row 7 - Deal for Tapestry Health that should be for In Bloom (Webster Capital)
Row 8 - Deal for Joda Abstract that should be for Everest Billing &amp; Consulting
Rows 11, 16, 17, 19, 22, and 23 - These Deals were all associated with </t>
    </r>
    <r>
      <rPr>
        <rFont val="Arial"/>
        <color rgb="FF1155CC"/>
        <u/>
      </rPr>
      <t>BH Property Ventures</t>
    </r>
    <r>
      <rPr>
        <rFont val="Arial"/>
      </rPr>
      <t xml:space="preserve">, but should be for Niznik Behavioral Health. However, the BH company record has a secondary domain for Niznik.
Rows 18, 20, and 21 - These Deals are for </t>
    </r>
    <r>
      <rPr>
        <rFont val="Arial"/>
        <color rgb="FF1155CC"/>
        <u/>
      </rPr>
      <t>Kolmac Integrated Behavioral Health</t>
    </r>
    <r>
      <rPr>
        <rFont val="Arial"/>
      </rPr>
      <t>, but should be for Concerted Care Group. However, the Kolmac company record has domains for Concerted Care Group.</t>
    </r>
  </si>
  <si>
    <t>Remaining Product Quantity Backfill</t>
  </si>
  <si>
    <t xml:space="preserve">Uncovered an issue where Product Quantites were not being updated by the workflow if the Total Quantity and Reamining Quantity were not set upon creation. A8 has backfilled majority of these but  are blocked on 8 Products that are missing data required for A8 to move forward with backfill. </t>
  </si>
  <si>
    <r>
      <rPr>
        <rFont val="Arial"/>
        <b/>
        <color theme="1"/>
      </rPr>
      <t>Emble Action Item:</t>
    </r>
    <r>
      <rPr>
        <rFont val="Arial"/>
        <color theme="1"/>
      </rPr>
      <t xml:space="preserve"> There are still 8 Products missing a value for the total Product Quantity that Emble needs to update before A8 can complete the backfill for the remaining products.  </t>
    </r>
  </si>
  <si>
    <t>Next Steps to Progress... 
updated 11/26</t>
  </si>
  <si>
    <r>
      <rPr>
        <rFont val="Arial"/>
      </rPr>
      <t xml:space="preserve">Uncovered an issue where Product Quantites were not being updated by the workflow if the Total Quantity and Reamining Quantity were not set upon creation. </t>
    </r>
    <r>
      <rPr>
        <rFont val="Arial"/>
        <color rgb="FF1155CC"/>
        <u/>
      </rPr>
      <t xml:space="preserve">Here is the ClickUp Task.
</t>
    </r>
    <r>
      <rPr>
        <rFont val="Arial"/>
      </rPr>
      <t>We logged over 18 hours and the task is Pending Client on a few questions and clarifications.</t>
    </r>
  </si>
  <si>
    <t>OOS Support</t>
  </si>
  <si>
    <t xml:space="preserve">Items listed below are requests from the Emble team between September 1 and October 20 that fall outside the determined project scope. Some but not all have been supported by A8 in an effort to streamline Emble's HubSpot usage. Refer to the status column to verify which have been delivered. </t>
  </si>
  <si>
    <t>Request</t>
  </si>
  <si>
    <t>Request Description &amp; Delivery Details</t>
  </si>
  <si>
    <t>Status</t>
  </si>
  <si>
    <t>Sales Extension Questions</t>
  </si>
  <si>
    <t xml:space="preserve">Dovi Support: Questions about how to setup and use the sales extension. A8 addressed questions within Monday ticket, providing links to the appropriate downloads and plugins. </t>
  </si>
  <si>
    <t>Complete</t>
  </si>
  <si>
    <t>Deal Owner Fields</t>
  </si>
  <si>
    <t xml:space="preserve">Corey: Request for Deal Creator to be the Owner. Clarified this is the default behavior and requested examples of this not being the case to investigate further. </t>
  </si>
  <si>
    <t>Pending Emble Response</t>
  </si>
  <si>
    <t>Sales Extension Troubleshooting</t>
  </si>
  <si>
    <t xml:space="preserve">Support for Herschi: review why his emails weren't logging to the CRM. A8 reviewed and determined his sales extension wasn't configured, explained extension configuration limitations and offer guidance on how to have Herschi set this up (each user must configure their own extension).  </t>
  </si>
  <si>
    <t xml:space="preserve">Same Day Request: Create Segment for email to ECW25 Sponsorship </t>
  </si>
  <si>
    <t xml:space="preserve">Support building a list of contacts that are sponsoring ECW25. A8 built the segment for her and provided details on what logic was utilized. </t>
  </si>
  <si>
    <t xml:space="preserve">Updating Product Library: Adding Catalyst-level Sponsorship Package ( Updating the Product Library) </t>
  </si>
  <si>
    <t xml:space="preserve">Requested guidance on how to add a new Product to the library, which fields to set and how. Updated project documentation with instructions: How to Add a New Product to the Product Library. </t>
  </si>
  <si>
    <t>Phone numbers missing from a Contact</t>
  </si>
  <si>
    <t xml:space="preserve">Cory identified two instance of the same contact, one with and one without a phone number. A8 reviewed and determined the most recent contact was created by a recent import by Roman. A8 added the phone number to the record missing it per Cory's request.  </t>
  </si>
  <si>
    <t>Same Day Request: Import Contacts &amp; Create Segment</t>
  </si>
  <si>
    <t>Urgent request about how to import contacts. Resulting Zoom call determined the list import was against best practices (contacts from Zoom Info). Advised on import and email marketing best practices, subscription management, marketing and non-marketing contacts and when to use sequences in place of marketing email. Education about email marketing best practices re:Importing 6k contacts that hadn't opted in to email them. Education risks, consult on using sequence v marketing emails. Permissions, optins, marketing v non marketing contacts, legal basis</t>
  </si>
  <si>
    <t xml:space="preserve">Backfill Category on Company Records to Align Systems </t>
  </si>
  <si>
    <t xml:space="preserve">Dovi Support: QuickBase uses "Tech" and HubSpot's enumeration option is technology. Create backfill workflow to convert all values of Tech to Technology. </t>
  </si>
  <si>
    <t>Task Association Errors</t>
  </si>
  <si>
    <t xml:space="preserve">Dovi Support: Question about task association and assignment. A8 clarified the difference between the behaviors, reviewed the task in question and determined the Fathom AI notetaker was responsible for the erroneous association. Referring Dovi to Fathom AI support. </t>
  </si>
  <si>
    <t>Managing Email Aliases</t>
  </si>
  <si>
    <t xml:space="preserve">Corey Support: Seeking clarification about how to specify which email address to use as "Send from". Reviewed details provided and supplied details about HubSpot functionality and KBase articles. </t>
  </si>
  <si>
    <t>Urgent Request: Build Sales Sequences</t>
  </si>
  <si>
    <t xml:space="preserve">Same day request to build sales sequences. A8 provided resources for Lauren to be able to build herself. </t>
  </si>
  <si>
    <t>Backlogged</t>
  </si>
  <si>
    <t>Deal Contact Creation</t>
  </si>
  <si>
    <t xml:space="preserve">Add functionality to specify type of Contact on manual creation. </t>
  </si>
  <si>
    <t>BHASe Category/Sub- Category</t>
  </si>
  <si>
    <t xml:space="preserve">Update enumeration options for Category or Subcategory to include additional options. </t>
  </si>
  <si>
    <t xml:space="preserve">Sales Enablement: Follow-up with Closed Lost Attendees </t>
  </si>
  <si>
    <t xml:space="preserve">Add "Reach Out Next Year" for Closed/Lost Attendees (parity to Sponsors process). </t>
  </si>
  <si>
    <t>Training: Segment Building</t>
  </si>
  <si>
    <t xml:space="preserve">Train on using Segments (Lists) to create recipient segments for marketing campaigns based on sponsor v attendee details. </t>
  </si>
  <si>
    <t>Training: Reports</t>
  </si>
  <si>
    <t>Train on using reports to analyze Deals by stage by event by contact type</t>
  </si>
  <si>
    <t xml:space="preserve">Automatic Renewal Deal </t>
  </si>
  <si>
    <t xml:space="preserve">After an event has taken place, use the ESP to automatically create a Deal for the 2026 event. </t>
  </si>
  <si>
    <t>Product Library Management</t>
  </si>
  <si>
    <t>Create notification system for quantity available changes in Product library</t>
  </si>
  <si>
    <t>Sold Branding Reports</t>
  </si>
  <si>
    <t xml:space="preserve">Create notification system for sold brandings (per line item) and generate daily EOD report detailing items sold, purchasing company and link to record. </t>
  </si>
  <si>
    <t xml:space="preserve">Multi-Event Deals </t>
  </si>
  <si>
    <t xml:space="preserve">Update Deal, ESP and Event branding flow to support one Deal being sold for multiple events. </t>
  </si>
  <si>
    <t>Update how ESP Amount Field is Populated</t>
  </si>
  <si>
    <t xml:space="preserve">Update ESP to reflect total amount owed after discount applied. </t>
  </si>
  <si>
    <t>Cloning Deals: Associating records &amp; activities</t>
  </si>
  <si>
    <t xml:space="preserve">Ability to clone Deals and include the activities and select which associated records to include (native clone feature does not support this). </t>
  </si>
  <si>
    <t>Deals: Add Closed Lost Reason</t>
  </si>
  <si>
    <t xml:space="preserve">Create additional field to capture Closed Lost Reason to get context to the "other" option </t>
  </si>
  <si>
    <t>- This is an execution task defined by HubSpot Data Architecture  deliverables
- Contact, Company, Deal, and any custom object record customization 
- Up to 5 team/group views per object
- Includes left, middle, and right pane customizations
- No custom coded CRM cards</t>
  </si>
  <si>
    <t xml:space="preserve">Aptitude 8 to recommend how the Marketing team can get the most out of HubSpot so they can vastly expand their capabilities </t>
  </si>
  <si>
    <t>- Aptitude 8 to assist Emble Events with setting up subscription centers for multiple Business units 
- Up to 10 advisory hours to recommend how the Marketing team should approach setting up Marketing Hub
- Examples of ways Aptitude 8 can support: set up the tracking code for web analytics, set up email marketing features, set account defaults, navigate reports &amp; dashboards, creating lists, creating campaigns, or to navigate HubSpot's automation features
- Aptitude 8 does not design email templates</t>
  </si>
  <si>
    <t>Aptitude 8 to build a basic inventory tracking mechanism inside of HubSpot using custom objects and custom coded actions. When an item has been bought by a sponsor, this will need to be reflected on the relevant custom object and be associated to the company, Event, and Contract. Aptitude 8 will need to add a custom cod that adds the Sponsorship Opportunity as a line item to the correct deal.</t>
  </si>
  <si>
    <r>
      <rPr/>
      <t xml:space="preserve">Aptitude 8 to connect the </t>
    </r>
    <r>
      <rPr>
        <color rgb="FF1155CC"/>
        <u/>
      </rPr>
      <t>HubSpot Marketplace app</t>
    </r>
    <r>
      <rPr/>
      <t xml:space="preserve"> and set up the integration for historical and future data.</t>
    </r>
  </si>
  <si>
    <r>
      <rPr/>
      <t xml:space="preserve">Emble Events would like HubSpot and </t>
    </r>
    <r>
      <rPr>
        <color rgb="FF1155CC"/>
        <u/>
      </rPr>
      <t>Monday.com</t>
    </r>
    <r>
      <rPr/>
      <t xml:space="preserve"> to be integrated to graphic designers and marketing teams know what Sponsorship Opportunities were bought and what the next steps are for each.</t>
    </r>
  </si>
  <si>
    <r>
      <rPr/>
      <t xml:space="preserve">- Aptitude 8 will set up </t>
    </r>
    <r>
      <rPr>
        <color rgb="FF1155CC"/>
        <u/>
      </rPr>
      <t>Monday.com</t>
    </r>
    <r>
      <rPr/>
      <t xml:space="preserve"> and HubSpot's integration per the out of the box app
- Aptitude 8 assumes Emble Events will supply access to </t>
    </r>
    <r>
      <rPr>
        <color rgb="FF1155CC"/>
        <u/>
      </rPr>
      <t>Monday.com</t>
    </r>
    <r>
      <rPr/>
      <t xml:space="preserve"> and access to the necessary boards</t>
    </r>
  </si>
</sst>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quot;$&quot;#,##0.00"/>
    <numFmt numFmtId="165" formatCode="m-d"/>
  </numFmts>
  <fonts count="35">
    <font>
      <sz val="10.0"/>
      <color rgb="FF000000"/>
      <name val="Arial"/>
      <scheme val="minor"/>
    </font>
    <font>
      <b/>
      <sz val="12.0"/>
      <color rgb="FFFFFFFF"/>
      <name val="Arial"/>
      <scheme val="minor"/>
    </font>
    <font>
      <b/>
      <sz val="17.0"/>
      <color rgb="FFFFFFFF"/>
      <name val="Rubik"/>
    </font>
    <font>
      <b/>
      <sz val="12.0"/>
      <color rgb="FFFFFFFF"/>
      <name val="Rubik"/>
    </font>
    <font>
      <b/>
      <sz val="10.0"/>
      <color theme="1"/>
      <name val="Arial"/>
      <scheme val="minor"/>
    </font>
    <font>
      <b/>
      <sz val="18.0"/>
      <color rgb="FFFFFFFF"/>
      <name val="Rubik"/>
    </font>
    <font>
      <b/>
      <sz val="16.0"/>
      <color rgb="FFFFFFFF"/>
      <name val="Rubik"/>
    </font>
    <font>
      <b/>
      <sz val="11.0"/>
      <color rgb="FFFFFFFF"/>
      <name val="Rubik"/>
    </font>
    <font>
      <color theme="1"/>
      <name val="Arial"/>
      <scheme val="minor"/>
    </font>
    <font>
      <color theme="1"/>
      <name val="Arial"/>
    </font>
    <font>
      <b/>
      <color theme="1"/>
      <name val="Arial"/>
    </font>
    <font>
      <b/>
      <sz val="10.0"/>
      <color theme="1"/>
      <name val="Arial"/>
    </font>
    <font>
      <b/>
      <sz val="11.0"/>
      <color rgb="FF000000"/>
      <name val="Rubik"/>
    </font>
    <font>
      <u/>
      <color theme="1"/>
      <name val="Arial"/>
      <scheme val="minor"/>
    </font>
    <font>
      <u/>
      <color rgb="FF0000FF"/>
    </font>
    <font>
      <u/>
      <color rgb="FF0000FF"/>
    </font>
    <font>
      <b/>
      <color rgb="FF000000"/>
      <name val="Arial"/>
      <scheme val="minor"/>
    </font>
    <font>
      <u/>
      <color theme="1"/>
      <name val="Arial"/>
      <scheme val="minor"/>
    </font>
    <font>
      <u/>
      <color theme="1"/>
      <name val="Arial"/>
      <scheme val="minor"/>
    </font>
    <font>
      <u/>
      <color rgb="FF0000FF"/>
      <name val="Arial"/>
    </font>
    <font>
      <u/>
      <color rgb="FF0000FF"/>
    </font>
    <font>
      <u/>
      <color rgb="FF0000FF"/>
    </font>
    <font>
      <u/>
      <color theme="1"/>
      <name val="Arial"/>
      <scheme val="minor"/>
    </font>
    <font>
      <b/>
      <color theme="1"/>
      <name val="Arial"/>
      <scheme val="minor"/>
    </font>
    <font>
      <u/>
      <color theme="1"/>
      <name val="Arial"/>
      <scheme val="minor"/>
    </font>
    <font>
      <b/>
      <sz val="11.0"/>
      <color theme="1"/>
      <name val="Arial"/>
    </font>
    <font>
      <u/>
      <color rgb="FF0000FF"/>
      <name val="Arial"/>
    </font>
    <font>
      <b/>
      <sz val="11.0"/>
      <color rgb="FF0B0910"/>
      <name val="InterVariable"/>
    </font>
    <font>
      <u/>
      <color rgb="FF0000FF"/>
      <name val="Arial"/>
    </font>
    <font>
      <u/>
      <color theme="1"/>
      <name val="Arial"/>
      <scheme val="minor"/>
    </font>
    <font>
      <u/>
      <color theme="1"/>
      <name val="Arial"/>
      <scheme val="minor"/>
    </font>
    <font>
      <u/>
      <color theme="1"/>
      <name val="Arial"/>
      <scheme val="minor"/>
    </font>
    <font>
      <u/>
      <color rgb="FF0000FF"/>
    </font>
    <font>
      <u/>
      <color rgb="FF0000FF"/>
    </font>
    <font>
      <u/>
      <color theme="1"/>
      <name val="Arial"/>
      <scheme val="minor"/>
    </font>
  </fonts>
  <fills count="10">
    <fill>
      <patternFill patternType="none"/>
    </fill>
    <fill>
      <patternFill patternType="lightGray"/>
    </fill>
    <fill>
      <patternFill patternType="solid">
        <fgColor rgb="FF000000"/>
        <bgColor rgb="FF000000"/>
      </patternFill>
    </fill>
    <fill>
      <patternFill patternType="solid">
        <fgColor rgb="FFF1C232"/>
        <bgColor rgb="FFF1C232"/>
      </patternFill>
    </fill>
    <fill>
      <patternFill patternType="solid">
        <fgColor rgb="FFFFFFFF"/>
        <bgColor rgb="FFFFFFFF"/>
      </patternFill>
    </fill>
    <fill>
      <patternFill patternType="solid">
        <fgColor rgb="FFFFF2CC"/>
        <bgColor rgb="FFFFF2CC"/>
      </patternFill>
    </fill>
    <fill>
      <patternFill patternType="solid">
        <fgColor rgb="FFFBBC04"/>
        <bgColor rgb="FFFBBC04"/>
      </patternFill>
    </fill>
    <fill>
      <patternFill patternType="solid">
        <fgColor rgb="FFF3F3F3"/>
        <bgColor rgb="FFF3F3F3"/>
      </patternFill>
    </fill>
    <fill>
      <patternFill patternType="solid">
        <fgColor rgb="FFD9EAD3"/>
        <bgColor rgb="FFD9EAD3"/>
      </patternFill>
    </fill>
    <fill>
      <patternFill patternType="solid">
        <fgColor rgb="FFB6D7A8"/>
        <bgColor rgb="FFB6D7A8"/>
      </patternFill>
    </fill>
  </fills>
  <borders count="12">
    <border/>
    <border>
      <left style="thick">
        <color rgb="FF000000"/>
      </left>
    </border>
    <border>
      <left style="thin">
        <color rgb="FFFBBC04"/>
      </left>
      <right style="thin">
        <color rgb="FFFBBC04"/>
      </right>
      <bottom style="thin">
        <color rgb="FFFBBC04"/>
      </bottom>
    </border>
    <border>
      <right style="thin">
        <color rgb="FFFBBC04"/>
      </right>
      <top style="thin">
        <color rgb="FFFBBC04"/>
      </top>
      <bottom style="thin">
        <color rgb="FFFBBC04"/>
      </bottom>
    </border>
    <border>
      <left style="thin">
        <color rgb="FFFBBC04"/>
      </left>
      <bottom style="thin">
        <color rgb="FFFBBC04"/>
      </bottom>
    </border>
    <border>
      <right style="thin">
        <color rgb="FFFBBC04"/>
      </right>
      <bottom style="thin">
        <color rgb="FFFBBC04"/>
      </bottom>
    </border>
    <border>
      <bottom style="thin">
        <color rgb="FFFBBC04"/>
      </bottom>
    </border>
    <border>
      <left style="thin">
        <color rgb="FFFBBC04"/>
      </left>
      <right style="thin">
        <color rgb="FFFBBC04"/>
      </right>
      <top style="thin">
        <color rgb="FFFBBC04"/>
      </top>
      <bottom style="thin">
        <color rgb="FFFBBC04"/>
      </bottom>
    </border>
    <border>
      <top style="thin">
        <color rgb="FFFBBC04"/>
      </top>
      <bottom style="thin">
        <color rgb="FFFBBC04"/>
      </bottom>
    </border>
    <border>
      <left style="thin">
        <color rgb="FFFBBC04"/>
      </left>
      <top style="thin">
        <color rgb="FFFBBC04"/>
      </top>
      <bottom style="thin">
        <color rgb="FFFBBC04"/>
      </bottom>
    </border>
    <border>
      <left style="thin">
        <color rgb="FFFBBC04"/>
      </left>
      <right style="thin">
        <color rgb="FFFBBC04"/>
      </right>
      <top style="thin">
        <color rgb="FFFBBC04"/>
      </top>
    </border>
    <border>
      <left style="thin">
        <color rgb="FFFBBC04"/>
      </left>
      <top style="thin">
        <color rgb="FFFBBC04"/>
      </top>
    </border>
  </borders>
  <cellStyleXfs count="1">
    <xf borderId="0" fillId="0" fontId="0" numFmtId="0" applyAlignment="1" applyFont="1"/>
  </cellStyleXfs>
  <cellXfs count="158">
    <xf borderId="0" fillId="0" fontId="0" numFmtId="0" xfId="0" applyAlignment="1" applyFont="1">
      <alignment readingOrder="0" shrinkToFit="0" vertical="bottom" wrapText="0"/>
    </xf>
    <xf borderId="0" fillId="2" fontId="1" numFmtId="0" xfId="0" applyAlignment="1" applyFill="1" applyFont="1">
      <alignment readingOrder="0" shrinkToFit="0" vertical="center" wrapText="0"/>
    </xf>
    <xf borderId="0" fillId="2" fontId="2" numFmtId="0" xfId="0" applyAlignment="1" applyFont="1">
      <alignment horizontal="left" readingOrder="0" shrinkToFit="0" vertical="center" wrapText="1"/>
    </xf>
    <xf borderId="0" fillId="2" fontId="1" numFmtId="0" xfId="0" applyAlignment="1" applyFont="1">
      <alignment readingOrder="0" shrinkToFit="0" vertical="center" wrapText="1"/>
    </xf>
    <xf borderId="0" fillId="2" fontId="1" numFmtId="0" xfId="0" applyAlignment="1" applyFont="1">
      <alignment horizontal="center" readingOrder="0" shrinkToFit="0" vertical="center" wrapText="0"/>
    </xf>
    <xf borderId="0" fillId="2" fontId="1" numFmtId="0" xfId="0" applyAlignment="1" applyFont="1">
      <alignment horizontal="center" readingOrder="0" shrinkToFit="0" vertical="center" wrapText="1"/>
    </xf>
    <xf borderId="0" fillId="2" fontId="3" numFmtId="0" xfId="0" applyAlignment="1" applyFont="1">
      <alignment readingOrder="0" shrinkToFit="0" vertical="center" wrapText="0"/>
    </xf>
    <xf borderId="0" fillId="3" fontId="4" numFmtId="0" xfId="0" applyAlignment="1" applyFill="1" applyFont="1">
      <alignment readingOrder="0" shrinkToFit="0" vertical="center" wrapText="0"/>
    </xf>
    <xf borderId="0" fillId="3" fontId="4" numFmtId="0" xfId="0" applyAlignment="1" applyFont="1">
      <alignment readingOrder="0" shrinkToFit="0" vertical="center" wrapText="1"/>
    </xf>
    <xf borderId="0" fillId="3" fontId="4" numFmtId="0" xfId="0" applyAlignment="1" applyFont="1">
      <alignment horizontal="center" readingOrder="0" vertical="center"/>
    </xf>
    <xf borderId="0" fillId="3" fontId="4" numFmtId="0" xfId="0" applyAlignment="1" applyFont="1">
      <alignment horizontal="center" readingOrder="0" shrinkToFit="0" vertical="center" wrapText="1"/>
    </xf>
    <xf borderId="0" fillId="2" fontId="5" numFmtId="0" xfId="0" applyAlignment="1" applyFont="1">
      <alignment readingOrder="0" shrinkToFit="0" vertical="center" wrapText="1"/>
    </xf>
    <xf borderId="0" fillId="2" fontId="6" numFmtId="0" xfId="0" applyAlignment="1" applyFont="1">
      <alignment horizontal="left" readingOrder="0" shrinkToFit="0" vertical="center" wrapText="1"/>
    </xf>
    <xf borderId="0" fillId="2" fontId="7" numFmtId="0" xfId="0" applyAlignment="1" applyFont="1">
      <alignment horizontal="center" shrinkToFit="0" vertical="center" wrapText="1"/>
    </xf>
    <xf borderId="1" fillId="2" fontId="7" numFmtId="0" xfId="0" applyAlignment="1" applyBorder="1" applyFont="1">
      <alignment horizontal="center" shrinkToFit="0" vertical="center" wrapText="1"/>
    </xf>
    <xf borderId="0" fillId="4" fontId="8" numFmtId="0" xfId="0" applyAlignment="1" applyFill="1" applyFont="1">
      <alignment readingOrder="0" shrinkToFit="0" vertical="center" wrapText="1"/>
    </xf>
    <xf borderId="0" fillId="4" fontId="9" numFmtId="0" xfId="0" applyAlignment="1" applyFont="1">
      <alignment readingOrder="0" shrinkToFit="0" vertical="center" wrapText="1"/>
    </xf>
    <xf borderId="0" fillId="4" fontId="10" numFmtId="0" xfId="0" applyAlignment="1" applyFont="1">
      <alignment horizontal="center" readingOrder="0" shrinkToFit="0" vertical="center" wrapText="1"/>
    </xf>
    <xf borderId="0" fillId="4" fontId="11" numFmtId="164" xfId="0" applyAlignment="1" applyFont="1" applyNumberFormat="1">
      <alignment horizontal="center" readingOrder="0" shrinkToFit="0" vertical="center" wrapText="1"/>
    </xf>
    <xf borderId="0" fillId="4" fontId="10" numFmtId="164" xfId="0" applyAlignment="1" applyFont="1" applyNumberFormat="1">
      <alignment horizontal="center" readingOrder="0" shrinkToFit="0" vertical="center" wrapText="1"/>
    </xf>
    <xf borderId="1" fillId="5" fontId="10" numFmtId="0" xfId="0" applyAlignment="1" applyBorder="1" applyFill="1" applyFont="1">
      <alignment horizontal="center" readingOrder="0" shrinkToFit="0" vertical="center" wrapText="1"/>
    </xf>
    <xf borderId="0" fillId="2" fontId="7" numFmtId="0" xfId="0" applyAlignment="1" applyFont="1">
      <alignment horizontal="center" readingOrder="0" shrinkToFit="0" vertical="center" wrapText="1"/>
    </xf>
    <xf borderId="1" fillId="6" fontId="12" numFmtId="0" xfId="0" applyAlignment="1" applyBorder="1" applyFill="1" applyFont="1">
      <alignment horizontal="center" readingOrder="0" shrinkToFit="0" vertical="center" wrapText="1"/>
    </xf>
    <xf borderId="0" fillId="6" fontId="12" numFmtId="0" xfId="0" applyAlignment="1" applyFont="1">
      <alignment horizontal="center" readingOrder="0" shrinkToFit="0" vertical="center" wrapText="1"/>
    </xf>
    <xf borderId="2" fillId="4" fontId="10" numFmtId="0" xfId="0" applyAlignment="1" applyBorder="1" applyFont="1">
      <alignment readingOrder="0" shrinkToFit="0" vertical="center" wrapText="1"/>
    </xf>
    <xf borderId="3" fillId="4" fontId="9" numFmtId="0" xfId="0" applyAlignment="1" applyBorder="1" applyFont="1">
      <alignment readingOrder="0" shrinkToFit="0" vertical="center" wrapText="1"/>
    </xf>
    <xf borderId="2" fillId="4" fontId="8" numFmtId="0" xfId="0" applyAlignment="1" applyBorder="1" applyFont="1">
      <alignment horizontal="center" readingOrder="0" vertical="center"/>
    </xf>
    <xf borderId="2" fillId="4" fontId="9" numFmtId="0" xfId="0" applyAlignment="1" applyBorder="1" applyFont="1">
      <alignment horizontal="center" readingOrder="0" vertical="center"/>
    </xf>
    <xf borderId="4" fillId="4" fontId="13" numFmtId="0" xfId="0" applyAlignment="1" applyBorder="1" applyFont="1">
      <alignment horizontal="center" readingOrder="0" vertical="center"/>
    </xf>
    <xf borderId="1" fillId="4" fontId="8" numFmtId="9" xfId="0" applyAlignment="1" applyBorder="1" applyFont="1" applyNumberFormat="1">
      <alignment horizontal="center" readingOrder="0" vertical="center"/>
    </xf>
    <xf borderId="0" fillId="4" fontId="14" numFmtId="0" xfId="0" applyAlignment="1" applyFont="1">
      <alignment horizontal="left" readingOrder="0" shrinkToFit="0" vertical="center" wrapText="1"/>
    </xf>
    <xf borderId="2" fillId="7" fontId="10" numFmtId="0" xfId="0" applyAlignment="1" applyBorder="1" applyFill="1" applyFont="1">
      <alignment shrinkToFit="0" vertical="center" wrapText="1"/>
    </xf>
    <xf borderId="5" fillId="7" fontId="9" numFmtId="0" xfId="0" applyAlignment="1" applyBorder="1" applyFont="1">
      <alignment readingOrder="0" shrinkToFit="0" vertical="center" wrapText="1"/>
    </xf>
    <xf borderId="2" fillId="7" fontId="8" numFmtId="0" xfId="0" applyAlignment="1" applyBorder="1" applyFont="1">
      <alignment horizontal="center" readingOrder="0" vertical="center"/>
    </xf>
    <xf borderId="2" fillId="7" fontId="9" numFmtId="0" xfId="0" applyAlignment="1" applyBorder="1" applyFont="1">
      <alignment horizontal="center" readingOrder="0" vertical="center"/>
    </xf>
    <xf borderId="4" fillId="7" fontId="8" numFmtId="0" xfId="0" applyAlignment="1" applyBorder="1" applyFont="1">
      <alignment horizontal="center" readingOrder="0" vertical="center"/>
    </xf>
    <xf borderId="1" fillId="7" fontId="8" numFmtId="9" xfId="0" applyAlignment="1" applyBorder="1" applyFont="1" applyNumberFormat="1">
      <alignment horizontal="center" readingOrder="0" vertical="center"/>
    </xf>
    <xf borderId="0" fillId="7" fontId="15" numFmtId="0" xfId="0" applyAlignment="1" applyFont="1">
      <alignment horizontal="left" readingOrder="0" shrinkToFit="0" vertical="center" wrapText="1"/>
    </xf>
    <xf borderId="2" fillId="4" fontId="10" numFmtId="0" xfId="0" applyAlignment="1" applyBorder="1" applyFont="1">
      <alignment shrinkToFit="0" vertical="center" wrapText="1"/>
    </xf>
    <xf borderId="5" fillId="4" fontId="9" numFmtId="0" xfId="0" applyAlignment="1" applyBorder="1" applyFont="1">
      <alignment readingOrder="0" shrinkToFit="0" vertical="center" wrapText="1"/>
    </xf>
    <xf borderId="2" fillId="4" fontId="16" numFmtId="0" xfId="0" applyAlignment="1" applyBorder="1" applyFont="1">
      <alignment readingOrder="0" shrinkToFit="0" vertical="center" wrapText="1"/>
    </xf>
    <xf borderId="5" fillId="4" fontId="8" numFmtId="0" xfId="0" applyAlignment="1" applyBorder="1" applyFont="1">
      <alignment readingOrder="0" shrinkToFit="0" vertical="center" wrapText="1"/>
    </xf>
    <xf borderId="5" fillId="4" fontId="8" numFmtId="0" xfId="0" applyAlignment="1" applyBorder="1" applyFont="1">
      <alignment horizontal="center" readingOrder="0" vertical="center"/>
    </xf>
    <xf borderId="6" fillId="4" fontId="17" numFmtId="0" xfId="0" applyAlignment="1" applyBorder="1" applyFont="1">
      <alignment horizontal="center" readingOrder="0" vertical="center"/>
    </xf>
    <xf borderId="7" fillId="7" fontId="16" numFmtId="0" xfId="0" applyAlignment="1" applyBorder="1" applyFont="1">
      <alignment readingOrder="0" shrinkToFit="0" vertical="center" wrapText="1"/>
    </xf>
    <xf borderId="3" fillId="7" fontId="8" numFmtId="0" xfId="0" applyAlignment="1" applyBorder="1" applyFont="1">
      <alignment readingOrder="0" shrinkToFit="0" vertical="center" wrapText="1"/>
    </xf>
    <xf borderId="3" fillId="7" fontId="8" numFmtId="0" xfId="0" applyAlignment="1" applyBorder="1" applyFont="1">
      <alignment horizontal="center" readingOrder="0" vertical="center"/>
    </xf>
    <xf borderId="8" fillId="7" fontId="18" numFmtId="0" xfId="0" applyAlignment="1" applyBorder="1" applyFont="1">
      <alignment horizontal="center" readingOrder="0" vertical="center"/>
    </xf>
    <xf borderId="7" fillId="4" fontId="16" numFmtId="0" xfId="0" applyAlignment="1" applyBorder="1" applyFont="1">
      <alignment readingOrder="0" shrinkToFit="0" vertical="center" wrapText="1"/>
    </xf>
    <xf borderId="7" fillId="4" fontId="8" numFmtId="0" xfId="0" applyAlignment="1" applyBorder="1" applyFont="1">
      <alignment readingOrder="0" shrinkToFit="0" vertical="center" wrapText="1"/>
    </xf>
    <xf borderId="7" fillId="4" fontId="8" numFmtId="0" xfId="0" applyAlignment="1" applyBorder="1" applyFont="1">
      <alignment horizontal="center" readingOrder="0" vertical="center"/>
    </xf>
    <xf borderId="9" fillId="4" fontId="8" numFmtId="0" xfId="0" applyAlignment="1" applyBorder="1" applyFont="1">
      <alignment horizontal="center" readingOrder="0" vertical="center"/>
    </xf>
    <xf borderId="7" fillId="7" fontId="10" numFmtId="0" xfId="0" applyAlignment="1" applyBorder="1" applyFont="1">
      <alignment shrinkToFit="0" vertical="center" wrapText="1"/>
    </xf>
    <xf borderId="3" fillId="7" fontId="9" numFmtId="3" xfId="0" applyAlignment="1" applyBorder="1" applyFont="1" applyNumberFormat="1">
      <alignment readingOrder="0" shrinkToFit="0" vertical="center" wrapText="1"/>
    </xf>
    <xf borderId="3" fillId="7" fontId="9" numFmtId="0" xfId="0" applyAlignment="1" applyBorder="1" applyFont="1">
      <alignment readingOrder="0" shrinkToFit="0" vertical="center" wrapText="1"/>
    </xf>
    <xf borderId="3" fillId="7" fontId="9" numFmtId="3" xfId="0" applyAlignment="1" applyBorder="1" applyFont="1" applyNumberFormat="1">
      <alignment horizontal="center" readingOrder="0" shrinkToFit="0" vertical="center" wrapText="1"/>
    </xf>
    <xf borderId="3" fillId="7" fontId="9" numFmtId="0" xfId="0" applyAlignment="1" applyBorder="1" applyFont="1">
      <alignment horizontal="center" shrinkToFit="0" vertical="center" wrapText="1"/>
    </xf>
    <xf borderId="8" fillId="7" fontId="9" numFmtId="0" xfId="0" applyAlignment="1" applyBorder="1" applyFont="1">
      <alignment shrinkToFit="0" vertical="center" wrapText="1"/>
    </xf>
    <xf borderId="1" fillId="7" fontId="9" numFmtId="9" xfId="0" applyAlignment="1" applyBorder="1" applyFont="1" applyNumberFormat="1">
      <alignment horizontal="center" readingOrder="0" shrinkToFit="0" vertical="center" wrapText="1"/>
    </xf>
    <xf borderId="0" fillId="7" fontId="19" numFmtId="0" xfId="0" applyAlignment="1" applyFont="1">
      <alignment horizontal="left" readingOrder="0" shrinkToFit="0" vertical="center" wrapText="1"/>
    </xf>
    <xf borderId="6" fillId="4" fontId="8" numFmtId="0" xfId="0" applyAlignment="1" applyBorder="1" applyFont="1">
      <alignment horizontal="center" readingOrder="0" vertical="center"/>
    </xf>
    <xf borderId="1" fillId="4" fontId="8" numFmtId="9" xfId="0" applyAlignment="1" applyBorder="1" applyFont="1" applyNumberFormat="1">
      <alignment horizontal="center" readingOrder="0" vertical="center"/>
    </xf>
    <xf borderId="0" fillId="4" fontId="8" numFmtId="0" xfId="0" applyAlignment="1" applyFont="1">
      <alignment horizontal="left" readingOrder="0" shrinkToFit="0" vertical="center" wrapText="1"/>
    </xf>
    <xf borderId="7" fillId="7" fontId="8" numFmtId="0" xfId="0" applyAlignment="1" applyBorder="1" applyFont="1">
      <alignment readingOrder="0" shrinkToFit="0" vertical="center" wrapText="1"/>
    </xf>
    <xf borderId="7" fillId="7" fontId="20" numFmtId="0" xfId="0" applyAlignment="1" applyBorder="1" applyFont="1">
      <alignment readingOrder="0" shrinkToFit="0" vertical="center" wrapText="1"/>
    </xf>
    <xf borderId="7" fillId="7" fontId="8" numFmtId="0" xfId="0" applyAlignment="1" applyBorder="1" applyFont="1">
      <alignment horizontal="center" readingOrder="0" vertical="center"/>
    </xf>
    <xf borderId="9" fillId="7" fontId="8" numFmtId="0" xfId="0" applyAlignment="1" applyBorder="1" applyFont="1">
      <alignment horizontal="center" readingOrder="0" vertical="center"/>
    </xf>
    <xf borderId="1" fillId="7" fontId="8" numFmtId="9" xfId="0" applyAlignment="1" applyBorder="1" applyFont="1" applyNumberFormat="1">
      <alignment horizontal="center" readingOrder="0" vertical="center"/>
    </xf>
    <xf borderId="0" fillId="7" fontId="8" numFmtId="0" xfId="0" applyAlignment="1" applyFont="1">
      <alignment horizontal="left" readingOrder="0" shrinkToFit="0" vertical="center" wrapText="1"/>
    </xf>
    <xf borderId="3" fillId="4" fontId="21" numFmtId="0" xfId="0" applyAlignment="1" applyBorder="1" applyFont="1">
      <alignment readingOrder="0" shrinkToFit="0" vertical="center" wrapText="1"/>
    </xf>
    <xf borderId="3" fillId="4" fontId="8" numFmtId="0" xfId="0" applyAlignment="1" applyBorder="1" applyFont="1">
      <alignment readingOrder="0" shrinkToFit="0" vertical="center" wrapText="1"/>
    </xf>
    <xf borderId="3" fillId="4" fontId="8" numFmtId="0" xfId="0" applyAlignment="1" applyBorder="1" applyFont="1">
      <alignment horizontal="center" readingOrder="0" vertical="center"/>
    </xf>
    <xf borderId="8" fillId="4" fontId="8" numFmtId="0" xfId="0" applyAlignment="1" applyBorder="1" applyFont="1">
      <alignment horizontal="center" readingOrder="0" vertical="center"/>
    </xf>
    <xf borderId="8" fillId="4" fontId="22" numFmtId="0" xfId="0" applyAlignment="1" applyBorder="1" applyFont="1">
      <alignment horizontal="center" readingOrder="0" vertical="center"/>
    </xf>
    <xf borderId="7" fillId="7" fontId="23" numFmtId="0" xfId="0" applyAlignment="1" applyBorder="1" applyFont="1">
      <alignment readingOrder="0" shrinkToFit="0" vertical="center" wrapText="1"/>
    </xf>
    <xf borderId="7" fillId="7" fontId="9" numFmtId="0" xfId="0" applyAlignment="1" applyBorder="1" applyFont="1">
      <alignment horizontal="center" readingOrder="0" vertical="center"/>
    </xf>
    <xf borderId="9" fillId="7" fontId="24" numFmtId="0" xfId="0" applyAlignment="1" applyBorder="1" applyFont="1">
      <alignment horizontal="center" readingOrder="0" vertical="center"/>
    </xf>
    <xf borderId="0" fillId="7" fontId="8" numFmtId="0" xfId="0" applyAlignment="1" applyFont="1">
      <alignment horizontal="left" readingOrder="0" shrinkToFit="0" vertical="center" wrapText="1"/>
    </xf>
    <xf borderId="7" fillId="4" fontId="10" numFmtId="0" xfId="0" applyAlignment="1" applyBorder="1" applyFont="1">
      <alignment readingOrder="0" shrinkToFit="0" vertical="center" wrapText="1"/>
    </xf>
    <xf borderId="7" fillId="4" fontId="9" numFmtId="0" xfId="0" applyAlignment="1" applyBorder="1" applyFont="1">
      <alignment horizontal="center" readingOrder="0" shrinkToFit="0" vertical="center" wrapText="1"/>
    </xf>
    <xf borderId="9" fillId="4" fontId="8" numFmtId="0" xfId="0" applyAlignment="1" applyBorder="1" applyFont="1">
      <alignment horizontal="center"/>
    </xf>
    <xf borderId="7" fillId="7" fontId="10" numFmtId="0" xfId="0" applyAlignment="1" applyBorder="1" applyFont="1">
      <alignment readingOrder="0" shrinkToFit="0" vertical="center" wrapText="1"/>
    </xf>
    <xf borderId="7" fillId="7" fontId="9" numFmtId="0" xfId="0" applyAlignment="1" applyBorder="1" applyFont="1">
      <alignment horizontal="center" shrinkToFit="0" vertical="center" wrapText="1"/>
    </xf>
    <xf borderId="9" fillId="7" fontId="8" numFmtId="0" xfId="0" applyAlignment="1" applyBorder="1" applyFont="1">
      <alignment horizontal="center"/>
    </xf>
    <xf borderId="7" fillId="4" fontId="10" numFmtId="0" xfId="0" applyAlignment="1" applyBorder="1" applyFont="1">
      <alignment shrinkToFit="0" vertical="center" wrapText="1"/>
    </xf>
    <xf borderId="7" fillId="4" fontId="9" numFmtId="0" xfId="0" applyAlignment="1" applyBorder="1" applyFont="1">
      <alignment readingOrder="0" shrinkToFit="0" vertical="center" wrapText="1"/>
    </xf>
    <xf borderId="7" fillId="4" fontId="9" numFmtId="0" xfId="0" applyAlignment="1" applyBorder="1" applyFont="1">
      <alignment horizontal="center" shrinkToFit="0" vertical="center" wrapText="1"/>
    </xf>
    <xf borderId="7" fillId="7" fontId="9" numFmtId="0" xfId="0" applyAlignment="1" applyBorder="1" applyFont="1">
      <alignment readingOrder="0" shrinkToFit="0" vertical="center" wrapText="1"/>
    </xf>
    <xf borderId="7" fillId="7" fontId="9" numFmtId="1" xfId="0" applyAlignment="1" applyBorder="1" applyFont="1" applyNumberFormat="1">
      <alignment readingOrder="0" shrinkToFit="0" vertical="center" wrapText="1"/>
    </xf>
    <xf borderId="7" fillId="4" fontId="9" numFmtId="0" xfId="0" applyAlignment="1" applyBorder="1" applyFont="1">
      <alignment vertical="center"/>
    </xf>
    <xf borderId="0" fillId="4" fontId="8" numFmtId="0" xfId="0" applyAlignment="1" applyFont="1">
      <alignment horizontal="left" readingOrder="0" shrinkToFit="0" vertical="center" wrapText="1"/>
    </xf>
    <xf borderId="10" fillId="7" fontId="23" numFmtId="0" xfId="0" applyAlignment="1" applyBorder="1" applyFont="1">
      <alignment readingOrder="0" shrinkToFit="0" vertical="center" wrapText="1"/>
    </xf>
    <xf borderId="10" fillId="7" fontId="8" numFmtId="0" xfId="0" applyAlignment="1" applyBorder="1" applyFont="1">
      <alignment readingOrder="0" shrinkToFit="0" vertical="center" wrapText="1"/>
    </xf>
    <xf borderId="10" fillId="7" fontId="8" numFmtId="0" xfId="0" applyAlignment="1" applyBorder="1" applyFont="1">
      <alignment horizontal="center" readingOrder="0" vertical="center"/>
    </xf>
    <xf borderId="11" fillId="7" fontId="8" numFmtId="0" xfId="0" applyAlignment="1" applyBorder="1" applyFont="1">
      <alignment horizontal="center"/>
    </xf>
    <xf borderId="1" fillId="7" fontId="8" numFmtId="0" xfId="0" applyAlignment="1" applyBorder="1" applyFont="1">
      <alignment horizontal="center" readingOrder="0" vertical="center"/>
    </xf>
    <xf borderId="0" fillId="7" fontId="8" numFmtId="0" xfId="0" applyAlignment="1" applyFont="1">
      <alignment horizontal="left" shrinkToFit="0" vertical="center" wrapText="1"/>
    </xf>
    <xf borderId="0" fillId="4" fontId="25" numFmtId="0" xfId="0" applyAlignment="1" applyFont="1">
      <alignment readingOrder="0" shrinkToFit="0" vertical="center" wrapText="1"/>
    </xf>
    <xf borderId="5" fillId="4" fontId="9" numFmtId="0" xfId="0" applyAlignment="1" applyBorder="1" applyFont="1">
      <alignment readingOrder="0" shrinkToFit="0" vertical="center" wrapText="1"/>
    </xf>
    <xf borderId="2" fillId="4" fontId="25" numFmtId="0" xfId="0" applyAlignment="1" applyBorder="1" applyFont="1">
      <alignment readingOrder="0" shrinkToFit="0" vertical="center" wrapText="1"/>
    </xf>
    <xf borderId="5" fillId="4" fontId="26" numFmtId="0" xfId="0" applyAlignment="1" applyBorder="1" applyFont="1">
      <alignment readingOrder="0" shrinkToFit="0" vertical="center" wrapText="1"/>
    </xf>
    <xf borderId="0" fillId="4" fontId="27" numFmtId="0" xfId="0" applyAlignment="1" applyFont="1">
      <alignment readingOrder="0" vertical="center"/>
    </xf>
    <xf borderId="0" fillId="2" fontId="6" numFmtId="0" xfId="0" applyAlignment="1" applyFont="1">
      <alignment horizontal="center" readingOrder="0" shrinkToFit="0" vertical="center" wrapText="1"/>
    </xf>
    <xf borderId="5" fillId="4" fontId="9" numFmtId="165" xfId="0" applyAlignment="1" applyBorder="1" applyFont="1" applyNumberFormat="1">
      <alignment horizontal="center" readingOrder="0" shrinkToFit="0" vertical="center" wrapText="1"/>
    </xf>
    <xf borderId="2" fillId="8" fontId="25" numFmtId="0" xfId="0" applyAlignment="1" applyBorder="1" applyFill="1" applyFont="1">
      <alignment readingOrder="0" shrinkToFit="0" vertical="center" wrapText="1"/>
    </xf>
    <xf borderId="5" fillId="8" fontId="28" numFmtId="0" xfId="0" applyAlignment="1" applyBorder="1" applyFont="1">
      <alignment readingOrder="0" shrinkToFit="0" vertical="center" wrapText="1"/>
    </xf>
    <xf borderId="5" fillId="8" fontId="9" numFmtId="0" xfId="0" applyAlignment="1" applyBorder="1" applyFont="1">
      <alignment readingOrder="0" shrinkToFit="0" vertical="center" wrapText="1"/>
    </xf>
    <xf borderId="5" fillId="8" fontId="9" numFmtId="165" xfId="0" applyAlignment="1" applyBorder="1" applyFont="1" applyNumberFormat="1">
      <alignment horizontal="center" readingOrder="0" shrinkToFit="0" vertical="center" wrapText="1"/>
    </xf>
    <xf borderId="5" fillId="4" fontId="9" numFmtId="0" xfId="0" applyAlignment="1" applyBorder="1" applyFont="1">
      <alignment horizontal="center" readingOrder="0" shrinkToFit="0" vertical="center" wrapText="1"/>
    </xf>
    <xf borderId="5" fillId="4" fontId="9" numFmtId="165" xfId="0" applyAlignment="1" applyBorder="1" applyFont="1" applyNumberFormat="1">
      <alignment horizontal="center" readingOrder="0" shrinkToFit="0" vertical="center" wrapText="1"/>
    </xf>
    <xf borderId="0" fillId="8" fontId="25" numFmtId="0" xfId="0" applyAlignment="1" applyFont="1">
      <alignment readingOrder="0" shrinkToFit="0" vertical="center" wrapText="1"/>
    </xf>
    <xf borderId="5" fillId="8" fontId="9" numFmtId="0" xfId="0" applyAlignment="1" applyBorder="1" applyFont="1">
      <alignment readingOrder="0" shrinkToFit="0" vertical="center" wrapText="1"/>
    </xf>
    <xf borderId="0" fillId="8" fontId="9" numFmtId="0" xfId="0" applyAlignment="1" applyFont="1">
      <alignment horizontal="left" readingOrder="0" shrinkToFit="0" vertical="center" wrapText="1"/>
    </xf>
    <xf borderId="0" fillId="8" fontId="9" numFmtId="165" xfId="0" applyAlignment="1" applyFont="1" applyNumberFormat="1">
      <alignment horizontal="center" readingOrder="0" shrinkToFit="0" vertical="center" wrapText="1"/>
    </xf>
    <xf borderId="0" fillId="8" fontId="9" numFmtId="0" xfId="0" applyAlignment="1" applyFont="1">
      <alignment readingOrder="0" shrinkToFit="0" vertical="center" wrapText="1"/>
    </xf>
    <xf borderId="2" fillId="7" fontId="10" numFmtId="0" xfId="0" applyAlignment="1" applyBorder="1" applyFont="1">
      <alignment readingOrder="0" shrinkToFit="0" vertical="center" wrapText="1"/>
    </xf>
    <xf borderId="2" fillId="7" fontId="16" numFmtId="0" xfId="0" applyAlignment="1" applyBorder="1" applyFont="1">
      <alignment readingOrder="0" shrinkToFit="0" vertical="center" wrapText="1"/>
    </xf>
    <xf borderId="5" fillId="7" fontId="8" numFmtId="0" xfId="0" applyAlignment="1" applyBorder="1" applyFont="1">
      <alignment readingOrder="0" shrinkToFit="0" vertical="center" wrapText="1"/>
    </xf>
    <xf borderId="3" fillId="4" fontId="9" numFmtId="3" xfId="0" applyAlignment="1" applyBorder="1" applyFont="1" applyNumberFormat="1">
      <alignment shrinkToFit="0" vertical="center" wrapText="1"/>
    </xf>
    <xf borderId="3" fillId="7" fontId="9" numFmtId="3" xfId="0" applyAlignment="1" applyBorder="1" applyFont="1" applyNumberFormat="1">
      <alignment shrinkToFit="0" vertical="center" wrapText="1"/>
    </xf>
    <xf borderId="7" fillId="7" fontId="8" numFmtId="0" xfId="0" applyAlignment="1" applyBorder="1" applyFont="1">
      <alignment readingOrder="0" shrinkToFit="0" vertical="center" wrapText="1"/>
    </xf>
    <xf borderId="3" fillId="4" fontId="9" numFmtId="3" xfId="0" applyAlignment="1" applyBorder="1" applyFont="1" applyNumberFormat="1">
      <alignment readingOrder="0" shrinkToFit="0" vertical="center" wrapText="1"/>
    </xf>
    <xf borderId="0" fillId="4" fontId="10" numFmtId="0" xfId="0" applyAlignment="1" applyFont="1">
      <alignment readingOrder="0" shrinkToFit="0" vertical="center" wrapText="1"/>
    </xf>
    <xf borderId="0" fillId="4" fontId="9" numFmtId="3" xfId="0" applyAlignment="1" applyFont="1" applyNumberFormat="1">
      <alignment readingOrder="0" shrinkToFit="0" vertical="center" wrapText="1"/>
    </xf>
    <xf borderId="0" fillId="7" fontId="10" numFmtId="0" xfId="0" applyAlignment="1" applyFont="1">
      <alignment readingOrder="0" shrinkToFit="0" vertical="center" wrapText="1"/>
    </xf>
    <xf borderId="0" fillId="7" fontId="9" numFmtId="3" xfId="0" applyAlignment="1" applyFont="1" applyNumberFormat="1">
      <alignment readingOrder="0" shrinkToFit="0" vertical="center" wrapText="1"/>
    </xf>
    <xf borderId="0" fillId="7" fontId="8" numFmtId="0" xfId="0" applyAlignment="1" applyFont="1">
      <alignment readingOrder="0" shrinkToFit="0" vertical="center" wrapText="1"/>
    </xf>
    <xf borderId="2" fillId="4" fontId="29" numFmtId="0" xfId="0" applyAlignment="1" applyBorder="1" applyFont="1">
      <alignment horizontal="center" readingOrder="0" vertical="center"/>
    </xf>
    <xf borderId="2" fillId="5" fontId="16" numFmtId="0" xfId="0" applyAlignment="1" applyBorder="1" applyFont="1">
      <alignment readingOrder="0" shrinkToFit="0" vertical="center" wrapText="1"/>
    </xf>
    <xf borderId="5" fillId="5" fontId="8" numFmtId="0" xfId="0" applyAlignment="1" applyBorder="1" applyFont="1">
      <alignment readingOrder="0" shrinkToFit="0" vertical="center" wrapText="1"/>
    </xf>
    <xf borderId="5" fillId="5" fontId="8" numFmtId="0" xfId="0" applyAlignment="1" applyBorder="1" applyFont="1">
      <alignment horizontal="center" readingOrder="0" vertical="center"/>
    </xf>
    <xf borderId="5" fillId="4" fontId="30" numFmtId="0" xfId="0" applyAlignment="1" applyBorder="1" applyFont="1">
      <alignment horizontal="center" readingOrder="0" vertical="center"/>
    </xf>
    <xf borderId="2" fillId="9" fontId="16" numFmtId="0" xfId="0" applyAlignment="1" applyBorder="1" applyFill="1" applyFont="1">
      <alignment readingOrder="0" shrinkToFit="0" vertical="center" wrapText="1"/>
    </xf>
    <xf borderId="5" fillId="9" fontId="8" numFmtId="0" xfId="0" applyAlignment="1" applyBorder="1" applyFont="1">
      <alignment readingOrder="0" shrinkToFit="0" vertical="center" wrapText="1"/>
    </xf>
    <xf borderId="5" fillId="9" fontId="8" numFmtId="0" xfId="0" applyAlignment="1" applyBorder="1" applyFont="1">
      <alignment horizontal="center" readingOrder="0" vertical="center"/>
    </xf>
    <xf borderId="5" fillId="4" fontId="8" numFmtId="0" xfId="0" applyAlignment="1" applyBorder="1" applyFont="1">
      <alignment horizontal="center" readingOrder="0" vertical="center"/>
    </xf>
    <xf borderId="3" fillId="4" fontId="31" numFmtId="0" xfId="0" applyAlignment="1" applyBorder="1" applyFont="1">
      <alignment horizontal="center" readingOrder="0" vertical="center"/>
    </xf>
    <xf borderId="7" fillId="4" fontId="8" numFmtId="0" xfId="0" applyAlignment="1" applyBorder="1" applyFont="1">
      <alignment horizontal="center" readingOrder="0" vertical="center"/>
    </xf>
    <xf borderId="7" fillId="9" fontId="16" numFmtId="0" xfId="0" applyAlignment="1" applyBorder="1" applyFont="1">
      <alignment readingOrder="0" shrinkToFit="0" vertical="center" wrapText="1"/>
    </xf>
    <xf borderId="7" fillId="9" fontId="8" numFmtId="0" xfId="0" applyAlignment="1" applyBorder="1" applyFont="1">
      <alignment readingOrder="0" shrinkToFit="0" vertical="center" wrapText="1"/>
    </xf>
    <xf borderId="7" fillId="9" fontId="32" numFmtId="0" xfId="0" applyAlignment="1" applyBorder="1" applyFont="1">
      <alignment readingOrder="0" shrinkToFit="0" vertical="center" wrapText="1"/>
    </xf>
    <xf borderId="7" fillId="9" fontId="8" numFmtId="0" xfId="0" applyAlignment="1" applyBorder="1" applyFont="1">
      <alignment horizontal="center" readingOrder="0" vertical="center"/>
    </xf>
    <xf borderId="3" fillId="9" fontId="33" numFmtId="0" xfId="0" applyAlignment="1" applyBorder="1" applyFont="1">
      <alignment readingOrder="0" shrinkToFit="0" vertical="center" wrapText="1"/>
    </xf>
    <xf borderId="3" fillId="9" fontId="8" numFmtId="0" xfId="0" applyAlignment="1" applyBorder="1" applyFont="1">
      <alignment readingOrder="0" shrinkToFit="0" vertical="center" wrapText="1"/>
    </xf>
    <xf borderId="3" fillId="9" fontId="8" numFmtId="0" xfId="0" applyAlignment="1" applyBorder="1" applyFont="1">
      <alignment horizontal="center" readingOrder="0" vertical="center"/>
    </xf>
    <xf borderId="3" fillId="4" fontId="8" numFmtId="0" xfId="0" applyAlignment="1" applyBorder="1" applyFont="1">
      <alignment horizontal="center" readingOrder="0" vertical="center"/>
    </xf>
    <xf borderId="3" fillId="4" fontId="9" numFmtId="3" xfId="0" applyAlignment="1" applyBorder="1" applyFont="1" applyNumberFormat="1">
      <alignment horizontal="center" readingOrder="0" shrinkToFit="0" vertical="center" wrapText="1"/>
    </xf>
    <xf borderId="3" fillId="4" fontId="9" numFmtId="0" xfId="0" applyAlignment="1" applyBorder="1" applyFont="1">
      <alignment horizontal="center" shrinkToFit="0" vertical="center" wrapText="1"/>
    </xf>
    <xf borderId="3" fillId="4" fontId="9" numFmtId="0" xfId="0" applyAlignment="1" applyBorder="1" applyFont="1">
      <alignment shrinkToFit="0" vertical="center" wrapText="1"/>
    </xf>
    <xf borderId="7" fillId="4" fontId="23" numFmtId="0" xfId="0" applyAlignment="1" applyBorder="1" applyFont="1">
      <alignment readingOrder="0" shrinkToFit="0" vertical="center" wrapText="1"/>
    </xf>
    <xf borderId="7" fillId="4" fontId="9" numFmtId="0" xfId="0" applyAlignment="1" applyBorder="1" applyFont="1">
      <alignment horizontal="center" readingOrder="0" vertical="center"/>
    </xf>
    <xf borderId="7" fillId="4" fontId="34" numFmtId="0" xfId="0" applyAlignment="1" applyBorder="1" applyFont="1">
      <alignment horizontal="center" readingOrder="0" vertical="center"/>
    </xf>
    <xf borderId="7" fillId="4" fontId="8" numFmtId="0" xfId="0" applyAlignment="1" applyBorder="1" applyFont="1">
      <alignment horizontal="center"/>
    </xf>
    <xf borderId="7" fillId="4" fontId="9" numFmtId="1" xfId="0" applyAlignment="1" applyBorder="1" applyFont="1" applyNumberFormat="1">
      <alignment readingOrder="0" shrinkToFit="0" vertical="center" wrapText="1"/>
    </xf>
    <xf borderId="10" fillId="4" fontId="23" numFmtId="0" xfId="0" applyAlignment="1" applyBorder="1" applyFont="1">
      <alignment readingOrder="0" shrinkToFit="0" vertical="center" wrapText="1"/>
    </xf>
    <xf borderId="10" fillId="4" fontId="8" numFmtId="0" xfId="0" applyAlignment="1" applyBorder="1" applyFont="1">
      <alignment readingOrder="0" shrinkToFit="0" vertical="center" wrapText="1"/>
    </xf>
    <xf borderId="10" fillId="4" fontId="8" numFmtId="0" xfId="0" applyAlignment="1" applyBorder="1" applyFont="1">
      <alignment horizontal="center" readingOrder="0" vertical="center"/>
    </xf>
    <xf borderId="10" fillId="4" fontId="8" numFmtId="0" xfId="0" applyAlignment="1" applyBorder="1" applyFont="1">
      <alignment horizontal="center"/>
    </xf>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209550</xdr:colOff>
      <xdr:row>0</xdr:row>
      <xdr:rowOff>142875</xdr:rowOff>
    </xdr:from>
    <xdr:ext cx="1952625" cy="3333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209550</xdr:colOff>
      <xdr:row>0</xdr:row>
      <xdr:rowOff>142875</xdr:rowOff>
    </xdr:from>
    <xdr:ext cx="1952625" cy="3333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209550</xdr:colOff>
      <xdr:row>0</xdr:row>
      <xdr:rowOff>142875</xdr:rowOff>
    </xdr:from>
    <xdr:ext cx="1952625" cy="3333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209550</xdr:colOff>
      <xdr:row>0</xdr:row>
      <xdr:rowOff>142875</xdr:rowOff>
    </xdr:from>
    <xdr:ext cx="1952625" cy="3333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209550</xdr:colOff>
      <xdr:row>0</xdr:row>
      <xdr:rowOff>142875</xdr:rowOff>
    </xdr:from>
    <xdr:ext cx="1952625" cy="3333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209550</xdr:colOff>
      <xdr:row>0</xdr:row>
      <xdr:rowOff>142875</xdr:rowOff>
    </xdr:from>
    <xdr:ext cx="1952625" cy="3333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app.clickup.com/t/86b31mxj3" TargetMode="External"/><Relationship Id="rId11" Type="http://schemas.openxmlformats.org/officeDocument/2006/relationships/hyperlink" Target="https://app.clickup.com/t/86b455pbj" TargetMode="External"/><Relationship Id="rId22" Type="http://schemas.openxmlformats.org/officeDocument/2006/relationships/drawing" Target="../drawings/drawing1.xml"/><Relationship Id="rId10" Type="http://schemas.openxmlformats.org/officeDocument/2006/relationships/hyperlink" Target="https://app.clickup.com/t/86b31mxh8" TargetMode="External"/><Relationship Id="rId21" Type="http://schemas.openxmlformats.org/officeDocument/2006/relationships/hyperlink" Target="https://app.clickup.com/t/86b31mxj7" TargetMode="External"/><Relationship Id="rId13" Type="http://schemas.openxmlformats.org/officeDocument/2006/relationships/hyperlink" Target="https://ecosystem.hubspot.com/marketplace/apps/swoogo" TargetMode="External"/><Relationship Id="rId12" Type="http://schemas.openxmlformats.org/officeDocument/2006/relationships/hyperlink" Target="https://app.clickup.com/t/86b5nq4am" TargetMode="External"/><Relationship Id="rId1" Type="http://schemas.openxmlformats.org/officeDocument/2006/relationships/hyperlink" Target="https://drive.google.com/file/d/1gXMOplPlmBGwDaAMqo6guDIDef0U53Gb/view?usp=drive_link" TargetMode="External"/><Relationship Id="rId2" Type="http://schemas.openxmlformats.org/officeDocument/2006/relationships/hyperlink" Target="https://app.clickup.com/t/86b31mxgd" TargetMode="External"/><Relationship Id="rId3" Type="http://schemas.openxmlformats.org/officeDocument/2006/relationships/hyperlink" Target="https://app.clickup.com/t/86b31mxgh" TargetMode="External"/><Relationship Id="rId4" Type="http://schemas.openxmlformats.org/officeDocument/2006/relationships/hyperlink" Target="https://drive.google.com/file/d/1o2Xw5Xz9MFhOJ6d9b2WKtjN_A1hM029N/view?usp=drive_link" TargetMode="External"/><Relationship Id="rId9" Type="http://schemas.openxmlformats.org/officeDocument/2006/relationships/hyperlink" Target="https://drive.google.com/file/d/1i5cwEZYBMT4ljK1Hh8HzBIT89bvyarfg/view?usp=drive_link" TargetMode="External"/><Relationship Id="rId15" Type="http://schemas.openxmlformats.org/officeDocument/2006/relationships/hyperlink" Target="http://monday.com/" TargetMode="External"/><Relationship Id="rId14" Type="http://schemas.openxmlformats.org/officeDocument/2006/relationships/hyperlink" Target="http://monday.com/" TargetMode="External"/><Relationship Id="rId17" Type="http://schemas.openxmlformats.org/officeDocument/2006/relationships/hyperlink" Target="https://drive.google.com/file/d/1JVBwOBx4BaxeqFJNg0FHVBXgB6H3v24Y/view?usp=sharing" TargetMode="External"/><Relationship Id="rId16" Type="http://schemas.openxmlformats.org/officeDocument/2006/relationships/hyperlink" Target="https://drive.google.com/file/d/1aGa9lga_4lt_oZnvuCewvHaP2N85gF2q/view?usp=sharing" TargetMode="External"/><Relationship Id="rId5" Type="http://schemas.openxmlformats.org/officeDocument/2006/relationships/hyperlink" Target="https://app.clickup.com/t/86b31mxgp" TargetMode="External"/><Relationship Id="rId19" Type="http://schemas.openxmlformats.org/officeDocument/2006/relationships/hyperlink" Target="https://app.clickup.com/t/86b31mxhz" TargetMode="External"/><Relationship Id="rId6" Type="http://schemas.openxmlformats.org/officeDocument/2006/relationships/hyperlink" Target="https://app.clickup.com/t/86b31mxgw" TargetMode="External"/><Relationship Id="rId18" Type="http://schemas.openxmlformats.org/officeDocument/2006/relationships/hyperlink" Target="https://drive.google.com/file/d/17wqfujWYJfuQ6HOYXiTg__6eMbY6kzdz/view?usp=drive_link" TargetMode="External"/><Relationship Id="rId7" Type="http://schemas.openxmlformats.org/officeDocument/2006/relationships/hyperlink" Target="https://drive.google.com/file/d/18NaeeWdCURumMGo5ArRiaam08a7av66A/view?usp=drive_link" TargetMode="External"/><Relationship Id="rId8" Type="http://schemas.openxmlformats.org/officeDocument/2006/relationships/hyperlink" Target="https://app.clickup.com/t/86b31mxh2"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app.hubspot.com/contacts/48213079/objects/2-48561040/views/52592587/list" TargetMode="External"/><Relationship Id="rId2" Type="http://schemas.openxmlformats.org/officeDocument/2006/relationships/hyperlink" Target="https://docs.google.com/spreadsheets/d/1uuBT5YvY_JmyaXdMpBDdsmhqGgqkkcR9CAKMGAV155o/edit?gid=791898851" TargetMode="External"/><Relationship Id="rId3" Type="http://schemas.openxmlformats.org/officeDocument/2006/relationships/hyperlink" Target="https://docs.google.com/spreadsheets/d/1X_aGCx8B2TDcDgbOAmvUO0NGZthCUqbtFOMr3a7GQ1M/edit?usp=sharing" TargetMode="External"/><Relationship Id="rId4" Type="http://schemas.openxmlformats.org/officeDocument/2006/relationships/hyperlink" Target="https://app.hubspot.com/contacts/48213079/record/0-2/39299068297" TargetMode="External"/><Relationship Id="rId5"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app.hubspot.com/contacts/48213079/objects/2-48561040/views/52592587/list" TargetMode="External"/><Relationship Id="rId3" Type="http://schemas.openxmlformats.org/officeDocument/2006/relationships/hyperlink" Target="https://docs.google.com/spreadsheets/d/1uuBT5YvY_JmyaXdMpBDdsmhqGgqkkcR9CAKMGAV155o/edit?gid=791898851" TargetMode="External"/><Relationship Id="rId4" Type="http://schemas.openxmlformats.org/officeDocument/2006/relationships/hyperlink" Target="https://docs.google.com/spreadsheets/d/1X_aGCx8B2TDcDgbOAmvUO0NGZthCUqbtFOMr3a7GQ1M/edit?usp=sharing" TargetMode="External"/><Relationship Id="rId5" Type="http://schemas.openxmlformats.org/officeDocument/2006/relationships/hyperlink" Target="https://app.hubspot.com/contacts/48213079/record/0-2/39299068297" TargetMode="External"/><Relationship Id="rId6" Type="http://schemas.openxmlformats.org/officeDocument/2006/relationships/drawing" Target="../drawings/drawing3.xml"/><Relationship Id="rId7"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hyperlink" Target="https://app.clickup.com/t/86b789ttv"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1" Type="http://schemas.openxmlformats.org/officeDocument/2006/relationships/drawing" Target="../drawings/drawing6.xml"/><Relationship Id="rId10" Type="http://schemas.openxmlformats.org/officeDocument/2006/relationships/hyperlink" Target="https://drive.google.com/file/d/17wqfujWYJfuQ6HOYXiTg__6eMbY6kzdz/view?usp=drive_link" TargetMode="External"/><Relationship Id="rId1" Type="http://schemas.openxmlformats.org/officeDocument/2006/relationships/hyperlink" Target="https://drive.google.com/file/d/1gXMOplPlmBGwDaAMqo6guDIDef0U53Gb/view?usp=drive_link" TargetMode="External"/><Relationship Id="rId2" Type="http://schemas.openxmlformats.org/officeDocument/2006/relationships/hyperlink" Target="https://drive.google.com/file/d/1o2Xw5Xz9MFhOJ6d9b2WKtjN_A1hM029N/view?usp=drive_link" TargetMode="External"/><Relationship Id="rId3" Type="http://schemas.openxmlformats.org/officeDocument/2006/relationships/hyperlink" Target="https://drive.google.com/file/d/18NaeeWdCURumMGo5ArRiaam08a7av66A/view?usp=drive_link" TargetMode="External"/><Relationship Id="rId4" Type="http://schemas.openxmlformats.org/officeDocument/2006/relationships/hyperlink" Target="https://drive.google.com/file/d/1i5cwEZYBMT4ljK1Hh8HzBIT89bvyarfg/view?usp=drive_link" TargetMode="External"/><Relationship Id="rId9" Type="http://schemas.openxmlformats.org/officeDocument/2006/relationships/hyperlink" Target="https://drive.google.com/file/d/1JVBwOBx4BaxeqFJNg0FHVBXgB6H3v24Y/view?usp=sharing" TargetMode="External"/><Relationship Id="rId5" Type="http://schemas.openxmlformats.org/officeDocument/2006/relationships/hyperlink" Target="https://ecosystem.hubspot.com/marketplace/apps/swoogo" TargetMode="External"/><Relationship Id="rId6" Type="http://schemas.openxmlformats.org/officeDocument/2006/relationships/hyperlink" Target="http://monday.com/" TargetMode="External"/><Relationship Id="rId7" Type="http://schemas.openxmlformats.org/officeDocument/2006/relationships/hyperlink" Target="http://monday.com/" TargetMode="External"/><Relationship Id="rId8" Type="http://schemas.openxmlformats.org/officeDocument/2006/relationships/hyperlink" Target="https://drive.google.com/file/d/1aGa9lga_4lt_oZnvuCewvHaP2N85gF2q/view?usp=sharing"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32.13"/>
    <col customWidth="1" min="2" max="2" width="44.75"/>
    <col customWidth="1" min="3" max="3" width="41.88"/>
    <col customWidth="1" min="4" max="4" width="48.25"/>
    <col customWidth="1" min="5" max="5" width="16.25"/>
    <col customWidth="1" min="6" max="6" width="17.75"/>
    <col customWidth="1" min="7" max="7" width="42.38"/>
    <col customWidth="1" min="8" max="8" width="28.13"/>
    <col customWidth="1" min="9" max="9" width="64.25"/>
  </cols>
  <sheetData>
    <row r="1" ht="50.25" customHeight="1">
      <c r="A1" s="1"/>
      <c r="B1" s="2" t="s">
        <v>0</v>
      </c>
      <c r="D1" s="3"/>
      <c r="E1" s="4"/>
      <c r="F1" s="4"/>
      <c r="G1" s="4"/>
      <c r="H1" s="4"/>
      <c r="I1" s="5"/>
    </row>
    <row r="2" ht="15.75" customHeight="1">
      <c r="A2" s="6"/>
      <c r="B2" s="6"/>
      <c r="C2" s="1"/>
      <c r="D2" s="3"/>
      <c r="E2" s="4"/>
      <c r="F2" s="4"/>
      <c r="G2" s="4"/>
      <c r="H2" s="4"/>
      <c r="I2" s="5"/>
    </row>
    <row r="3" ht="11.25" customHeight="1">
      <c r="A3" s="7"/>
      <c r="B3" s="7"/>
      <c r="C3" s="8"/>
      <c r="D3" s="8"/>
      <c r="E3" s="9"/>
      <c r="F3" s="9"/>
      <c r="G3" s="9"/>
      <c r="H3" s="9"/>
      <c r="I3" s="10"/>
    </row>
    <row r="4" ht="70.5" customHeight="1">
      <c r="A4" s="11" t="s">
        <v>1</v>
      </c>
      <c r="B4" s="11"/>
      <c r="C4" s="12"/>
      <c r="D4" s="12"/>
      <c r="E4" s="13" t="s">
        <v>2</v>
      </c>
      <c r="F4" s="13" t="s">
        <v>3</v>
      </c>
      <c r="G4" s="13" t="s">
        <v>4</v>
      </c>
      <c r="H4" s="14"/>
      <c r="I4" s="13"/>
    </row>
    <row r="5" ht="96.0" customHeight="1">
      <c r="A5" s="15" t="s">
        <v>5</v>
      </c>
      <c r="D5" s="16"/>
      <c r="E5" s="17">
        <f>SUM(E7:E25)</f>
        <v>215</v>
      </c>
      <c r="F5" s="18">
        <f>E5*225</f>
        <v>48375</v>
      </c>
      <c r="G5" s="19">
        <f>F5+6000</f>
        <v>54375</v>
      </c>
      <c r="H5" s="20" t="s">
        <v>6</v>
      </c>
    </row>
    <row r="6" ht="44.25" customHeight="1">
      <c r="A6" s="21" t="s">
        <v>7</v>
      </c>
      <c r="B6" s="21" t="s">
        <v>8</v>
      </c>
      <c r="C6" s="21" t="s">
        <v>9</v>
      </c>
      <c r="D6" s="21" t="s">
        <v>10</v>
      </c>
      <c r="E6" s="21" t="s">
        <v>11</v>
      </c>
      <c r="F6" s="21" t="s">
        <v>12</v>
      </c>
      <c r="G6" s="21" t="s">
        <v>13</v>
      </c>
      <c r="H6" s="22" t="s">
        <v>14</v>
      </c>
      <c r="I6" s="23" t="s">
        <v>15</v>
      </c>
    </row>
    <row r="7" ht="180.0" customHeight="1">
      <c r="A7" s="24" t="s">
        <v>16</v>
      </c>
      <c r="B7" s="25" t="s">
        <v>17</v>
      </c>
      <c r="C7" s="25" t="s">
        <v>18</v>
      </c>
      <c r="D7" s="25" t="s">
        <v>19</v>
      </c>
      <c r="E7" s="26">
        <v>10.0</v>
      </c>
      <c r="F7" s="27" t="s">
        <v>20</v>
      </c>
      <c r="G7" s="28" t="s">
        <v>21</v>
      </c>
      <c r="H7" s="29">
        <v>1.0</v>
      </c>
      <c r="I7" s="30" t="s">
        <v>22</v>
      </c>
    </row>
    <row r="8" ht="99.0" customHeight="1">
      <c r="A8" s="31" t="s">
        <v>23</v>
      </c>
      <c r="B8" s="32" t="s">
        <v>24</v>
      </c>
      <c r="C8" s="32" t="s">
        <v>25</v>
      </c>
      <c r="D8" s="32" t="s">
        <v>26</v>
      </c>
      <c r="E8" s="33">
        <v>12.0</v>
      </c>
      <c r="F8" s="34" t="s">
        <v>20</v>
      </c>
      <c r="G8" s="35"/>
      <c r="H8" s="36">
        <v>1.0</v>
      </c>
      <c r="I8" s="37" t="s">
        <v>27</v>
      </c>
    </row>
    <row r="9" ht="75.75" customHeight="1">
      <c r="A9" s="38" t="s">
        <v>28</v>
      </c>
      <c r="B9" s="39" t="s">
        <v>29</v>
      </c>
      <c r="C9" s="39" t="s">
        <v>30</v>
      </c>
      <c r="D9" s="39" t="s">
        <v>31</v>
      </c>
      <c r="E9" s="26">
        <v>7.0</v>
      </c>
      <c r="F9" s="27" t="s">
        <v>20</v>
      </c>
      <c r="G9" s="28" t="s">
        <v>32</v>
      </c>
      <c r="H9" s="29">
        <v>1.0</v>
      </c>
      <c r="I9" s="30" t="s">
        <v>33</v>
      </c>
    </row>
    <row r="10" ht="117.75" customHeight="1">
      <c r="A10" s="31" t="s">
        <v>34</v>
      </c>
      <c r="B10" s="32" t="s">
        <v>35</v>
      </c>
      <c r="C10" s="32" t="s">
        <v>36</v>
      </c>
      <c r="D10" s="32" t="s">
        <v>37</v>
      </c>
      <c r="E10" s="33">
        <v>10.0</v>
      </c>
      <c r="F10" s="34" t="s">
        <v>20</v>
      </c>
      <c r="G10" s="35"/>
      <c r="H10" s="36">
        <v>0.7</v>
      </c>
      <c r="I10" s="37" t="s">
        <v>38</v>
      </c>
    </row>
    <row r="11" ht="129.0" customHeight="1">
      <c r="A11" s="40" t="s">
        <v>39</v>
      </c>
      <c r="B11" s="41" t="s">
        <v>40</v>
      </c>
      <c r="C11" s="41" t="s">
        <v>41</v>
      </c>
      <c r="D11" s="41" t="s">
        <v>42</v>
      </c>
      <c r="E11" s="42">
        <v>10.0</v>
      </c>
      <c r="F11" s="42" t="s">
        <v>20</v>
      </c>
      <c r="G11" s="43" t="s">
        <v>43</v>
      </c>
      <c r="H11" s="29">
        <v>1.0</v>
      </c>
      <c r="I11" s="30" t="s">
        <v>44</v>
      </c>
    </row>
    <row r="12" ht="180.0" customHeight="1">
      <c r="A12" s="44" t="s">
        <v>45</v>
      </c>
      <c r="B12" s="45" t="s">
        <v>46</v>
      </c>
      <c r="C12" s="45" t="s">
        <v>47</v>
      </c>
      <c r="D12" s="45" t="s">
        <v>48</v>
      </c>
      <c r="E12" s="46">
        <v>40.0</v>
      </c>
      <c r="F12" s="46" t="s">
        <v>20</v>
      </c>
      <c r="G12" s="47" t="s">
        <v>49</v>
      </c>
      <c r="H12" s="36">
        <v>0.5</v>
      </c>
      <c r="I12" s="37" t="s">
        <v>50</v>
      </c>
    </row>
    <row r="13" ht="143.25" customHeight="1">
      <c r="A13" s="48" t="s">
        <v>51</v>
      </c>
      <c r="B13" s="49" t="s">
        <v>52</v>
      </c>
      <c r="C13" s="49" t="s">
        <v>53</v>
      </c>
      <c r="D13" s="49" t="s">
        <v>54</v>
      </c>
      <c r="E13" s="50">
        <v>12.0</v>
      </c>
      <c r="F13" s="50" t="s">
        <v>20</v>
      </c>
      <c r="G13" s="51"/>
      <c r="H13" s="29">
        <v>1.0</v>
      </c>
      <c r="I13" s="30" t="s">
        <v>55</v>
      </c>
    </row>
    <row r="14" ht="173.25" customHeight="1">
      <c r="A14" s="52" t="s">
        <v>56</v>
      </c>
      <c r="B14" s="53" t="s">
        <v>57</v>
      </c>
      <c r="C14" s="54" t="s">
        <v>58</v>
      </c>
      <c r="D14" s="54" t="s">
        <v>59</v>
      </c>
      <c r="E14" s="55">
        <v>25.0</v>
      </c>
      <c r="F14" s="56" t="s">
        <v>20</v>
      </c>
      <c r="G14" s="57"/>
      <c r="H14" s="58">
        <v>1.0</v>
      </c>
      <c r="I14" s="59" t="s">
        <v>60</v>
      </c>
    </row>
    <row r="15" ht="123.0" hidden="1" customHeight="1">
      <c r="A15" s="40" t="s">
        <v>61</v>
      </c>
      <c r="B15" s="41" t="s">
        <v>62</v>
      </c>
      <c r="C15" s="41" t="s">
        <v>63</v>
      </c>
      <c r="D15" s="41" t="s">
        <v>64</v>
      </c>
      <c r="E15" s="42">
        <v>0.0</v>
      </c>
      <c r="F15" s="42" t="s">
        <v>20</v>
      </c>
      <c r="G15" s="60"/>
      <c r="H15" s="61"/>
      <c r="I15" s="62"/>
    </row>
    <row r="16" ht="111.0" hidden="1" customHeight="1">
      <c r="A16" s="44" t="s">
        <v>65</v>
      </c>
      <c r="B16" s="63" t="s">
        <v>66</v>
      </c>
      <c r="C16" s="64" t="s">
        <v>67</v>
      </c>
      <c r="D16" s="63" t="s">
        <v>68</v>
      </c>
      <c r="E16" s="65">
        <v>0.0</v>
      </c>
      <c r="F16" s="65" t="s">
        <v>20</v>
      </c>
      <c r="G16" s="66"/>
      <c r="H16" s="67"/>
      <c r="I16" s="68"/>
    </row>
    <row r="17" ht="79.5" hidden="1" customHeight="1">
      <c r="A17" s="48" t="s">
        <v>69</v>
      </c>
      <c r="B17" s="69" t="s">
        <v>70</v>
      </c>
      <c r="C17" s="70" t="s">
        <v>71</v>
      </c>
      <c r="D17" s="69" t="s">
        <v>72</v>
      </c>
      <c r="E17" s="71">
        <v>0.0</v>
      </c>
      <c r="F17" s="71" t="s">
        <v>20</v>
      </c>
      <c r="G17" s="72"/>
      <c r="H17" s="61"/>
      <c r="I17" s="62"/>
    </row>
    <row r="18" ht="79.5" hidden="1" customHeight="1">
      <c r="A18" s="44" t="s">
        <v>73</v>
      </c>
      <c r="B18" s="45" t="s">
        <v>74</v>
      </c>
      <c r="C18" s="45" t="s">
        <v>71</v>
      </c>
      <c r="D18" s="45" t="s">
        <v>75</v>
      </c>
      <c r="E18" s="46">
        <v>0.0</v>
      </c>
      <c r="F18" s="46" t="s">
        <v>20</v>
      </c>
      <c r="G18" s="47" t="s">
        <v>76</v>
      </c>
      <c r="H18" s="67"/>
      <c r="I18" s="68"/>
    </row>
    <row r="19" ht="90.0" hidden="1" customHeight="1">
      <c r="A19" s="48" t="s">
        <v>77</v>
      </c>
      <c r="B19" s="70" t="s">
        <v>78</v>
      </c>
      <c r="C19" s="70" t="s">
        <v>71</v>
      </c>
      <c r="D19" s="70" t="s">
        <v>79</v>
      </c>
      <c r="E19" s="71">
        <v>0.0</v>
      </c>
      <c r="F19" s="71" t="s">
        <v>20</v>
      </c>
      <c r="G19" s="73" t="s">
        <v>80</v>
      </c>
      <c r="H19" s="61"/>
      <c r="I19" s="62"/>
    </row>
    <row r="20" ht="69.0" customHeight="1">
      <c r="A20" s="74" t="s">
        <v>81</v>
      </c>
      <c r="B20" s="63" t="s">
        <v>82</v>
      </c>
      <c r="C20" s="63" t="s">
        <v>83</v>
      </c>
      <c r="D20" s="63" t="s">
        <v>84</v>
      </c>
      <c r="E20" s="65">
        <v>10.0</v>
      </c>
      <c r="F20" s="75" t="s">
        <v>20</v>
      </c>
      <c r="G20" s="76" t="s">
        <v>85</v>
      </c>
      <c r="H20" s="36">
        <v>1.0</v>
      </c>
      <c r="I20" s="77" t="s">
        <v>86</v>
      </c>
    </row>
    <row r="21" ht="135.0" customHeight="1">
      <c r="A21" s="78" t="s">
        <v>87</v>
      </c>
      <c r="B21" s="15" t="s">
        <v>88</v>
      </c>
      <c r="C21" s="49"/>
      <c r="D21" s="15" t="s">
        <v>89</v>
      </c>
      <c r="E21" s="79">
        <v>10.0</v>
      </c>
      <c r="F21" s="50" t="s">
        <v>20</v>
      </c>
      <c r="G21" s="80"/>
      <c r="H21" s="29">
        <v>0.8</v>
      </c>
      <c r="I21" s="30" t="s">
        <v>90</v>
      </c>
    </row>
    <row r="22" ht="135.0" customHeight="1">
      <c r="A22" s="81" t="s">
        <v>91</v>
      </c>
      <c r="B22" s="63" t="s">
        <v>92</v>
      </c>
      <c r="C22" s="63" t="s">
        <v>93</v>
      </c>
      <c r="D22" s="63" t="s">
        <v>94</v>
      </c>
      <c r="E22" s="82">
        <f>CEILING(SUM(E7:E21)*0.1,1)</f>
        <v>15</v>
      </c>
      <c r="F22" s="65" t="s">
        <v>20</v>
      </c>
      <c r="G22" s="83"/>
      <c r="H22" s="36">
        <v>1.0</v>
      </c>
      <c r="I22" s="37" t="s">
        <v>95</v>
      </c>
    </row>
    <row r="23" ht="82.5" customHeight="1">
      <c r="A23" s="84" t="s">
        <v>96</v>
      </c>
      <c r="B23" s="85" t="s">
        <v>97</v>
      </c>
      <c r="C23" s="85"/>
      <c r="D23" s="85" t="s">
        <v>98</v>
      </c>
      <c r="E23" s="86">
        <v>8.0</v>
      </c>
      <c r="F23" s="50" t="s">
        <v>20</v>
      </c>
      <c r="G23" s="80"/>
      <c r="H23" s="29">
        <v>1.0</v>
      </c>
      <c r="I23" s="30" t="s">
        <v>99</v>
      </c>
    </row>
    <row r="24" ht="130.5" customHeight="1">
      <c r="A24" s="52" t="s">
        <v>100</v>
      </c>
      <c r="B24" s="87" t="s">
        <v>101</v>
      </c>
      <c r="C24" s="87" t="s">
        <v>102</v>
      </c>
      <c r="D24" s="88" t="s">
        <v>103</v>
      </c>
      <c r="E24" s="82">
        <f>CEILING(SUM(E7:E23)*0.15,1)</f>
        <v>26</v>
      </c>
      <c r="F24" s="65" t="s">
        <v>20</v>
      </c>
      <c r="G24" s="83"/>
      <c r="H24" s="36">
        <v>1.0</v>
      </c>
      <c r="I24" s="77" t="s">
        <v>104</v>
      </c>
    </row>
    <row r="25" ht="62.25" customHeight="1">
      <c r="A25" s="84" t="s">
        <v>105</v>
      </c>
      <c r="B25" s="85" t="s">
        <v>106</v>
      </c>
      <c r="C25" s="85" t="s">
        <v>107</v>
      </c>
      <c r="D25" s="89"/>
      <c r="E25" s="86">
        <f>CEILING(SUM(E7:E24)*0.1,1)</f>
        <v>20</v>
      </c>
      <c r="F25" s="50" t="s">
        <v>20</v>
      </c>
      <c r="G25" s="80"/>
      <c r="H25" s="29">
        <v>1.0</v>
      </c>
      <c r="I25" s="90" t="s">
        <v>108</v>
      </c>
    </row>
    <row r="26" ht="80.25" customHeight="1">
      <c r="A26" s="91" t="s">
        <v>109</v>
      </c>
      <c r="B26" s="92" t="s">
        <v>110</v>
      </c>
      <c r="C26" s="92"/>
      <c r="D26" s="92"/>
      <c r="E26" s="93">
        <v>30.0</v>
      </c>
      <c r="F26" s="93" t="s">
        <v>111</v>
      </c>
      <c r="G26" s="94"/>
      <c r="H26" s="95" t="s">
        <v>112</v>
      </c>
      <c r="I26" s="96"/>
    </row>
  </sheetData>
  <mergeCells count="3">
    <mergeCell ref="B1:C1"/>
    <mergeCell ref="A5:C5"/>
    <mergeCell ref="H5:I5"/>
  </mergeCells>
  <dataValidations>
    <dataValidation type="list" allowBlank="1" showErrorMessage="1" sqref="F7:F26">
      <formula1>"NOW,NEXT,LATER"</formula1>
    </dataValidation>
  </dataValidations>
  <hyperlinks>
    <hyperlink r:id="rId1" ref="G7"/>
    <hyperlink r:id="rId2" ref="I7"/>
    <hyperlink r:id="rId3" ref="I8"/>
    <hyperlink r:id="rId4" ref="G9"/>
    <hyperlink r:id="rId5" ref="I9"/>
    <hyperlink r:id="rId6" ref="I10"/>
    <hyperlink r:id="rId7" ref="G11"/>
    <hyperlink r:id="rId8" ref="I11"/>
    <hyperlink r:id="rId9" ref="G12"/>
    <hyperlink r:id="rId10" ref="I12"/>
    <hyperlink r:id="rId11" ref="I13"/>
    <hyperlink r:id="rId12" ref="I14"/>
    <hyperlink r:id="rId13" ref="C16"/>
    <hyperlink r:id="rId14" ref="B17"/>
    <hyperlink r:id="rId15" ref="D17"/>
    <hyperlink r:id="rId16" ref="G18"/>
    <hyperlink r:id="rId17" ref="G19"/>
    <hyperlink r:id="rId18" ref="G20"/>
    <hyperlink r:id="rId19" ref="I21"/>
    <hyperlink r:id="rId20" ref="I22"/>
    <hyperlink r:id="rId21" ref="I23"/>
  </hyperlinks>
  <printOptions gridLines="1" horizontalCentered="1"/>
  <pageMargins bottom="0.75" footer="0.0" header="0.0" left="0.7" right="0.7" top="0.75"/>
  <pageSetup fitToHeight="0" cellComments="atEnd" orientation="landscape" pageOrder="overThenDown"/>
  <drawing r:id="rId2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49.13"/>
    <col customWidth="1" min="2" max="2" width="78.13"/>
    <col customWidth="1" min="3" max="3" width="54.75"/>
    <col customWidth="1" min="4" max="4" width="41.88"/>
  </cols>
  <sheetData>
    <row r="1" ht="50.25" customHeight="1">
      <c r="A1" s="1"/>
      <c r="B1" s="2" t="s">
        <v>0</v>
      </c>
    </row>
    <row r="2" ht="15.75" customHeight="1">
      <c r="A2" s="6"/>
      <c r="B2" s="6"/>
      <c r="C2" s="1"/>
      <c r="D2" s="1"/>
    </row>
    <row r="3" ht="11.25" customHeight="1">
      <c r="A3" s="7"/>
      <c r="B3" s="7"/>
      <c r="C3" s="8"/>
      <c r="D3" s="8"/>
    </row>
    <row r="4" ht="42.75" customHeight="1">
      <c r="A4" s="11" t="s">
        <v>113</v>
      </c>
      <c r="C4" s="12"/>
      <c r="D4" s="12"/>
    </row>
    <row r="5" ht="96.0" customHeight="1">
      <c r="A5" s="15" t="s">
        <v>114</v>
      </c>
    </row>
    <row r="6" ht="44.25" customHeight="1">
      <c r="A6" s="21" t="s">
        <v>115</v>
      </c>
      <c r="B6" s="21" t="s">
        <v>116</v>
      </c>
      <c r="C6" s="21" t="s">
        <v>117</v>
      </c>
      <c r="D6" s="21" t="s">
        <v>118</v>
      </c>
    </row>
    <row r="7" ht="98.25" customHeight="1">
      <c r="A7" s="97" t="s">
        <v>119</v>
      </c>
      <c r="B7" s="98" t="s">
        <v>120</v>
      </c>
      <c r="C7" s="39" t="s">
        <v>121</v>
      </c>
      <c r="D7" s="39" t="s">
        <v>122</v>
      </c>
    </row>
    <row r="8" ht="98.25" customHeight="1">
      <c r="A8" s="99" t="s">
        <v>123</v>
      </c>
      <c r="B8" s="100" t="s">
        <v>124</v>
      </c>
      <c r="C8" s="39" t="s">
        <v>125</v>
      </c>
      <c r="D8" s="39" t="s">
        <v>126</v>
      </c>
    </row>
    <row r="9" ht="98.25" customHeight="1">
      <c r="A9" s="101" t="s">
        <v>127</v>
      </c>
      <c r="B9" s="100" t="s">
        <v>128</v>
      </c>
      <c r="C9" s="39" t="s">
        <v>129</v>
      </c>
      <c r="D9" s="39" t="s">
        <v>130</v>
      </c>
    </row>
    <row r="10" ht="201.0" customHeight="1">
      <c r="A10" s="101" t="s">
        <v>131</v>
      </c>
      <c r="B10" s="39" t="s">
        <v>132</v>
      </c>
      <c r="C10" s="39" t="s">
        <v>133</v>
      </c>
      <c r="D10" s="39" t="s">
        <v>126</v>
      </c>
    </row>
    <row r="11" ht="248.25" customHeight="1">
      <c r="A11" s="101" t="s">
        <v>134</v>
      </c>
      <c r="B11" s="100" t="s">
        <v>135</v>
      </c>
      <c r="C11" s="100" t="s">
        <v>136</v>
      </c>
      <c r="D11" s="39" t="s">
        <v>126</v>
      </c>
    </row>
  </sheetData>
  <mergeCells count="3">
    <mergeCell ref="B1:D1"/>
    <mergeCell ref="A4:B4"/>
    <mergeCell ref="A5:D5"/>
  </mergeCells>
  <dataValidations>
    <dataValidation type="list" allowBlank="1" showErrorMessage="1" sqref="D7:D11">
      <formula1>"Pending Emble,Pending A8,Completed"</formula1>
    </dataValidation>
  </dataValidations>
  <hyperlinks>
    <hyperlink r:id="rId1" ref="B8"/>
    <hyperlink r:id="rId2" location="gid=791898851" ref="B9"/>
    <hyperlink r:id="rId3" ref="B11"/>
    <hyperlink r:id="rId4" ref="C11"/>
  </hyperlinks>
  <printOptions gridLines="1" horizontalCentered="1"/>
  <pageMargins bottom="0.75" footer="0.0" header="0.0" left="0.7" right="0.7" top="0.75"/>
  <pageSetup fitToHeight="0" cellComments="atEnd" orientation="landscape" pageOrder="overThenDown"/>
  <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49.13"/>
    <col customWidth="1" min="2" max="2" width="78.13"/>
    <col customWidth="1" min="3" max="3" width="54.75"/>
    <col customWidth="1" min="4" max="4" width="19.13"/>
    <col customWidth="1" min="5" max="5" width="41.88"/>
  </cols>
  <sheetData>
    <row r="1" ht="50.25" customHeight="1">
      <c r="A1" s="1"/>
      <c r="B1" s="2" t="s">
        <v>0</v>
      </c>
    </row>
    <row r="2" ht="15.75" customHeight="1">
      <c r="A2" s="6"/>
      <c r="B2" s="6"/>
      <c r="C2" s="1"/>
      <c r="D2" s="4"/>
      <c r="E2" s="1"/>
    </row>
    <row r="3" ht="11.25" customHeight="1">
      <c r="A3" s="7"/>
      <c r="B3" s="7"/>
      <c r="C3" s="8"/>
      <c r="D3" s="10"/>
      <c r="E3" s="8"/>
    </row>
    <row r="4" ht="42.75" customHeight="1">
      <c r="A4" s="11" t="s">
        <v>113</v>
      </c>
      <c r="C4" s="12"/>
      <c r="D4" s="102"/>
      <c r="E4" s="12"/>
    </row>
    <row r="5" ht="38.25" customHeight="1">
      <c r="A5" s="15" t="s">
        <v>114</v>
      </c>
    </row>
    <row r="6" ht="44.25" customHeight="1">
      <c r="A6" s="21" t="s">
        <v>115</v>
      </c>
      <c r="B6" s="21" t="s">
        <v>116</v>
      </c>
      <c r="C6" s="21" t="s">
        <v>137</v>
      </c>
      <c r="D6" s="21" t="s">
        <v>138</v>
      </c>
      <c r="E6" s="21" t="s">
        <v>118</v>
      </c>
    </row>
    <row r="7" ht="114.0" customHeight="1">
      <c r="A7" s="97" t="s">
        <v>119</v>
      </c>
      <c r="B7" s="98" t="s">
        <v>139</v>
      </c>
      <c r="C7" s="39" t="s">
        <v>140</v>
      </c>
      <c r="D7" s="103">
        <v>45692.0</v>
      </c>
      <c r="E7" s="39" t="s">
        <v>126</v>
      </c>
    </row>
    <row r="8" ht="191.25" customHeight="1">
      <c r="A8" s="104" t="s">
        <v>123</v>
      </c>
      <c r="B8" s="105" t="s">
        <v>141</v>
      </c>
      <c r="C8" s="106" t="s">
        <v>142</v>
      </c>
      <c r="D8" s="107">
        <v>45659.0</v>
      </c>
      <c r="E8" s="106" t="s">
        <v>126</v>
      </c>
    </row>
    <row r="9" ht="98.25" customHeight="1">
      <c r="A9" s="101" t="s">
        <v>127</v>
      </c>
      <c r="B9" s="100" t="s">
        <v>143</v>
      </c>
      <c r="C9" s="39" t="s">
        <v>144</v>
      </c>
      <c r="D9" s="108" t="s">
        <v>145</v>
      </c>
      <c r="E9" s="39" t="s">
        <v>130</v>
      </c>
    </row>
    <row r="10" ht="201.0" customHeight="1">
      <c r="A10" s="101" t="s">
        <v>131</v>
      </c>
      <c r="B10" s="39" t="s">
        <v>146</v>
      </c>
      <c r="C10" s="39" t="s">
        <v>147</v>
      </c>
      <c r="D10" s="103">
        <v>46015.0</v>
      </c>
      <c r="E10" s="39" t="s">
        <v>126</v>
      </c>
    </row>
    <row r="11" ht="248.25" customHeight="1">
      <c r="A11" s="101" t="s">
        <v>134</v>
      </c>
      <c r="B11" s="100" t="s">
        <v>148</v>
      </c>
      <c r="C11" s="100" t="s">
        <v>149</v>
      </c>
      <c r="D11" s="109">
        <v>45722.0</v>
      </c>
      <c r="E11" s="39" t="s">
        <v>126</v>
      </c>
    </row>
    <row r="12" ht="248.25" customHeight="1">
      <c r="A12" s="110" t="s">
        <v>150</v>
      </c>
      <c r="B12" s="111" t="s">
        <v>151</v>
      </c>
      <c r="C12" s="112" t="s">
        <v>152</v>
      </c>
      <c r="D12" s="113">
        <v>45692.0</v>
      </c>
      <c r="E12" s="114" t="s">
        <v>126</v>
      </c>
    </row>
  </sheetData>
  <mergeCells count="3">
    <mergeCell ref="B1:E1"/>
    <mergeCell ref="A4:B4"/>
    <mergeCell ref="A5:E5"/>
  </mergeCells>
  <dataValidations>
    <dataValidation type="list" allowBlank="1" showErrorMessage="1" sqref="E7:E12">
      <formula1>"Pending Emble,Pending A8,Completed"</formula1>
    </dataValidation>
  </dataValidations>
  <hyperlinks>
    <hyperlink r:id="rId2" ref="B8"/>
    <hyperlink r:id="rId3" location="gid=791898851" ref="B9"/>
    <hyperlink r:id="rId4" ref="B11"/>
    <hyperlink r:id="rId5" ref="C11"/>
  </hyperlinks>
  <printOptions gridLines="1" horizontalCentered="1"/>
  <pageMargins bottom="0.75" footer="0.0" header="0.0" left="0.7" right="0.7" top="0.75"/>
  <pageSetup fitToHeight="0" cellComments="atEnd" orientation="landscape" pageOrder="overThenDown"/>
  <drawing r:id="rId6"/>
  <legacyDrawing r:id="rId7"/>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49.13"/>
    <col customWidth="1" min="2" max="2" width="78.13"/>
    <col customWidth="1" min="3" max="3" width="41.88"/>
  </cols>
  <sheetData>
    <row r="1" ht="50.25" customHeight="1">
      <c r="A1" s="1"/>
      <c r="B1" s="2" t="s">
        <v>0</v>
      </c>
    </row>
    <row r="2" ht="15.75" customHeight="1">
      <c r="A2" s="6"/>
      <c r="B2" s="6"/>
      <c r="C2" s="1"/>
    </row>
    <row r="3" ht="11.25" customHeight="1">
      <c r="A3" s="7"/>
      <c r="B3" s="7"/>
      <c r="C3" s="8"/>
    </row>
    <row r="4" ht="42.75" customHeight="1">
      <c r="A4" s="11" t="s">
        <v>113</v>
      </c>
      <c r="C4" s="12"/>
    </row>
    <row r="5" ht="96.0" customHeight="1">
      <c r="A5" s="15" t="s">
        <v>114</v>
      </c>
    </row>
    <row r="6" ht="44.25" customHeight="1">
      <c r="A6" s="21" t="s">
        <v>115</v>
      </c>
      <c r="B6" s="21" t="s">
        <v>116</v>
      </c>
      <c r="C6" s="21" t="s">
        <v>153</v>
      </c>
    </row>
    <row r="7" ht="98.25" customHeight="1">
      <c r="A7" s="97" t="s">
        <v>150</v>
      </c>
      <c r="B7" s="100" t="s">
        <v>154</v>
      </c>
      <c r="C7" s="39" t="s">
        <v>126</v>
      </c>
    </row>
    <row r="8" ht="98.25" customHeight="1">
      <c r="A8" s="99"/>
      <c r="B8" s="98"/>
      <c r="C8" s="39"/>
    </row>
    <row r="9" ht="98.25" customHeight="1">
      <c r="A9" s="101"/>
      <c r="B9" s="98"/>
      <c r="C9" s="39"/>
    </row>
    <row r="10" ht="201.0" customHeight="1">
      <c r="A10" s="101"/>
      <c r="B10" s="39"/>
      <c r="C10" s="39"/>
    </row>
    <row r="11" ht="248.25" customHeight="1">
      <c r="A11" s="101"/>
      <c r="B11" s="98"/>
      <c r="C11" s="39"/>
    </row>
  </sheetData>
  <mergeCells count="3">
    <mergeCell ref="B1:C1"/>
    <mergeCell ref="A4:B4"/>
    <mergeCell ref="A5:C5"/>
  </mergeCells>
  <dataValidations>
    <dataValidation type="list" allowBlank="1" showErrorMessage="1" sqref="C7:C11">
      <formula1>"Pending Emble,Pending A8,Completed"</formula1>
    </dataValidation>
  </dataValidations>
  <hyperlinks>
    <hyperlink r:id="rId1" ref="B7"/>
  </hyperlinks>
  <printOptions gridLines="1" horizontalCentered="1"/>
  <pageMargins bottom="0.75" footer="0.0" header="0.0" left="0.7" right="0.7" top="0.75"/>
  <pageSetup fitToHeight="0" cellComments="atEnd" orientation="landscape" pageOrder="overThenDown"/>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61.13"/>
    <col customWidth="1" min="2" max="2" width="56.38"/>
    <col customWidth="1" min="3" max="3" width="41.88"/>
  </cols>
  <sheetData>
    <row r="1" ht="50.25" customHeight="1">
      <c r="A1" s="1"/>
      <c r="B1" s="2" t="s">
        <v>0</v>
      </c>
    </row>
    <row r="2" ht="15.75" customHeight="1">
      <c r="A2" s="6"/>
      <c r="B2" s="6"/>
      <c r="C2" s="1"/>
    </row>
    <row r="3" ht="11.25" customHeight="1">
      <c r="A3" s="7"/>
      <c r="B3" s="7"/>
      <c r="C3" s="8"/>
    </row>
    <row r="4" ht="45.75" customHeight="1">
      <c r="A4" s="11" t="s">
        <v>155</v>
      </c>
      <c r="C4" s="12"/>
    </row>
    <row r="5" ht="96.0" customHeight="1">
      <c r="A5" s="15" t="s">
        <v>156</v>
      </c>
    </row>
    <row r="6" ht="44.25" customHeight="1">
      <c r="A6" s="21" t="s">
        <v>157</v>
      </c>
      <c r="B6" s="21" t="s">
        <v>158</v>
      </c>
      <c r="C6" s="21" t="s">
        <v>159</v>
      </c>
    </row>
    <row r="7" ht="97.5" customHeight="1">
      <c r="A7" s="24" t="s">
        <v>160</v>
      </c>
      <c r="B7" s="39" t="s">
        <v>161</v>
      </c>
      <c r="C7" s="39" t="s">
        <v>162</v>
      </c>
    </row>
    <row r="8" ht="135.0" customHeight="1">
      <c r="A8" s="81" t="s">
        <v>163</v>
      </c>
      <c r="B8" s="53" t="s">
        <v>164</v>
      </c>
      <c r="C8" s="63" t="s">
        <v>165</v>
      </c>
    </row>
    <row r="9" ht="98.25" customHeight="1">
      <c r="A9" s="24" t="s">
        <v>166</v>
      </c>
      <c r="B9" s="25" t="s">
        <v>167</v>
      </c>
      <c r="C9" s="25" t="s">
        <v>162</v>
      </c>
    </row>
    <row r="10" ht="77.25" customHeight="1">
      <c r="A10" s="115" t="s">
        <v>168</v>
      </c>
      <c r="B10" s="32" t="s">
        <v>169</v>
      </c>
      <c r="C10" s="32" t="s">
        <v>162</v>
      </c>
    </row>
    <row r="11" ht="75.75" customHeight="1">
      <c r="A11" s="24" t="s">
        <v>170</v>
      </c>
      <c r="B11" s="39" t="s">
        <v>171</v>
      </c>
      <c r="C11" s="39" t="s">
        <v>162</v>
      </c>
    </row>
    <row r="12" ht="129.0" customHeight="1">
      <c r="A12" s="116" t="s">
        <v>172</v>
      </c>
      <c r="B12" s="32" t="s">
        <v>173</v>
      </c>
      <c r="C12" s="117" t="s">
        <v>162</v>
      </c>
    </row>
    <row r="13" ht="123.0" customHeight="1">
      <c r="A13" s="48" t="s">
        <v>174</v>
      </c>
      <c r="B13" s="25" t="s">
        <v>175</v>
      </c>
      <c r="C13" s="70" t="s">
        <v>162</v>
      </c>
    </row>
    <row r="14" ht="138.0" customHeight="1">
      <c r="A14" s="81" t="s">
        <v>176</v>
      </c>
      <c r="B14" s="53" t="s">
        <v>177</v>
      </c>
      <c r="C14" s="54" t="s">
        <v>162</v>
      </c>
    </row>
    <row r="15" ht="123.0" hidden="1" customHeight="1">
      <c r="A15" s="84"/>
      <c r="B15" s="118"/>
      <c r="C15" s="41"/>
    </row>
    <row r="16" ht="111.0" hidden="1" customHeight="1">
      <c r="A16" s="52"/>
      <c r="B16" s="119"/>
      <c r="C16" s="120"/>
    </row>
    <row r="17" ht="79.5" hidden="1" customHeight="1">
      <c r="A17" s="84"/>
      <c r="B17" s="118"/>
      <c r="C17" s="70"/>
    </row>
    <row r="18" ht="79.5" hidden="1" customHeight="1">
      <c r="A18" s="52"/>
      <c r="B18" s="119"/>
      <c r="C18" s="45"/>
    </row>
    <row r="19" ht="90.0" hidden="1" customHeight="1">
      <c r="A19" s="84"/>
      <c r="B19" s="118"/>
      <c r="C19" s="70"/>
    </row>
    <row r="20" ht="69.0" customHeight="1">
      <c r="A20" s="81" t="s">
        <v>178</v>
      </c>
      <c r="B20" s="53" t="s">
        <v>179</v>
      </c>
      <c r="C20" s="63" t="s">
        <v>162</v>
      </c>
    </row>
    <row r="21" ht="135.0" customHeight="1">
      <c r="A21" s="78" t="s">
        <v>180</v>
      </c>
      <c r="B21" s="121" t="s">
        <v>181</v>
      </c>
      <c r="C21" s="49" t="s">
        <v>162</v>
      </c>
    </row>
    <row r="22" ht="143.25" customHeight="1">
      <c r="A22" s="44" t="s">
        <v>182</v>
      </c>
      <c r="B22" s="87" t="s">
        <v>183</v>
      </c>
      <c r="C22" s="63" t="s">
        <v>184</v>
      </c>
    </row>
    <row r="23" ht="82.5" customHeight="1">
      <c r="A23" s="78" t="s">
        <v>185</v>
      </c>
      <c r="B23" s="121" t="s">
        <v>186</v>
      </c>
      <c r="C23" s="85" t="s">
        <v>184</v>
      </c>
    </row>
    <row r="24" ht="130.5" customHeight="1">
      <c r="A24" s="81" t="s">
        <v>187</v>
      </c>
      <c r="B24" s="53" t="s">
        <v>188</v>
      </c>
      <c r="C24" s="87" t="s">
        <v>184</v>
      </c>
    </row>
    <row r="25" ht="62.25" customHeight="1">
      <c r="A25" s="78" t="s">
        <v>189</v>
      </c>
      <c r="B25" s="121" t="s">
        <v>190</v>
      </c>
      <c r="C25" s="85" t="s">
        <v>184</v>
      </c>
    </row>
    <row r="26" ht="80.25" customHeight="1">
      <c r="A26" s="81" t="s">
        <v>191</v>
      </c>
      <c r="B26" s="53" t="s">
        <v>192</v>
      </c>
      <c r="C26" s="92" t="s">
        <v>184</v>
      </c>
    </row>
    <row r="27" ht="80.25" customHeight="1">
      <c r="A27" s="122" t="s">
        <v>193</v>
      </c>
      <c r="B27" s="123" t="s">
        <v>194</v>
      </c>
      <c r="C27" s="15" t="s">
        <v>184</v>
      </c>
    </row>
    <row r="28" ht="80.25" customHeight="1">
      <c r="A28" s="124" t="s">
        <v>195</v>
      </c>
      <c r="B28" s="125" t="s">
        <v>196</v>
      </c>
      <c r="C28" s="126" t="s">
        <v>184</v>
      </c>
    </row>
    <row r="29" ht="80.25" customHeight="1">
      <c r="A29" s="122" t="s">
        <v>197</v>
      </c>
      <c r="B29" s="123" t="s">
        <v>198</v>
      </c>
      <c r="C29" s="15" t="s">
        <v>184</v>
      </c>
    </row>
    <row r="30" ht="80.25" customHeight="1">
      <c r="A30" s="124" t="s">
        <v>199</v>
      </c>
      <c r="B30" s="125" t="s">
        <v>200</v>
      </c>
      <c r="C30" s="126" t="s">
        <v>184</v>
      </c>
    </row>
    <row r="31" ht="80.25" customHeight="1">
      <c r="A31" s="122" t="s">
        <v>201</v>
      </c>
      <c r="B31" s="123" t="s">
        <v>202</v>
      </c>
      <c r="C31" s="15" t="s">
        <v>184</v>
      </c>
    </row>
    <row r="32" ht="80.25" customHeight="1">
      <c r="A32" s="124" t="s">
        <v>203</v>
      </c>
      <c r="B32" s="125" t="s">
        <v>204</v>
      </c>
      <c r="C32" s="126" t="s">
        <v>184</v>
      </c>
    </row>
    <row r="33" ht="80.25" customHeight="1">
      <c r="A33" s="122" t="s">
        <v>205</v>
      </c>
      <c r="B33" s="123" t="s">
        <v>206</v>
      </c>
      <c r="C33" s="15" t="s">
        <v>184</v>
      </c>
    </row>
    <row r="34" ht="80.25" customHeight="1">
      <c r="A34" s="124" t="s">
        <v>207</v>
      </c>
      <c r="B34" s="125" t="s">
        <v>208</v>
      </c>
      <c r="C34" s="126" t="s">
        <v>184</v>
      </c>
    </row>
  </sheetData>
  <mergeCells count="3">
    <mergeCell ref="B1:C1"/>
    <mergeCell ref="A4:B4"/>
    <mergeCell ref="A5:C5"/>
  </mergeCells>
  <dataValidations>
    <dataValidation type="list" allowBlank="1" showErrorMessage="1" sqref="C7:C34">
      <formula1>"Backlogged,In Progress,Complete,Pending Emble Response"</formula1>
    </dataValidation>
  </dataValidations>
  <printOptions gridLines="1" horizontalCentered="1"/>
  <pageMargins bottom="0.75" footer="0.0" header="0.0" left="0.7" right="0.7" top="0.75"/>
  <pageSetup fitToHeight="0" cellComments="atEnd" orientation="landscape" pageOrder="overThenDown"/>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32.13"/>
    <col customWidth="1" min="2" max="2" width="44.75"/>
    <col customWidth="1" min="3" max="3" width="41.88"/>
    <col customWidth="1" min="4" max="4" width="48.25"/>
    <col customWidth="1" min="5" max="5" width="16.25"/>
    <col customWidth="1" min="6" max="6" width="17.75"/>
    <col customWidth="1" min="7" max="7" width="42.38"/>
  </cols>
  <sheetData>
    <row r="1" ht="50.25" customHeight="1">
      <c r="A1" s="1"/>
      <c r="B1" s="2" t="s">
        <v>0</v>
      </c>
      <c r="D1" s="3"/>
      <c r="E1" s="4"/>
      <c r="F1" s="4"/>
      <c r="G1" s="4"/>
    </row>
    <row r="2" ht="15.75" customHeight="1">
      <c r="A2" s="6"/>
      <c r="B2" s="6"/>
      <c r="C2" s="1"/>
      <c r="D2" s="3"/>
      <c r="E2" s="4"/>
      <c r="F2" s="4"/>
      <c r="G2" s="4"/>
    </row>
    <row r="3" ht="11.25" customHeight="1">
      <c r="A3" s="7"/>
      <c r="B3" s="7"/>
      <c r="C3" s="8"/>
      <c r="D3" s="8"/>
      <c r="E3" s="9"/>
      <c r="F3" s="9"/>
      <c r="G3" s="9"/>
    </row>
    <row r="4" ht="70.5" customHeight="1">
      <c r="A4" s="11" t="s">
        <v>1</v>
      </c>
      <c r="C4" s="12"/>
      <c r="D4" s="12"/>
      <c r="E4" s="13" t="s">
        <v>2</v>
      </c>
      <c r="F4" s="13" t="s">
        <v>3</v>
      </c>
      <c r="G4" s="13" t="s">
        <v>4</v>
      </c>
    </row>
    <row r="5" ht="96.0" customHeight="1">
      <c r="A5" s="15" t="s">
        <v>5</v>
      </c>
      <c r="D5" s="16"/>
      <c r="E5" s="17">
        <f>SUM(E7:E25)</f>
        <v>293</v>
      </c>
      <c r="F5" s="18">
        <f>E5*225</f>
        <v>65925</v>
      </c>
      <c r="G5" s="19">
        <f>F5+6000</f>
        <v>71925</v>
      </c>
    </row>
    <row r="6" ht="44.25" customHeight="1">
      <c r="A6" s="21" t="s">
        <v>7</v>
      </c>
      <c r="B6" s="21" t="s">
        <v>8</v>
      </c>
      <c r="C6" s="21" t="s">
        <v>9</v>
      </c>
      <c r="D6" s="21" t="s">
        <v>10</v>
      </c>
      <c r="E6" s="21" t="s">
        <v>11</v>
      </c>
      <c r="F6" s="21" t="s">
        <v>12</v>
      </c>
      <c r="G6" s="21" t="s">
        <v>13</v>
      </c>
    </row>
    <row r="7" ht="98.25" customHeight="1">
      <c r="A7" s="24" t="s">
        <v>16</v>
      </c>
      <c r="B7" s="25" t="s">
        <v>17</v>
      </c>
      <c r="C7" s="25" t="s">
        <v>18</v>
      </c>
      <c r="D7" s="25" t="s">
        <v>19</v>
      </c>
      <c r="E7" s="26">
        <v>10.0</v>
      </c>
      <c r="F7" s="27" t="s">
        <v>20</v>
      </c>
      <c r="G7" s="127" t="s">
        <v>21</v>
      </c>
    </row>
    <row r="8" ht="77.25" customHeight="1">
      <c r="A8" s="38" t="s">
        <v>23</v>
      </c>
      <c r="B8" s="39" t="s">
        <v>24</v>
      </c>
      <c r="C8" s="39" t="s">
        <v>25</v>
      </c>
      <c r="D8" s="39" t="s">
        <v>26</v>
      </c>
      <c r="E8" s="26">
        <v>12.0</v>
      </c>
      <c r="F8" s="27" t="s">
        <v>20</v>
      </c>
      <c r="G8" s="26"/>
    </row>
    <row r="9" ht="75.75" customHeight="1">
      <c r="A9" s="38" t="s">
        <v>28</v>
      </c>
      <c r="B9" s="39" t="s">
        <v>29</v>
      </c>
      <c r="C9" s="39" t="s">
        <v>30</v>
      </c>
      <c r="D9" s="39" t="s">
        <v>31</v>
      </c>
      <c r="E9" s="26">
        <v>7.0</v>
      </c>
      <c r="F9" s="27" t="s">
        <v>20</v>
      </c>
      <c r="G9" s="127" t="s">
        <v>32</v>
      </c>
    </row>
    <row r="10" ht="97.5" customHeight="1">
      <c r="A10" s="38" t="s">
        <v>34</v>
      </c>
      <c r="B10" s="39" t="s">
        <v>35</v>
      </c>
      <c r="C10" s="39" t="s">
        <v>36</v>
      </c>
      <c r="D10" s="39" t="s">
        <v>209</v>
      </c>
      <c r="E10" s="26">
        <v>10.0</v>
      </c>
      <c r="F10" s="27" t="s">
        <v>20</v>
      </c>
      <c r="G10" s="26"/>
    </row>
    <row r="11" ht="129.0" customHeight="1">
      <c r="A11" s="128" t="s">
        <v>39</v>
      </c>
      <c r="B11" s="129" t="s">
        <v>40</v>
      </c>
      <c r="C11" s="129" t="s">
        <v>210</v>
      </c>
      <c r="D11" s="129" t="s">
        <v>211</v>
      </c>
      <c r="E11" s="130">
        <v>35.0</v>
      </c>
      <c r="F11" s="42" t="s">
        <v>20</v>
      </c>
      <c r="G11" s="131" t="s">
        <v>43</v>
      </c>
    </row>
    <row r="12" ht="123.0" customHeight="1">
      <c r="A12" s="132" t="s">
        <v>61</v>
      </c>
      <c r="B12" s="133" t="s">
        <v>62</v>
      </c>
      <c r="C12" s="133" t="s">
        <v>63</v>
      </c>
      <c r="D12" s="133" t="s">
        <v>64</v>
      </c>
      <c r="E12" s="134">
        <v>12.0</v>
      </c>
      <c r="F12" s="42" t="s">
        <v>20</v>
      </c>
      <c r="G12" s="135"/>
    </row>
    <row r="13" ht="123.0" customHeight="1">
      <c r="A13" s="48" t="s">
        <v>45</v>
      </c>
      <c r="B13" s="70" t="s">
        <v>46</v>
      </c>
      <c r="C13" s="70" t="s">
        <v>47</v>
      </c>
      <c r="D13" s="70" t="s">
        <v>48</v>
      </c>
      <c r="E13" s="71">
        <v>40.0</v>
      </c>
      <c r="F13" s="71" t="s">
        <v>20</v>
      </c>
      <c r="G13" s="136" t="s">
        <v>49</v>
      </c>
    </row>
    <row r="14" ht="143.25" customHeight="1">
      <c r="A14" s="48" t="s">
        <v>51</v>
      </c>
      <c r="B14" s="49" t="s">
        <v>52</v>
      </c>
      <c r="C14" s="49" t="s">
        <v>212</v>
      </c>
      <c r="D14" s="49" t="s">
        <v>54</v>
      </c>
      <c r="E14" s="50">
        <v>12.0</v>
      </c>
      <c r="F14" s="50" t="s">
        <v>20</v>
      </c>
      <c r="G14" s="137"/>
    </row>
    <row r="15" ht="111.0" customHeight="1">
      <c r="A15" s="138" t="s">
        <v>65</v>
      </c>
      <c r="B15" s="139" t="s">
        <v>66</v>
      </c>
      <c r="C15" s="140" t="s">
        <v>213</v>
      </c>
      <c r="D15" s="139" t="s">
        <v>68</v>
      </c>
      <c r="E15" s="141">
        <v>7.0</v>
      </c>
      <c r="F15" s="50" t="s">
        <v>20</v>
      </c>
      <c r="G15" s="137"/>
    </row>
    <row r="16" ht="79.5" customHeight="1">
      <c r="A16" s="138" t="s">
        <v>69</v>
      </c>
      <c r="B16" s="142" t="s">
        <v>214</v>
      </c>
      <c r="C16" s="143" t="s">
        <v>71</v>
      </c>
      <c r="D16" s="142" t="s">
        <v>215</v>
      </c>
      <c r="E16" s="144">
        <v>5.0</v>
      </c>
      <c r="F16" s="71" t="s">
        <v>20</v>
      </c>
      <c r="G16" s="145"/>
    </row>
    <row r="17" ht="79.5" customHeight="1">
      <c r="A17" s="138" t="s">
        <v>73</v>
      </c>
      <c r="B17" s="143" t="s">
        <v>74</v>
      </c>
      <c r="C17" s="143" t="s">
        <v>71</v>
      </c>
      <c r="D17" s="143" t="s">
        <v>75</v>
      </c>
      <c r="E17" s="144">
        <v>5.0</v>
      </c>
      <c r="F17" s="71" t="s">
        <v>20</v>
      </c>
      <c r="G17" s="136" t="s">
        <v>76</v>
      </c>
    </row>
    <row r="18" ht="90.0" customHeight="1">
      <c r="A18" s="138" t="s">
        <v>77</v>
      </c>
      <c r="B18" s="143" t="s">
        <v>78</v>
      </c>
      <c r="C18" s="143" t="s">
        <v>71</v>
      </c>
      <c r="D18" s="143" t="s">
        <v>79</v>
      </c>
      <c r="E18" s="144">
        <v>2.0</v>
      </c>
      <c r="F18" s="71" t="s">
        <v>20</v>
      </c>
      <c r="G18" s="136" t="s">
        <v>80</v>
      </c>
    </row>
    <row r="19" ht="137.25" customHeight="1">
      <c r="A19" s="84" t="s">
        <v>56</v>
      </c>
      <c r="B19" s="121" t="s">
        <v>57</v>
      </c>
      <c r="C19" s="25" t="s">
        <v>58</v>
      </c>
      <c r="D19" s="25" t="s">
        <v>59</v>
      </c>
      <c r="E19" s="146">
        <v>25.0</v>
      </c>
      <c r="F19" s="147" t="s">
        <v>20</v>
      </c>
      <c r="G19" s="148"/>
    </row>
    <row r="20" ht="69.0" customHeight="1">
      <c r="A20" s="149" t="s">
        <v>81</v>
      </c>
      <c r="B20" s="49" t="s">
        <v>82</v>
      </c>
      <c r="C20" s="49" t="s">
        <v>83</v>
      </c>
      <c r="D20" s="49" t="s">
        <v>84</v>
      </c>
      <c r="E20" s="50">
        <v>10.0</v>
      </c>
      <c r="F20" s="150" t="s">
        <v>20</v>
      </c>
      <c r="G20" s="151" t="s">
        <v>85</v>
      </c>
    </row>
    <row r="21" ht="135.0" customHeight="1">
      <c r="A21" s="78" t="s">
        <v>87</v>
      </c>
      <c r="B21" s="15" t="s">
        <v>88</v>
      </c>
      <c r="C21" s="49"/>
      <c r="D21" s="15" t="s">
        <v>89</v>
      </c>
      <c r="E21" s="79">
        <v>10.0</v>
      </c>
      <c r="F21" s="50" t="s">
        <v>20</v>
      </c>
      <c r="G21" s="152"/>
    </row>
    <row r="22" ht="135.0" customHeight="1">
      <c r="A22" s="78" t="s">
        <v>91</v>
      </c>
      <c r="B22" s="49" t="s">
        <v>92</v>
      </c>
      <c r="C22" s="49" t="s">
        <v>93</v>
      </c>
      <c r="D22" s="49" t="s">
        <v>94</v>
      </c>
      <c r="E22" s="86">
        <f>CEILING(SUM(E7:E21)*0.1,1)</f>
        <v>21</v>
      </c>
      <c r="F22" s="50" t="s">
        <v>20</v>
      </c>
      <c r="G22" s="152"/>
    </row>
    <row r="23" ht="82.5" customHeight="1">
      <c r="A23" s="84" t="s">
        <v>96</v>
      </c>
      <c r="B23" s="85" t="s">
        <v>97</v>
      </c>
      <c r="C23" s="85"/>
      <c r="D23" s="85" t="s">
        <v>98</v>
      </c>
      <c r="E23" s="86">
        <v>8.0</v>
      </c>
      <c r="F23" s="50" t="s">
        <v>20</v>
      </c>
      <c r="G23" s="152"/>
    </row>
    <row r="24" ht="130.5" customHeight="1">
      <c r="A24" s="84" t="s">
        <v>100</v>
      </c>
      <c r="B24" s="85" t="s">
        <v>101</v>
      </c>
      <c r="C24" s="85" t="s">
        <v>102</v>
      </c>
      <c r="D24" s="153" t="s">
        <v>103</v>
      </c>
      <c r="E24" s="86">
        <f>CEILING(SUM(E7:E23)*0.15,1)</f>
        <v>35</v>
      </c>
      <c r="F24" s="50" t="s">
        <v>20</v>
      </c>
      <c r="G24" s="152"/>
    </row>
    <row r="25" ht="62.25" customHeight="1">
      <c r="A25" s="84" t="s">
        <v>105</v>
      </c>
      <c r="B25" s="85" t="s">
        <v>106</v>
      </c>
      <c r="C25" s="85" t="s">
        <v>107</v>
      </c>
      <c r="D25" s="89"/>
      <c r="E25" s="86">
        <f>CEILING(SUM(E7:E24)*0.1,1)</f>
        <v>27</v>
      </c>
      <c r="F25" s="50" t="s">
        <v>20</v>
      </c>
      <c r="G25" s="152"/>
    </row>
    <row r="26" ht="80.25" customHeight="1">
      <c r="A26" s="154" t="s">
        <v>109</v>
      </c>
      <c r="B26" s="155" t="s">
        <v>110</v>
      </c>
      <c r="C26" s="155"/>
      <c r="D26" s="155"/>
      <c r="E26" s="156">
        <v>30.0</v>
      </c>
      <c r="F26" s="156" t="s">
        <v>111</v>
      </c>
      <c r="G26" s="157"/>
    </row>
  </sheetData>
  <mergeCells count="3">
    <mergeCell ref="B1:C1"/>
    <mergeCell ref="A4:B4"/>
    <mergeCell ref="A5:C5"/>
  </mergeCells>
  <dataValidations>
    <dataValidation type="list" allowBlank="1" showErrorMessage="1" sqref="F7:F26">
      <formula1>"NOW,NEXT,LATER"</formula1>
    </dataValidation>
  </dataValidations>
  <hyperlinks>
    <hyperlink r:id="rId1" ref="G7"/>
    <hyperlink r:id="rId2" ref="G9"/>
    <hyperlink r:id="rId3" ref="G11"/>
    <hyperlink r:id="rId4" ref="G13"/>
    <hyperlink r:id="rId5" ref="C15"/>
    <hyperlink r:id="rId6" ref="B16"/>
    <hyperlink r:id="rId7" ref="D16"/>
    <hyperlink r:id="rId8" ref="G17"/>
    <hyperlink r:id="rId9" ref="G18"/>
    <hyperlink r:id="rId10" ref="G20"/>
  </hyperlinks>
  <printOptions gridLines="1" horizontalCentered="1"/>
  <pageMargins bottom="0.75" footer="0.0" header="0.0" left="0.7" right="0.7" top="0.75"/>
  <pageSetup fitToHeight="0" cellComments="atEnd" orientation="landscape" pageOrder="overThenDown"/>
  <drawing r:id="rId11"/>
</worksheet>
</file>