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lickUp Import" sheetId="2" r:id="rId5"/>
    <sheet state="visible" name="Config" sheetId="3" r:id="rId6"/>
    <sheet state="visible" name="Calculations" sheetId="4" r:id="rId7"/>
  </sheets>
  <definedNames/>
  <calcPr/>
</workbook>
</file>

<file path=xl/sharedStrings.xml><?xml version="1.0" encoding="utf-8"?>
<sst xmlns="http://schemas.openxmlformats.org/spreadsheetml/2006/main" count="278" uniqueCount="207">
  <si>
    <t>Library_ID</t>
  </si>
  <si>
    <t>Workstream</t>
  </si>
  <si>
    <t>Service_Title</t>
  </si>
  <si>
    <t>Customer_Story</t>
  </si>
  <si>
    <t>Suggested_Path</t>
  </si>
  <si>
    <t>Assumptions</t>
  </si>
  <si>
    <t>Estimated_Low_Hours</t>
  </si>
  <si>
    <t>Estimated_High_Hours</t>
  </si>
  <si>
    <t>Contracted_Hours</t>
  </si>
  <si>
    <t>Display</t>
  </si>
  <si>
    <t>Requires_Clarification</t>
  </si>
  <si>
    <t>Function</t>
  </si>
  <si>
    <t>Potential_Variance</t>
  </si>
  <si>
    <t>Project_ID</t>
  </si>
  <si>
    <t>Internal_Notes</t>
  </si>
  <si>
    <t>Task_Link</t>
  </si>
  <si>
    <t>Discovery + Requirements Workshops</t>
  </si>
  <si>
    <t>Wholesure Business Requirements Workshop</t>
  </si>
  <si>
    <t>Acrisure Wholesure Claims and Services requires their implementation strategy and requirements clearly defined across both Claims and Services divisions before starting on the new portal configuration so that project success criteria is clear and met.</t>
  </si>
  <si>
    <t>A8 to host working sessions to assess current state process and requirements and leveraging existing swimlane docs provided by Acrisure.</t>
  </si>
  <si>
    <t>- Planning will be specific to Claims and Services operations to optimize budget
- Acrisure resources to participate in discovery workshops for both Claims and Services divisions
- Final requirements document created and agreed will be created in Clickup
- Cross-sell functionality to be deferred to Phase 2
- RFP processes will NOT be implemented in HubSpot during this phase</t>
  </si>
  <si>
    <t>Now</t>
  </si>
  <si>
    <t>Solution Design</t>
  </si>
  <si>
    <t>Lead Journey Mapping + Sales Process Design &amp; Pipeline Architecture</t>
  </si>
  <si>
    <t>Acrisure Wholesure Claims and Services needs a detailed technical design for their new portal that supports both Claims and Services business processes with appropriate approval workflows and team structures.</t>
  </si>
  <si>
    <t>A8 to use the requirements produced in the Discovery phase as truth for Claims and Services portal architecture and configuration design.
A8 to use the requirements produced in the Discovery phase as truth for specialty retail portal architecture within the existing NAR environment.
A8 will create a Requirements Document detailing:
- Claims and Services sales process requirements for both divisions
- Custom property requirements for B2B wholesale operations
- Pipeline design for Claims and Services processes
- Team structure and manual lead assignment approach
- Approval workflow requirements for Underwriting and Pricing Committee</t>
  </si>
  <si>
    <t>- Two pipeline configuration for Claims and Services processes
- Team structure for 19 client advisors with manual lead assignment
- Property schema for B2B wholesale operations
- Approval workflow design for Underwriting and Pricing Committee
- New portal foundational configuration requirements</t>
  </si>
  <si>
    <t>HubSpot-to-HubSpot Data Migration Requirements</t>
  </si>
  <si>
    <t>Claims and Services need HubSpot data migrated from their existing HubSpot Portal into the new Wholesure HubSpot Portal to preserve sales data and processes.</t>
  </si>
  <si>
    <t>A8 to update and configure a custom portal-to-portal data migrator to faciliate the data transfer.</t>
  </si>
  <si>
    <t xml:space="preserve">- Budget is combination of consulting sessions and documenting requirements
- Acrisure is required to approve technical requirement doc before sandbox testing begins
Migrator tool rules include:
- Property and user mapping
- Define duplicate rules
- Define unique IDs for import
- Define all standard objects and activities and associations
- Sync includes file attachments
Important: User accounts and emails MUST be provisioned before the tool runs. </t>
  </si>
  <si>
    <t>Solutions Engineering</t>
  </si>
  <si>
    <t>Project Planning + Final Roadmap Confirmation</t>
  </si>
  <si>
    <t>Claims and Services needs a detailed project plan that coordinates their HubSpot implementation with the existing processes while minimizing business disruption.</t>
  </si>
  <si>
    <t>A8 to create a comprehensive project plan with phases, project dependencies, and coordinating touchpoints.</t>
  </si>
  <si>
    <t>-  Clear dependencies mapped between exteral data sources
- Plan delivered within agreed upon platform
- Clear milestones and responsibilities between teams</t>
  </si>
  <si>
    <t>Sales Hub Implementation</t>
  </si>
  <si>
    <t>Teams &amp; Permissions Setup</t>
  </si>
  <si>
    <t>Acrisure Wholesure Claims and Services needs team structures and permissions configured within the new portal so their 19 client advisors can work effectively across Claims and Services divisions while maintaining data security.</t>
  </si>
  <si>
    <t>A8 to configure team hierarchy and permission sets for Claims and Services operations within the new portal environment.</t>
  </si>
  <si>
    <t>- User provisioning for 19 Claims and Services client advisors
- Team hierarchy configuration for Claims and Services divisions
- Permission sets aligned with wholesale B2B operations
- Manual lead assignment process configuration
- Role-based access for approval committee members</t>
  </si>
  <si>
    <t>New Portal Foundation Setup</t>
  </si>
  <si>
    <t>Acrisure Wholesure Claims and Services needs a new HubSpot portal configured with foundational settings and objects so their team can effectively manage wholesale operations separate from retail activities.</t>
  </si>
  <si>
    <t>A8 to configure new HubSpot portal with foundational settings, standard objects, and properties for Claims and Services operations.</t>
  </si>
  <si>
    <t>- New portal creation and foundational configuration
- Standard object configuration (Companies, Contacts, Deals)
- Custom properties for Claims and Services requirements</t>
  </si>
  <si>
    <t>Claims and Services Pipeline Configuration</t>
  </si>
  <si>
    <t>Acrisure Wholesure Claims and Services needs two distinct sales pipelines configured to manage their unique Claims and Services processes within the new portal.</t>
  </si>
  <si>
    <t>A8 to build two (2) pipelines within the new Claims and Services HubSpot portal to align with distinct business processes.</t>
  </si>
  <si>
    <t>- A8 to build up to two (2) pipelines for Claims and Services
- A8 to build/config required properties per stages for each pipeline
- Considerations for Claims vs Services process differences
- Manual lead assignment configuration
- RFP processes will NOT be implemented in HubSpot during this phase
- Basic file attachment workflows for document management</t>
  </si>
  <si>
    <t>Approval Workflow Configuration</t>
  </si>
  <si>
    <t>Acrisure Wholesure Claims and Services needs approval workflows configured for Underwriting and Pricing Committee processes so deals can progress through required approvals before advancing to implementation.</t>
  </si>
  <si>
    <t>A8 to configure approval workflows within the new portal to support Underwriting and Pricing Committee approval processes.</t>
  </si>
  <si>
    <t>- Workflow configuration for Underwriting Committee approvals
- Workflow configuration for Pricing Committee approvals
- Deal progression controls based on approval status
- Notification setup for committee members
- Basic audit trail for approval decisions
- Committee members configured as HubSpot users for workflow participation</t>
  </si>
  <si>
    <t>Sales Data Migration</t>
  </si>
  <si>
    <t>Configure + Test Portal-to-Portal Migration Tool</t>
  </si>
  <si>
    <t>Acrisure Wholesure requires their existing HubSpot data migrated into the new Portal with testing before data migrates into the production instance.</t>
  </si>
  <si>
    <t>A8 to leverage a custom-built data migration tool to move data between HubSpot sandbox portals.</t>
  </si>
  <si>
    <t>- A8 to test within Sandbox and validate data with Acrisure Wholesure POCs
- Property mapping included for contacts, companies, deals
- Primary Identifier for contacts: Email
Migrating via the tool:
- Contact
- Companies
- 1:1 Sales Activities/Engagements
- Deals 
We are not migrating: 
- Marketing email activity 
- Tickets
- Association Labels between all records</t>
  </si>
  <si>
    <t>Development</t>
  </si>
  <si>
    <t>Run Portal-to-Portal Migration Tool in Production</t>
  </si>
  <si>
    <t>Acrisure Wholesure Claims and Services needs their existing HubSpot data (400 companies, 900 contacts) migrated to the new portal to maintain relationship continuity and operational history.</t>
  </si>
  <si>
    <t>A8 to utilize HubSpot-to-HubSpot migration tools and processes to transfer existing data to the new Claims and Services portal.</t>
  </si>
  <si>
    <t>- Migration of 400 companies and 900 contacts from existing portal
- Data mapping and field alignment between portals
- Deal stage mapping between old and new pipelines
- Association setup with migrated companies/contacts/deals/activities
- Pipeline-specific deal categorization (Claims vs Services)
- Post-migration data validation and cleanup
- Activities include old meetings, notes, 1:1 emails, and tasks</t>
  </si>
  <si>
    <t>Reporting</t>
  </si>
  <si>
    <t>Claims and Services Reporting + Dashboard Implementation</t>
  </si>
  <si>
    <t>Acrisure executives need custom dashboards that provide visibility into Claims and Services performance across both divisions so they can make informed business decisions for wholesale operations.</t>
  </si>
  <si>
    <t>A8 to configure Claims and Services dashboards and reports within the new portal environment.</t>
  </si>
  <si>
    <t>- Division-specific performance dashboards (Claims vs Services)
- Performance and productivity and forecasting are the primary report focus
- Pipeline analytics by division type</t>
  </si>
  <si>
    <t>User Training Coaching + Consulting</t>
  </si>
  <si>
    <t>Train-the-Trainer Coaching Support</t>
  </si>
  <si>
    <t>Acrisure Wholesure Claims and Services leadership needs comprehensive training on the new HubSpot portal functionality so they can effectively train their advisors and ensure successful adoption across both divisions.</t>
  </si>
  <si>
    <t>A8 to provide leadership training program focused on Claims and Services operations within the new portal environment.</t>
  </si>
  <si>
    <t>- Claims and Services pipeline training for leadership
- Approval workflow training for committee processes
- Reporting and dashboard training specific to wholesale operations
- User management training for team structures
- Train-the-trainer session materials and documentation</t>
  </si>
  <si>
    <t>Launch and Portal UAT</t>
  </si>
  <si>
    <t>User Acceptance Testing Coordination</t>
  </si>
  <si>
    <t>Acrisure Wholesure Claims and Services stakeholders need thorough testing of the new portal configuration before go-live so they can identify and resolve any issues that could impact wholesale operations.</t>
  </si>
  <si>
    <t>A8 to coordinate UAT process for Claims and Services operations within the new portal environment.</t>
  </si>
  <si>
    <t>- Test scenario development for Claims and Services processes
- User acceptance testing coordination with both division leaders
- Approval workflow testing with committee members
- Issue tracking and resolution within new portal
- Go-live readiness validation for wholesale operations</t>
  </si>
  <si>
    <t>Go-Live Execution &amp; Hypercare</t>
  </si>
  <si>
    <t>Acrisure Wholesure Claims and Services team needs expert support during their new portal launch so they can transition smoothly from current processes with minimal business disruption to wholesale operations.</t>
  </si>
  <si>
    <t>A8 to provide go-live execution support for Claims and Services new portal launch.</t>
  </si>
  <si>
    <t>- Go-live day support for Claims and Services operations
- Launch issue monitoring and resolution
- User support during transition from existing portal
- Data validation post-launch for wholesale operations</t>
  </si>
  <si>
    <t>Task Type</t>
  </si>
  <si>
    <t>Task Name</t>
  </si>
  <si>
    <t>Description Content</t>
  </si>
  <si>
    <t>High Hours Estimate</t>
  </si>
  <si>
    <t>Contracted Hours</t>
  </si>
  <si>
    <t>Customer Story</t>
  </si>
  <si>
    <t>Acrisure Wholesure Claims and Services requires their implementation strategy and requirements clearly defined across both Claims and Services divisions before starting on the new portal configuration so that project success criteria is clear and met.
A8 to host working sessions to assess current state process and requirements and leveraging existing swimlane docs provided by Acrisure.
- Planning will be specific to Claims and Services operations to optimize budget
- Acrisure resources to participate in discovery workshops for both Claims and Services divisions
- Final requirements document created and agreed will be created in Clickup
- Cross-sell functionality to be deferred to Phase 2
- RFP processes will NOT be implemented in HubSpot during this phase</t>
  </si>
  <si>
    <t>Acrisure Wholesure Claims and Services stakeholders need thorough testing of the new portal configuration before go-live so they can identify and resolve any issues that could impact wholesale operations.
A8 to coordinate UAT process for Claims and Services operations within the new portal environment.
- Test scenario development for Claims and Services processes
- User acceptance testing coordination with both division leaders
- Approval workflow testing with committee members
- Issue tracking and resolution within new portal
- Go-live readiness validation for wholesale operations</t>
  </si>
  <si>
    <t>Acrisure Wholesure Claims and Services team needs expert support during their new portal launch so they can transition smoothly from current processes with minimal business disruption to wholesale operations.
A8 to provide go-live execution support for Claims and Services new portal launch.
- Go-live day support for Claims and Services operations
- Launch issue monitoring and resolution
- User support during transition from existing portal
- Data validation post-launch for wholesale operations</t>
  </si>
  <si>
    <t>Acrisure executives need custom dashboards that provide visibility into Claims and Services performance across both divisions so they can make informed business decisions for wholesale operations.
A8 to configure Claims and Services dashboards and reports within the new portal environment.
- Division-specific performance dashboards (Claims vs Services)
- Performance and productivity and forecasting are the primary report focus
- Pipeline analytics by division type</t>
  </si>
  <si>
    <t>Acrisure Wholesure requires their existing HubSpot data migrated into the new Portal with testing before data migrates into the production instance.
A8 to leverage a custom-built data migration tool to move data between HubSpot sandbox portals.
- A8 to test within Sandbox and validate data with Acrisure Wholesure POCs
- Property mapping included for contacts, companies, deals
- Primary Identifier for contacts: Email
Migrating via the tool:
- Contact
- Companies
- 1:1 Sales Activities/Engagements
- Deals 
We are not migrating: 
- Marketing email activity 
- Tickets
- Association Labels between all records</t>
  </si>
  <si>
    <t>Acrisure Wholesure Claims and Services needs their existing HubSpot data (400 companies, 900 contacts) migrated to the new portal to maintain relationship continuity and operational history.
A8 to utilize HubSpot-to-HubSpot migration tools and processes to transfer existing data to the new Claims and Services portal.
- Migration of 400 companies and 900 contacts from existing portal
- Data mapping and field alignment between portals
- Deal stage mapping between old and new pipelines
- Association setup with migrated companies/contacts/deals/activities
- Pipeline-specific deal categorization (Claims vs Services)
- Post-migration data validation and cleanup
- Activities include old meetings, notes, 1:1 emails, and tasks</t>
  </si>
  <si>
    <t>Acrisure Wholesure Claims and Services needs team structures and permissions configured within the new portal so their 19 client advisors can work effectively across Claims and Services divisions while maintaining data security.
A8 to configure team hierarchy and permission sets for Claims and Services operations within the new portal environment.
- User provisioning for 19 Claims and Services client advisors
- Team hierarchy configuration for Claims and Services divisions
- Permission sets aligned with wholesale B2B operations
- Manual lead assignment process configuration
- Role-based access for approval committee members</t>
  </si>
  <si>
    <t>Acrisure Wholesure Claims and Services needs a new HubSpot portal configured with foundational settings and objects so their team can effectively manage wholesale operations separate from retail activities.
A8 to configure new HubSpot portal with foundational settings, standard objects, and properties for Claims and Services operations.
- New portal creation and foundational configuration
- Standard object configuration (Companies, Contacts, Deals)
- Custom properties for Claims and Services requirements</t>
  </si>
  <si>
    <t>Acrisure Wholesure Claims and Services needs two distinct sales pipelines configured to manage their unique Claims and Services processes within the new portal.
A8 to build two (2) pipelines within the new Claims and Services HubSpot portal to align with distinct business processes.
- A8 to build up to two (2) pipelines for Claims and Services
- A8 to build/config required properties per stages for each pipeline
- Considerations for Claims vs Services process differences
- Manual lead assignment configuration
- RFP processes will NOT be implemented in HubSpot during this phase
- Basic file attachment workflows for document management</t>
  </si>
  <si>
    <t>Acrisure Wholesure Claims and Services needs approval workflows configured for Underwriting and Pricing Committee processes so deals can progress through required approvals before advancing to implementation.
A8 to configure approval workflows within the new portal to support Underwriting and Pricing Committee approval processes.
- Workflow configuration for Underwriting Committee approvals
- Workflow configuration for Pricing Committee approvals
- Deal progression controls based on approval status
- Notification setup for committee members
- Basic audit trail for approval decisions
- Committee members configured as HubSpot users for workflow participation</t>
  </si>
  <si>
    <t>Acrisure Wholesure Claims and Services needs a detailed technical design for their new portal that supports both Claims and Services business processes with appropriate approval workflows and team structures.
A8 to use the requirements produced in the Discovery phase as truth for Claims and Services portal architecture and configuration design.
A8 to use the requirements produced in the Discovery phase as truth for specialty retail portal architecture within the existing NAR environment.
A8 will create a Requirements Document detailing:
- Claims and Services sales process requirements for both divisions
- Custom property requirements for B2B wholesale operations
- Pipeline design for Claims and Services processes
- Team structure and manual lead assignment approach
- Approval workflow requirements for Underwriting and Pricing Committee
- Two pipeline configuration for Claims and Services processes
- Team structure for 19 client advisors with manual lead assignment
- Property schema for B2B wholesale operations
- Approval workflow design for Underwriting and Pricing Committee
- New portal foundational configuration requirements</t>
  </si>
  <si>
    <t>Claims and Services need HubSpot data migrated from their existing HubSpot Portal into the new Wholesure HubSpot Portal to preserve sales data and processes.
A8 to update and configure a custom portal-to-portal data migrator to faciliate the data transfer.
- Budget is combination of consulting sessions and documenting requirements
- Acrisure is required to approve technical requirement doc before sandbox testing begins
Migrator tool rules include:
- Property and user mapping
- Define duplicate rules
- Define unique IDs for import
- Define all standard objects and activities and associations
- Sync includes file attachments
Important: User accounts and emails MUST be provisioned before the tool runs.</t>
  </si>
  <si>
    <t>Claims and Services needs a detailed project plan that coordinates their HubSpot implementation with the existing processes while minimizing business disruption.
A8 to create a comprehensive project plan with phases, project dependencies, and coordinating touchpoints.
-  Clear dependencies mapped between exteral data sources
- Plan delivered within agreed upon platform
- Clear milestones and responsibilities between teams</t>
  </si>
  <si>
    <t>Acrisure Wholesure Claims and Services leadership needs comprehensive training on the new HubSpot portal functionality so they can effectively train their advisors and ensure successful adoption across both divisions.
A8 to provide leadership training program focused on Claims and Services operations within the new portal environment.
- Claims and Services pipeline training for leadership
- Approval workflow training for committee processes
- Reporting and dashboard training specific to wholesale operations
- User management training for team structures
- Train-the-trainer session materials and documentation</t>
  </si>
  <si>
    <t>Project Management</t>
  </si>
  <si>
    <t>Project Kickoff, Onboarding, and Closeout</t>
  </si>
  <si>
    <t>Recurring Project Check-ins</t>
  </si>
  <si>
    <t>Project Administration</t>
  </si>
  <si>
    <t>Configuration</t>
  </si>
  <si>
    <t>Value</t>
  </si>
  <si>
    <t>Description</t>
  </si>
  <si>
    <t>HubSpot Property</t>
  </si>
  <si>
    <t>Gdrvie + Deal Inputs</t>
  </si>
  <si>
    <t>Company Name</t>
  </si>
  <si>
    <t>Acrisure Claims and Services</t>
  </si>
  <si>
    <t>Client company name for proposals</t>
  </si>
  <si>
    <t>Google Folder</t>
  </si>
  <si>
    <t>https://drive.google.com/drive/folders/1a7pwOfFLpOtXfYC5O2aKkec9pSzLye0T</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</si>
  <si>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</si>
  <si>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</si>
  <si>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</si>
  <si>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</si>
  <si>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</si>
  <si>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Client Page</t>
  </si>
  <si>
    <t>Client Page URL</t>
  </si>
  <si>
    <t>https://script.google.com/macros/s/AKfycbzxl20njKYjtoRio0MTklGsQD9BQFNHblU2_edDke0O95w7AFvT3Ek8ZARhpKzQ3e4eeA/exec?sheetId=1v4EIEgO2CpbFWMHqzW1Xmut7u73s6JndNe0-sqh6uOA</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</si>
  <si>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</si>
  <si>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</si>
  <si>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</si>
  <si>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</si>
  <si>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</si>
  <si>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</si>
  <si>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</si>
  <si>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Project ID</t>
  </si>
  <si>
    <t>------</t>
  </si>
  <si>
    <t>TBD on usage to facilitate project creation</t>
  </si>
  <si>
    <t>Solutions Architect</t>
  </si>
  <si>
    <t>SA assigned to this project</t>
  </si>
  <si>
    <t>Request Scope Review</t>
  </si>
  <si>
    <t>Scope Reviewed</t>
  </si>
  <si>
    <t>NOW Project</t>
  </si>
  <si>
    <t>Hourly Project Rate</t>
  </si>
  <si>
    <t>Standard hourly rate for most services</t>
  </si>
  <si>
    <t>project_hourly_rate</t>
  </si>
  <si>
    <t>Project Management Factor</t>
  </si>
  <si>
    <t>Percentage markup for project management</t>
  </si>
  <si>
    <t>Project Management Content</t>
  </si>
  <si>
    <t>To support management and communication, a project manager and delivery lead will own all A8 tasks and clearly communicate needs.
- Visibility to budget spend will be provided during the duration of the project
- A8 will provide check-in agenda items and follow-ups
- Acrisure to communicate to A8's shared inbox for easier collaboration and timely responses
- Acrisure driven delay will result in additional PM time billed to manage timeline
- Aptitude 8 will be responsible for entering and maintaining Aptitude 8-owned tasks in ClickUp
- Aptitude 8 will work with Acrisure's project manager to align on project plan &amp; combined team meetings
- Acrisure project management will be responsible for internal risk management, project maintenance, and Acrisure-only internal meetings
- Aptitude 8 will use ClickUp to detail the project workstreams, tasks, and time management. 
- Aptitude 8 will have Monday.com access to update status at the high level tasks in Monday.com. 
- Aptitude 8 will provide a full project plan including dependencies to the Acrisure team.</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</si>
  <si>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</si>
  <si>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</si>
  <si>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</si>
  <si>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</si>
  <si>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</si>
  <si>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</si>
  <si>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</si>
  <si>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</si>
  <si>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</si>
  <si>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</si>
  <si>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</si>
  <si>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</si>
  <si>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</si>
  <si>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</si>
  <si>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</si>
  <si>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</si>
  <si>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</si>
  <si>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N/A</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</si>
  <si>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</si>
  <si>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</si>
  <si>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</si>
  <si>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</si>
  <si>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</si>
  <si>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</si>
  <si>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</si>
  <si>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</si>
  <si>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</si>
  <si>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</si>
  <si>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</si>
  <si>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</si>
  <si>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</si>
  <si>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</si>
  <si>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</si>
  <si>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</si>
  <si>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</si>
  <si>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</si>
  <si>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</si>
  <si>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</si>
  <si>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</si>
  <si>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</si>
  <si>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</si>
  <si>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</si>
  <si>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</si>
  <si>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</si>
  <si>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</si>
  <si>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</si>
  <si>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</si>
  <si>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</si>
  <si>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</si>
  <si>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Consulting</t>
  </si>
  <si>
    <t>Strategy</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</si>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</sst>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18">
    <font>
      <sz val="10.0"/>
      <color rgb="FF000000"/>
      <name val="Arial"/>
      <scheme val="minor"/>
    </font>
    <font>
      <b/>
      <color rgb="FF000000"/>
      <name val="Arial"/>
    </font>
    <font>
      <b/>
      <color theme="1"/>
      <name val="Arial"/>
    </font>
    <font>
      <color theme="1"/>
      <name val="Arial"/>
    </font>
    <font>
      <color theme="1"/>
      <name val="Arial"/>
      <scheme val="minor"/>
    </font>
    <font>
      <b/>
      <color theme="1"/>
      <name val="Arial"/>
      <scheme val="minor"/>
    </font>
    <font>
      <b/>
      <sz val="12.0"/>
      <color theme="1"/>
      <name val="Rubik"/>
    </font>
    <font>
      <sz val="12.0"/>
      <color theme="1"/>
      <name val="Rubik"/>
    </font>
    <font>
      <sz val="12.0"/>
      <color rgb="FFB7B7B7"/>
      <name val="Rubik"/>
    </font>
    <font>
      <b/>
      <color theme="1"/>
      <name val="Rubik"/>
    </font>
    <font>
      <color theme="1"/>
      <name val="Rubik"/>
    </font>
    <font>
      <i/>
      <color rgb="FF999999"/>
      <name val="Rubik"/>
    </font>
    <font>
      <color rgb="FFB7B7B7"/>
      <name val="Rubik"/>
    </font>
    <font>
      <u/>
      <color rgb="FF0000FF"/>
      <name val="Rubik"/>
    </font>
    <font>
      <i/>
      <sz val="12.0"/>
      <color rgb="FF999999"/>
      <name val="Rubik"/>
    </font>
    <font>
      <u/>
      <color rgb="FF0000FF"/>
      <name val="Rubik"/>
    </font>
    <font>
      <color rgb="FF999999"/>
      <name val="Rubik"/>
    </font>
    <font>
      <b/>
      <sz val="12.0"/>
      <color rgb="FF999999"/>
      <name val="Rubik"/>
    </font>
  </fonts>
  <fills count="13">
    <fill>
      <patternFill patternType="none"/>
    </fill>
    <fill>
      <patternFill patternType="lightGray"/>
    </fill>
    <fill>
      <patternFill patternType="solid">
        <fgColor rgb="FFCCCCCC"/>
        <bgColor rgb="FFCCCCCC"/>
      </patternFill>
    </fill>
    <fill>
      <patternFill patternType="solid">
        <fgColor rgb="FFFBBC04"/>
        <bgColor rgb="FFFBBC04"/>
      </patternFill>
    </fill>
    <fill>
      <patternFill patternType="solid">
        <fgColor rgb="FFE3F2FD"/>
        <bgColor rgb="FFE3F2FD"/>
      </patternFill>
    </fill>
    <fill>
      <patternFill patternType="solid">
        <fgColor rgb="FFF3E5F5"/>
        <bgColor rgb="FFF3E5F5"/>
      </patternFill>
    </fill>
    <fill>
      <patternFill patternType="solid">
        <fgColor rgb="FFE8F5E8"/>
        <bgColor rgb="FFE8F5E8"/>
      </patternFill>
    </fill>
    <fill>
      <patternFill patternType="solid">
        <fgColor rgb="FFFFF3E0"/>
        <bgColor rgb="FFFFF3E0"/>
      </patternFill>
    </fill>
    <fill>
      <patternFill patternType="solid">
        <fgColor rgb="FFFCE4EC"/>
        <bgColor rgb="FFFCE4EC"/>
      </patternFill>
    </fill>
    <fill>
      <patternFill patternType="solid">
        <fgColor rgb="FFF8F9FA"/>
        <bgColor rgb="FFF8F9FA"/>
      </patternFill>
    </fill>
    <fill>
      <patternFill patternType="solid">
        <fgColor rgb="FFFFF2CC"/>
        <bgColor rgb="FFFFF2CC"/>
      </patternFill>
    </fill>
    <fill>
      <patternFill patternType="solid">
        <fgColor rgb="FFB7B7B7"/>
        <bgColor rgb="FFB7B7B7"/>
      </patternFill>
    </fill>
    <fill>
      <patternFill patternType="solid">
        <fgColor rgb="FFF3F3F3"/>
        <bgColor rgb="FFF3F3F3"/>
      </patternFill>
    </fill>
  </fills>
  <borders count="2">
    <border/>
    <border>
      <top style="medium">
        <color rgb="FF000000"/>
      </top>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3" fontId="2" numFmtId="0" xfId="0" applyAlignment="1" applyFill="1" applyFont="1">
      <alignment shrinkToFit="0" vertical="center" wrapText="1"/>
    </xf>
    <xf borderId="0" fillId="3" fontId="2" numFmtId="0" xfId="0" applyAlignment="1" applyFont="1">
      <alignment shrinkToFit="0" vertical="center" wrapText="0"/>
    </xf>
    <xf borderId="0" fillId="3" fontId="2" numFmtId="1" xfId="0" applyAlignment="1" applyFont="1" applyNumberFormat="1">
      <alignment horizontal="center" shrinkToFit="0" vertical="center" wrapText="1"/>
    </xf>
    <xf borderId="0" fillId="2" fontId="1" numFmtId="49" xfId="0" applyAlignment="1" applyFont="1" applyNumberFormat="1">
      <alignment horizontal="center" shrinkToFit="0" vertical="center" wrapText="1"/>
    </xf>
    <xf borderId="0" fillId="3" fontId="2" numFmtId="0" xfId="0" applyAlignment="1" applyFont="1">
      <alignment readingOrder="0" shrinkToFit="0" vertical="center" wrapText="1"/>
    </xf>
    <xf borderId="0" fillId="3" fontId="2" numFmtId="0" xfId="0" applyAlignment="1" applyFont="1">
      <alignment horizontal="left" shrinkToFit="0" vertical="center" wrapText="1"/>
    </xf>
    <xf borderId="0" fillId="3" fontId="2" numFmtId="0" xfId="0" applyAlignment="1" applyFont="1">
      <alignment horizontal="center" shrinkToFit="0" vertical="center" wrapText="1"/>
    </xf>
    <xf borderId="0" fillId="2" fontId="1" numFmtId="0" xfId="0" applyAlignment="1" applyFont="1">
      <alignment horizontal="left" readingOrder="0" shrinkToFit="0" vertical="center" wrapText="1"/>
    </xf>
    <xf borderId="0" fillId="4" fontId="3" numFmtId="0" xfId="0" applyAlignment="1" applyFill="1" applyFont="1">
      <alignment vertical="center"/>
    </xf>
    <xf borderId="0" fillId="4" fontId="3" numFmtId="0" xfId="0" applyAlignment="1" applyFont="1">
      <alignment readingOrder="0" shrinkToFit="0" vertical="center" wrapText="1"/>
    </xf>
    <xf borderId="0" fillId="4" fontId="3" numFmtId="0" xfId="0" applyAlignment="1" applyFont="1">
      <alignment readingOrder="0" shrinkToFit="0" vertical="center" wrapText="1"/>
    </xf>
    <xf borderId="0" fillId="4" fontId="3" numFmtId="0" xfId="0" applyAlignment="1" applyFont="1">
      <alignment horizontal="center" readingOrder="0" vertical="center"/>
    </xf>
    <xf borderId="0" fillId="4" fontId="3" numFmtId="49" xfId="0" applyAlignment="1" applyFont="1" applyNumberFormat="1">
      <alignment horizontal="center" vertical="center"/>
    </xf>
    <xf borderId="0" fillId="4" fontId="3" numFmtId="0" xfId="0" applyAlignment="1" applyFont="1">
      <alignment readingOrder="0" vertical="center"/>
    </xf>
    <xf borderId="0" fillId="4" fontId="3" numFmtId="0" xfId="0" applyAlignment="1" applyFont="1">
      <alignment horizontal="left" readingOrder="0" shrinkToFit="0" vertical="center" wrapText="1"/>
    </xf>
    <xf borderId="0" fillId="4" fontId="3" numFmtId="0" xfId="0" applyAlignment="1" applyFont="1">
      <alignment horizontal="center" vertical="center"/>
    </xf>
    <xf borderId="0" fillId="4" fontId="3" numFmtId="0" xfId="0" applyAlignment="1" applyFont="1">
      <alignment horizontal="left" readingOrder="0" vertical="center"/>
    </xf>
    <xf borderId="0" fillId="4" fontId="4" numFmtId="0" xfId="0" applyAlignment="1" applyFont="1">
      <alignment readingOrder="0" shrinkToFit="0" vertical="center" wrapText="1"/>
    </xf>
    <xf borderId="0" fillId="4" fontId="4" numFmtId="0" xfId="0" applyAlignment="1" applyFont="1">
      <alignment readingOrder="0" vertical="center"/>
    </xf>
    <xf borderId="0" fillId="0" fontId="4" numFmtId="0" xfId="0" applyAlignment="1" applyFont="1">
      <alignment readingOrder="0" vertical="center"/>
    </xf>
    <xf borderId="0" fillId="5" fontId="3" numFmtId="0" xfId="0" applyAlignment="1" applyFill="1" applyFont="1">
      <alignment vertical="center"/>
    </xf>
    <xf borderId="0" fillId="5" fontId="3" numFmtId="0" xfId="0" applyAlignment="1" applyFont="1">
      <alignment readingOrder="0" shrinkToFit="0" vertical="center" wrapText="1"/>
    </xf>
    <xf borderId="0" fillId="5" fontId="3" numFmtId="0" xfId="0" applyAlignment="1" applyFont="1">
      <alignment horizontal="center" readingOrder="0" vertical="center"/>
    </xf>
    <xf borderId="0" fillId="5" fontId="3" numFmtId="49" xfId="0" applyAlignment="1" applyFont="1" applyNumberFormat="1">
      <alignment horizontal="center" vertical="center"/>
    </xf>
    <xf borderId="0" fillId="5" fontId="3" numFmtId="0" xfId="0" applyAlignment="1" applyFont="1">
      <alignment readingOrder="0" vertical="center"/>
    </xf>
    <xf borderId="0" fillId="5" fontId="3" numFmtId="0" xfId="0" applyAlignment="1" applyFont="1">
      <alignment horizontal="left" readingOrder="0" shrinkToFit="0" vertical="center" wrapText="1"/>
    </xf>
    <xf borderId="0" fillId="5" fontId="3" numFmtId="0" xfId="0" applyAlignment="1" applyFont="1">
      <alignment horizontal="center" vertical="center"/>
    </xf>
    <xf borderId="0" fillId="5" fontId="3" numFmtId="0" xfId="0" applyAlignment="1" applyFont="1">
      <alignment horizontal="left" readingOrder="0" vertical="center"/>
    </xf>
    <xf borderId="0" fillId="5" fontId="4" numFmtId="0" xfId="0" applyAlignment="1" applyFont="1">
      <alignment readingOrder="0" shrinkToFit="0" vertical="center" wrapText="1"/>
    </xf>
    <xf borderId="0" fillId="5" fontId="4" numFmtId="0" xfId="0" applyAlignment="1" applyFont="1">
      <alignment vertical="center"/>
    </xf>
    <xf borderId="0" fillId="0" fontId="4" numFmtId="0" xfId="0" applyAlignment="1" applyFont="1">
      <alignment vertical="center"/>
    </xf>
    <xf borderId="0" fillId="5" fontId="3" numFmtId="0" xfId="0" applyAlignment="1" applyFont="1">
      <alignment readingOrder="0" shrinkToFit="0" vertical="center" wrapText="1"/>
    </xf>
    <xf borderId="0" fillId="5" fontId="4" numFmtId="0" xfId="0" applyAlignment="1" applyFont="1">
      <alignment shrinkToFit="0" vertical="center" wrapText="1"/>
    </xf>
    <xf borderId="0" fillId="5" fontId="3" numFmtId="0" xfId="0" applyAlignment="1" applyFont="1">
      <alignment shrinkToFit="0" vertical="center" wrapText="1"/>
    </xf>
    <xf borderId="0" fillId="6" fontId="3" numFmtId="0" xfId="0" applyAlignment="1" applyFill="1" applyFont="1">
      <alignment vertical="center"/>
    </xf>
    <xf borderId="0" fillId="6" fontId="3" numFmtId="0" xfId="0" applyAlignment="1" applyFont="1">
      <alignment readingOrder="0" shrinkToFit="0" vertical="center" wrapText="1"/>
    </xf>
    <xf borderId="0" fillId="6" fontId="3" numFmtId="0" xfId="0" applyAlignment="1" applyFont="1">
      <alignment horizontal="center" vertical="center"/>
    </xf>
    <xf borderId="0" fillId="6" fontId="3" numFmtId="49" xfId="0" applyAlignment="1" applyFont="1" applyNumberFormat="1">
      <alignment horizontal="center" vertical="center"/>
    </xf>
    <xf borderId="0" fillId="6" fontId="3" numFmtId="0" xfId="0" applyAlignment="1" applyFont="1">
      <alignment readingOrder="0" vertical="center"/>
    </xf>
    <xf borderId="0" fillId="6" fontId="3" numFmtId="0" xfId="0" applyAlignment="1" applyFont="1">
      <alignment horizontal="left" readingOrder="0" shrinkToFit="0" vertical="center" wrapText="1"/>
    </xf>
    <xf borderId="0" fillId="6" fontId="3" numFmtId="0" xfId="0" applyAlignment="1" applyFont="1">
      <alignment horizontal="center" vertical="center"/>
    </xf>
    <xf borderId="0" fillId="6" fontId="3" numFmtId="0" xfId="0" applyAlignment="1" applyFont="1">
      <alignment horizontal="left" vertical="center"/>
    </xf>
    <xf borderId="0" fillId="6" fontId="4" numFmtId="0" xfId="0" applyAlignment="1" applyFont="1">
      <alignment shrinkToFit="0" vertical="center" wrapText="1"/>
    </xf>
    <xf borderId="0" fillId="6" fontId="4" numFmtId="0" xfId="0" applyAlignment="1" applyFont="1">
      <alignment vertical="center"/>
    </xf>
    <xf borderId="0" fillId="6" fontId="3" numFmtId="0" xfId="0" applyAlignment="1" applyFont="1">
      <alignment horizontal="center" readingOrder="0" vertical="center"/>
    </xf>
    <xf borderId="0" fillId="7" fontId="3" numFmtId="0" xfId="0" applyAlignment="1" applyFill="1" applyFont="1">
      <alignment vertical="center"/>
    </xf>
    <xf borderId="0" fillId="7" fontId="3" numFmtId="0" xfId="0" applyAlignment="1" applyFont="1">
      <alignment readingOrder="0" shrinkToFit="0" vertical="center" wrapText="1"/>
    </xf>
    <xf borderId="0" fillId="7" fontId="3" numFmtId="0" xfId="0" applyAlignment="1" applyFont="1">
      <alignment horizontal="center" readingOrder="0" vertical="center"/>
    </xf>
    <xf borderId="0" fillId="7" fontId="3" numFmtId="49" xfId="0" applyAlignment="1" applyFont="1" applyNumberFormat="1">
      <alignment horizontal="center" vertical="center"/>
    </xf>
    <xf borderId="0" fillId="7" fontId="3" numFmtId="0" xfId="0" applyAlignment="1" applyFont="1">
      <alignment readingOrder="0" vertical="center"/>
    </xf>
    <xf borderId="0" fillId="7" fontId="3" numFmtId="0" xfId="0" applyAlignment="1" applyFont="1">
      <alignment horizontal="left" readingOrder="0" shrinkToFit="0" vertical="center" wrapText="1"/>
    </xf>
    <xf borderId="0" fillId="7" fontId="3" numFmtId="0" xfId="0" applyAlignment="1" applyFont="1">
      <alignment horizontal="center" vertical="center"/>
    </xf>
    <xf borderId="0" fillId="7" fontId="3" numFmtId="0" xfId="0" applyAlignment="1" applyFont="1">
      <alignment horizontal="left" vertical="center"/>
    </xf>
    <xf borderId="0" fillId="7" fontId="4" numFmtId="0" xfId="0" applyAlignment="1" applyFont="1">
      <alignment shrinkToFit="0" vertical="center" wrapText="1"/>
    </xf>
    <xf borderId="0" fillId="7" fontId="4" numFmtId="0" xfId="0" applyAlignment="1" applyFont="1">
      <alignment vertical="center"/>
    </xf>
    <xf borderId="0" fillId="8" fontId="3" numFmtId="0" xfId="0" applyAlignment="1" applyFill="1" applyFont="1">
      <alignment vertical="center"/>
    </xf>
    <xf borderId="0" fillId="8" fontId="3" numFmtId="0" xfId="0" applyAlignment="1" applyFont="1">
      <alignment readingOrder="0" shrinkToFit="0" vertical="center" wrapText="1"/>
    </xf>
    <xf borderId="0" fillId="8" fontId="3" numFmtId="0" xfId="0" applyAlignment="1" applyFont="1">
      <alignment horizontal="center" readingOrder="0" vertical="center"/>
    </xf>
    <xf borderId="0" fillId="8" fontId="3" numFmtId="49" xfId="0" applyAlignment="1" applyFont="1" applyNumberFormat="1">
      <alignment horizontal="center" vertical="center"/>
    </xf>
    <xf borderId="0" fillId="8" fontId="3" numFmtId="0" xfId="0" applyAlignment="1" applyFont="1">
      <alignment readingOrder="0" vertical="center"/>
    </xf>
    <xf borderId="0" fillId="8" fontId="3" numFmtId="0" xfId="0" applyAlignment="1" applyFont="1">
      <alignment horizontal="left" readingOrder="0" shrinkToFit="0" vertical="center" wrapText="1"/>
    </xf>
    <xf borderId="0" fillId="8" fontId="3" numFmtId="0" xfId="0" applyAlignment="1" applyFont="1">
      <alignment horizontal="center" vertical="center"/>
    </xf>
    <xf borderId="0" fillId="8" fontId="3" numFmtId="0" xfId="0" applyAlignment="1" applyFont="1">
      <alignment horizontal="left" vertical="center"/>
    </xf>
    <xf borderId="0" fillId="8" fontId="4" numFmtId="0" xfId="0" applyAlignment="1" applyFont="1">
      <alignment shrinkToFit="0" vertical="center" wrapText="1"/>
    </xf>
    <xf borderId="0" fillId="8" fontId="4" numFmtId="0" xfId="0" applyAlignment="1" applyFont="1">
      <alignment vertical="center"/>
    </xf>
    <xf borderId="0" fillId="9" fontId="3" numFmtId="0" xfId="0" applyAlignment="1" applyFill="1" applyFont="1">
      <alignment vertical="center"/>
    </xf>
    <xf borderId="0" fillId="9" fontId="3" numFmtId="0" xfId="0" applyAlignment="1" applyFont="1">
      <alignment readingOrder="0" shrinkToFit="0" vertical="center" wrapText="1"/>
    </xf>
    <xf borderId="0" fillId="9" fontId="3" numFmtId="0" xfId="0" applyAlignment="1" applyFont="1">
      <alignment horizontal="center" readingOrder="0" vertical="center"/>
    </xf>
    <xf borderId="0" fillId="9" fontId="3" numFmtId="49" xfId="0" applyAlignment="1" applyFont="1" applyNumberFormat="1">
      <alignment horizontal="center" vertical="center"/>
    </xf>
    <xf borderId="0" fillId="9" fontId="3" numFmtId="0" xfId="0" applyAlignment="1" applyFont="1">
      <alignment readingOrder="0" vertical="center"/>
    </xf>
    <xf borderId="0" fillId="9" fontId="3" numFmtId="0" xfId="0" applyAlignment="1" applyFont="1">
      <alignment horizontal="left" readingOrder="0" shrinkToFit="0" vertical="center" wrapText="1"/>
    </xf>
    <xf borderId="0" fillId="9" fontId="3" numFmtId="0" xfId="0" applyAlignment="1" applyFont="1">
      <alignment horizontal="center" vertical="center"/>
    </xf>
    <xf borderId="0" fillId="9" fontId="3" numFmtId="0" xfId="0" applyAlignment="1" applyFont="1">
      <alignment horizontal="left" vertical="center"/>
    </xf>
    <xf borderId="0" fillId="9" fontId="4" numFmtId="0" xfId="0" applyAlignment="1" applyFont="1">
      <alignment shrinkToFit="0" vertical="center" wrapText="1"/>
    </xf>
    <xf borderId="0" fillId="9" fontId="4" numFmtId="0" xfId="0" applyAlignment="1" applyFont="1">
      <alignment vertical="center"/>
    </xf>
    <xf borderId="0" fillId="4" fontId="3" numFmtId="0" xfId="0" applyAlignment="1" applyFont="1">
      <alignment horizontal="left" vertical="center"/>
    </xf>
    <xf borderId="0" fillId="4" fontId="4" numFmtId="0" xfId="0" applyAlignment="1" applyFont="1">
      <alignment shrinkToFit="0" vertical="center" wrapText="1"/>
    </xf>
    <xf borderId="0" fillId="4" fontId="4" numFmtId="0" xfId="0" applyAlignment="1" applyFont="1">
      <alignment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3" numFmtId="1" xfId="0" applyAlignment="1" applyFont="1" applyNumberFormat="1">
      <alignment horizontal="center" readingOrder="0" vertical="center"/>
    </xf>
    <xf borderId="0" fillId="0" fontId="3" numFmtId="49" xfId="0" applyAlignment="1" applyFont="1" applyNumberFormat="1">
      <alignment horizontal="center" vertical="center"/>
    </xf>
    <xf borderId="0" fillId="0" fontId="3" numFmtId="0" xfId="0" applyAlignment="1" applyFont="1">
      <alignment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vertical="center"/>
    </xf>
    <xf borderId="0" fillId="0" fontId="3" numFmtId="0" xfId="0" applyAlignment="1" applyFont="1">
      <alignment horizontal="left" vertical="center"/>
    </xf>
    <xf borderId="0" fillId="0" fontId="4" numFmtId="0" xfId="0" applyAlignment="1" applyFont="1">
      <alignment shrinkToFit="0" vertical="center" wrapText="1"/>
    </xf>
    <xf borderId="0" fillId="0" fontId="3" numFmtId="0" xfId="0" applyAlignment="1" applyFon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horizontal="center" readingOrder="0" vertical="center"/>
    </xf>
    <xf borderId="0" fillId="0" fontId="4" numFmtId="0" xfId="0" applyAlignment="1" applyFont="1">
      <alignment shrinkToFit="0" vertical="center" wrapText="0"/>
    </xf>
    <xf borderId="0" fillId="0" fontId="4" numFmtId="0" xfId="0" applyAlignment="1" applyFont="1">
      <alignment horizontal="center" vertical="center"/>
    </xf>
    <xf borderId="0" fillId="0" fontId="4" numFmtId="0" xfId="0" applyAlignment="1" applyFont="1">
      <alignment horizontal="left" vertical="center"/>
    </xf>
    <xf borderId="0" fillId="0" fontId="5" numFmtId="0" xfId="0" applyAlignment="1" applyFont="1">
      <alignment readingOrder="0"/>
    </xf>
    <xf borderId="0" fillId="10" fontId="5" numFmtId="0" xfId="0" applyAlignment="1" applyFill="1" applyFont="1">
      <alignment readingOrder="0"/>
    </xf>
    <xf borderId="0" fillId="10" fontId="5" numFmtId="0" xfId="0" applyFont="1"/>
    <xf borderId="0" fillId="0" fontId="4" numFmtId="0" xfId="0" applyAlignment="1" applyFont="1">
      <alignment readingOrder="0"/>
    </xf>
    <xf borderId="0" fillId="0" fontId="4" numFmtId="0" xfId="0" applyAlignment="1" applyFont="1">
      <alignment readingOrder="0"/>
    </xf>
    <xf borderId="0" fillId="10" fontId="5" numFmtId="0" xfId="0" applyAlignment="1" applyFont="1">
      <alignment readingOrder="0"/>
    </xf>
    <xf borderId="0" fillId="3" fontId="6" numFmtId="0" xfId="0" applyAlignment="1" applyFont="1">
      <alignment horizontal="center" vertical="bottom"/>
    </xf>
    <xf borderId="0" fillId="11" fontId="6" numFmtId="0" xfId="0" applyAlignment="1" applyFill="1" applyFont="1">
      <alignment horizontal="right" readingOrder="0"/>
    </xf>
    <xf borderId="0" fillId="11" fontId="7" numFmtId="164" xfId="0" applyAlignment="1" applyFont="1" applyNumberFormat="1">
      <alignment horizontal="right" readingOrder="0"/>
    </xf>
    <xf borderId="0" fillId="11" fontId="8" numFmtId="0" xfId="0" applyAlignment="1" applyFont="1">
      <alignment horizontal="right"/>
    </xf>
    <xf borderId="0" fillId="0" fontId="9" numFmtId="0" xfId="0" applyAlignment="1" applyFont="1">
      <alignment horizontal="right" vertical="bottom"/>
    </xf>
    <xf borderId="0" fillId="0" fontId="10" numFmtId="0" xfId="0" applyAlignment="1" applyFont="1">
      <alignment horizontal="right" readingOrder="0" vertical="bottom"/>
    </xf>
    <xf borderId="0" fillId="0" fontId="11" numFmtId="0" xfId="0" applyAlignment="1" applyFont="1">
      <alignment horizontal="left" shrinkToFit="0" vertical="bottom" wrapText="1"/>
    </xf>
    <xf borderId="0" fillId="0" fontId="12" numFmtId="0" xfId="0" applyAlignment="1" applyFont="1">
      <alignment horizontal="right" vertical="bottom"/>
    </xf>
    <xf borderId="0" fillId="0" fontId="9" numFmtId="0" xfId="0" applyAlignment="1" applyFont="1">
      <alignment horizontal="right" readingOrder="0"/>
    </xf>
    <xf borderId="0" fillId="0" fontId="13" numFmtId="0" xfId="0" applyAlignment="1" applyFont="1">
      <alignment horizontal="right" readingOrder="0" shrinkToFit="0" wrapText="0"/>
    </xf>
    <xf borderId="0" fillId="0" fontId="11" numFmtId="0" xfId="0" applyAlignment="1" applyFont="1">
      <alignment horizontal="left" readingOrder="0" shrinkToFit="0" wrapText="1"/>
    </xf>
    <xf borderId="0" fillId="0" fontId="11" numFmtId="0" xfId="0" applyAlignment="1" applyFont="1">
      <alignment horizontal="left" readingOrder="0" shrinkToFit="0" vertical="bottom" wrapText="1"/>
    </xf>
    <xf borderId="0" fillId="0" fontId="10" numFmtId="165" xfId="0" applyAlignment="1" applyFont="1" applyNumberFormat="1">
      <alignment horizontal="right" readingOrder="0"/>
    </xf>
    <xf borderId="0" fillId="11" fontId="14" numFmtId="0" xfId="0" applyAlignment="1" applyFont="1">
      <alignment horizontal="left" shrinkToFit="0" wrapText="1"/>
    </xf>
    <xf borderId="0" fillId="0" fontId="9" numFmtId="0" xfId="0" applyAlignment="1" applyFont="1">
      <alignment horizontal="right" readingOrder="0" vertical="bottom"/>
    </xf>
    <xf borderId="0" fillId="0" fontId="15" numFmtId="0" xfId="0" applyAlignment="1" applyFont="1">
      <alignment horizontal="left" readingOrder="0" vertical="bottom"/>
    </xf>
    <xf borderId="0" fillId="0" fontId="12" numFmtId="0" xfId="0" applyAlignment="1" applyFont="1">
      <alignment horizontal="right" readingOrder="0" vertical="bottom"/>
    </xf>
    <xf borderId="0" fillId="0" fontId="10" numFmtId="166" xfId="0" applyAlignment="1" applyFont="1" applyNumberFormat="1">
      <alignment horizontal="right" readingOrder="0" vertical="bottom"/>
    </xf>
    <xf borderId="0" fillId="0" fontId="10" numFmtId="0" xfId="0" applyAlignment="1" applyFont="1">
      <alignment horizontal="center" readingOrder="0" vertical="center"/>
    </xf>
    <xf borderId="0" fillId="0" fontId="10" numFmtId="0" xfId="0" applyAlignment="1" applyFont="1">
      <alignment horizontal="center" readingOrder="0" vertical="bottom"/>
    </xf>
    <xf borderId="0" fillId="0" fontId="10" numFmtId="0" xfId="0" applyAlignment="1" applyFont="1">
      <alignment horizontal="right" vertical="bottom"/>
    </xf>
    <xf borderId="0" fillId="0" fontId="10" numFmtId="164" xfId="0" applyAlignment="1" applyFont="1" applyNumberFormat="1">
      <alignment horizontal="right" readingOrder="0"/>
    </xf>
    <xf borderId="0" fillId="0" fontId="12" numFmtId="0" xfId="0" applyAlignment="1" applyFont="1">
      <alignment horizontal="right" readingOrder="0"/>
    </xf>
    <xf borderId="0" fillId="0" fontId="16" numFmtId="0" xfId="0" applyAlignment="1" applyFont="1">
      <alignment horizontal="left" readingOrder="0" shrinkToFit="0" wrapText="0"/>
    </xf>
    <xf borderId="0" fillId="0" fontId="10" numFmtId="164" xfId="0" applyAlignment="1" applyFont="1" applyNumberFormat="1">
      <alignment horizontal="right" readingOrder="0" vertical="bottom"/>
    </xf>
    <xf borderId="0" fillId="0" fontId="10" numFmtId="9" xfId="0" applyAlignment="1" applyFont="1" applyNumberFormat="1">
      <alignment horizontal="right" readingOrder="0" vertical="bottom"/>
    </xf>
    <xf borderId="0" fillId="0" fontId="9" numFmtId="0" xfId="0" applyAlignment="1" applyFont="1">
      <alignment horizontal="right" vertical="center"/>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2" numFmtId="0" xfId="0" applyAlignment="1" applyFont="1">
      <alignment horizontal="right" vertical="center"/>
    </xf>
    <xf borderId="0" fillId="0" fontId="10" numFmtId="167" xfId="0" applyAlignment="1" applyFont="1" applyNumberFormat="1">
      <alignment horizontal="right" readingOrder="0"/>
    </xf>
    <xf borderId="0" fillId="0" fontId="10" numFmtId="0" xfId="0" applyAlignment="1" applyFont="1">
      <alignment horizontal="right" readingOrder="0"/>
    </xf>
    <xf borderId="0" fillId="0" fontId="9" numFmtId="0" xfId="0" applyAlignment="1" applyFont="1">
      <alignment horizontal="right"/>
    </xf>
    <xf borderId="0" fillId="0" fontId="10" numFmtId="0" xfId="0" applyAlignment="1" applyFont="1">
      <alignment horizontal="right"/>
    </xf>
    <xf borderId="0" fillId="0" fontId="11" numFmtId="0" xfId="0" applyAlignment="1" applyFont="1">
      <alignment horizontal="left" shrinkToFit="0" vertical="center" wrapText="1"/>
    </xf>
    <xf borderId="0" fillId="0" fontId="10" numFmtId="0" xfId="0" applyAlignment="1" applyFont="1">
      <alignment vertical="bottom"/>
    </xf>
    <xf borderId="0" fillId="0" fontId="10" numFmtId="0" xfId="0" applyAlignment="1" applyFont="1">
      <alignment horizontal="left" shrinkToFit="0" vertical="bottom" wrapText="0"/>
    </xf>
    <xf borderId="0" fillId="0" fontId="10" numFmtId="0" xfId="0" applyAlignment="1" applyFont="1">
      <alignment horizontal="left" vertical="bottom"/>
    </xf>
    <xf borderId="0" fillId="11" fontId="6" numFmtId="0" xfId="0" applyAlignment="1" applyFont="1">
      <alignment horizontal="left" readingOrder="0"/>
    </xf>
    <xf borderId="0" fillId="0" fontId="9" numFmtId="0" xfId="0" applyAlignment="1" applyFont="1">
      <alignment horizontal="right" readingOrder="0" shrinkToFit="0" vertical="top" wrapText="1"/>
    </xf>
    <xf borderId="0" fillId="0" fontId="10" numFmtId="0" xfId="0" applyAlignment="1" applyFont="1">
      <alignment readingOrder="0" shrinkToFit="0" vertical="bottom" wrapText="1"/>
    </xf>
    <xf borderId="0" fillId="0" fontId="10" numFmtId="0" xfId="0" applyFont="1"/>
    <xf borderId="1" fillId="2" fontId="6" numFmtId="0" xfId="0" applyAlignment="1" applyBorder="1" applyFont="1">
      <alignment readingOrder="0"/>
    </xf>
    <xf borderId="1" fillId="2" fontId="7" numFmtId="0" xfId="0" applyAlignment="1" applyBorder="1" applyFont="1">
      <alignment horizontal="center"/>
    </xf>
    <xf borderId="1" fillId="2" fontId="7" numFmtId="0" xfId="0" applyBorder="1" applyFont="1"/>
    <xf borderId="0" fillId="0" fontId="10" numFmtId="0" xfId="0" applyAlignment="1" applyFont="1">
      <alignment horizontal="center"/>
    </xf>
    <xf borderId="0" fillId="0" fontId="11" numFmtId="0" xfId="0" applyAlignment="1" applyFont="1">
      <alignment horizontal="left" readingOrder="0" shrinkToFit="0" wrapText="0"/>
    </xf>
    <xf borderId="0" fillId="0" fontId="16" numFmtId="0" xfId="0" applyAlignment="1" applyFont="1">
      <alignment readingOrder="0"/>
    </xf>
    <xf borderId="0" fillId="0" fontId="16" numFmtId="0" xfId="0" applyFont="1"/>
    <xf borderId="0" fillId="0" fontId="16" numFmtId="0" xfId="0" applyAlignment="1" applyFont="1">
      <alignment horizontal="right" readingOrder="0"/>
    </xf>
    <xf borderId="0" fillId="0" fontId="11" numFmtId="0" xfId="0" applyAlignment="1" applyFont="1">
      <alignment horizontal="left" shrinkToFit="0" wrapText="0"/>
    </xf>
    <xf borderId="0" fillId="0" fontId="16" numFmtId="0" xfId="0" applyAlignment="1" applyFont="1">
      <alignment horizontal="right"/>
    </xf>
    <xf borderId="0" fillId="0" fontId="10" numFmtId="0" xfId="0" applyAlignment="1" applyFont="1">
      <alignment horizontal="center" readingOrder="0"/>
    </xf>
    <xf borderId="0" fillId="0" fontId="11" numFmtId="0" xfId="0" applyAlignment="1" applyFont="1">
      <alignment horizontal="left" readingOrder="0" shrinkToFit="0" vertical="bottom" wrapText="0"/>
    </xf>
    <xf borderId="0" fillId="0" fontId="10" numFmtId="168" xfId="0" applyAlignment="1" applyFont="1" applyNumberFormat="1">
      <alignment horizontal="center" readingOrder="0"/>
    </xf>
    <xf borderId="0" fillId="0" fontId="10" numFmtId="14" xfId="0" applyAlignment="1" applyFont="1" applyNumberFormat="1">
      <alignment horizontal="center"/>
    </xf>
    <xf borderId="0" fillId="0" fontId="10" numFmtId="9" xfId="0" applyAlignment="1" applyFont="1" applyNumberFormat="1">
      <alignment horizontal="center"/>
    </xf>
    <xf borderId="1" fillId="2" fontId="6" numFmtId="0" xfId="0" applyBorder="1" applyFont="1"/>
    <xf borderId="1" fillId="2" fontId="17" numFmtId="0" xfId="0" applyBorder="1" applyFont="1"/>
    <xf borderId="0" fillId="12" fontId="9" numFmtId="0" xfId="0" applyAlignment="1" applyFill="1" applyFont="1">
      <alignment horizontal="right"/>
    </xf>
    <xf borderId="0" fillId="12" fontId="9" numFmtId="0" xfId="0" applyAlignment="1" applyFont="1">
      <alignment horizontal="center" readingOrder="0"/>
    </xf>
    <xf borderId="0" fillId="0" fontId="10" numFmtId="1" xfId="0" applyAlignment="1" applyFont="1" applyNumberFormat="1">
      <alignment horizontal="center"/>
    </xf>
    <xf borderId="0" fillId="0" fontId="10" numFmtId="9" xfId="0" applyAlignment="1" applyFont="1" applyNumberFormat="1">
      <alignment horizontal="center" readingOrder="0"/>
    </xf>
    <xf borderId="0" fillId="0" fontId="12" numFmtId="0" xfId="0" applyAlignment="1" applyFont="1">
      <alignment horizontal="left" readingOrder="0"/>
    </xf>
    <xf borderId="0" fillId="0" fontId="9" numFmtId="0" xfId="0" applyAlignment="1" applyFont="1">
      <alignment vertical="bottom"/>
    </xf>
    <xf borderId="1" fillId="2" fontId="6" numFmtId="0" xfId="0" applyAlignment="1" applyBorder="1" applyFont="1">
      <alignment horizontal="center" readingOrder="0" shrinkToFit="0" wrapText="0"/>
    </xf>
    <xf borderId="1" fillId="2" fontId="6" numFmtId="0" xfId="0" applyAlignment="1" applyBorder="1" applyFont="1">
      <alignment horizontal="center" readingOrder="0"/>
    </xf>
    <xf borderId="0" fillId="0" fontId="10" numFmtId="0" xfId="0" applyAlignment="1" applyFont="1">
      <alignment horizontal="center" shrinkToFit="0" wrapText="0"/>
    </xf>
    <xf borderId="0" fillId="0" fontId="10" numFmtId="0" xfId="0" applyAlignment="1" applyFont="1">
      <alignment horizontal="center" readingOrder="0" shrinkToFit="0" wrapText="0"/>
    </xf>
    <xf borderId="0" fillId="0" fontId="11" numFmtId="0" xfId="0" applyAlignment="1" applyFont="1">
      <alignment readingOrder="0" vertical="bottom"/>
    </xf>
    <xf borderId="0" fillId="0" fontId="10" numFmtId="164" xfId="0" applyAlignment="1" applyFont="1" applyNumberFormat="1">
      <alignment horizontal="center" shrinkToFit="0" wrapText="0"/>
    </xf>
    <xf borderId="1" fillId="2" fontId="6" numFmtId="0" xfId="0" applyAlignment="1" applyBorder="1" applyFont="1">
      <alignment shrinkToFit="0" wrapText="0"/>
    </xf>
    <xf borderId="0" fillId="0" fontId="9" numFmtId="0" xfId="0" applyAlignment="1" applyFont="1">
      <alignment shrinkToFit="0" wrapText="0"/>
    </xf>
    <xf borderId="0" fillId="0" fontId="9" numFmtId="0" xfId="0" applyAlignment="1" applyFont="1">
      <alignment horizontal="center" shrinkToFit="0" wrapText="0"/>
    </xf>
    <xf borderId="0" fillId="0" fontId="9" numFmtId="164" xfId="0" applyAlignment="1" applyFont="1" applyNumberFormat="1">
      <alignment horizontal="center"/>
    </xf>
    <xf borderId="0" fillId="0" fontId="10" numFmtId="0" xfId="0" applyAlignment="1" applyFont="1">
      <alignment horizontal="center" vertical="bottom"/>
    </xf>
    <xf borderId="0" fillId="0" fontId="10" numFmtId="164" xfId="0" applyAlignment="1" applyFont="1" applyNumberFormat="1">
      <alignment horizontal="center" vertical="bottom"/>
    </xf>
    <xf borderId="0" fillId="0" fontId="10" numFmtId="164" xfId="0" applyAlignment="1" applyFont="1" applyNumberFormat="1">
      <alignment horizontal="center"/>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a7pwOfFLpOtXfYC5O2aKkec9pSzLye0T" TargetMode="External"/><Relationship Id="rId2" Type="http://schemas.openxmlformats.org/officeDocument/2006/relationships/hyperlink" Target="https://script.google.com/macros/s/AKfycbzxl20njKYjtoRio0MTklGsQD9BQFNHblU2_edDke0O95w7AFvT3Ek8ZARhpKzQ3e4eeA/exec?sheetId=1v4EIEgO2CpbFWMHqzW1Xmut7u73s6JndNe0-sqh6uO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12.5"/>
    <col customWidth="1" min="3" max="3" width="23.88"/>
    <col customWidth="1" min="4" max="6" width="32.13"/>
    <col customWidth="1" min="7" max="9" width="10.38"/>
    <col customWidth="1" min="10" max="10" width="9.63"/>
    <col customWidth="1" min="11" max="11" width="10.5"/>
    <col customWidth="1" min="12" max="12" width="15.75"/>
    <col customWidth="1" min="13" max="13" width="9.0"/>
    <col customWidth="1" min="14" max="14" width="7.38"/>
    <col customWidth="1" min="15" max="16" width="26.0"/>
    <col customWidth="1" min="17" max="17" width="20.13"/>
  </cols>
  <sheetData>
    <row r="1">
      <c r="A1" s="1" t="s">
        <v>0</v>
      </c>
      <c r="B1" s="2" t="s">
        <v>1</v>
      </c>
      <c r="C1" s="2" t="s">
        <v>2</v>
      </c>
      <c r="D1" s="2" t="s">
        <v>3</v>
      </c>
      <c r="E1" s="2" t="s">
        <v>4</v>
      </c>
      <c r="F1" s="3" t="s">
        <v>5</v>
      </c>
      <c r="G1" s="4" t="s">
        <v>6</v>
      </c>
      <c r="H1" s="4" t="s">
        <v>7</v>
      </c>
      <c r="I1" s="5" t="s">
        <v>8</v>
      </c>
      <c r="J1" s="2" t="s">
        <v>9</v>
      </c>
      <c r="K1" s="6" t="s">
        <v>10</v>
      </c>
      <c r="L1" s="7" t="s">
        <v>11</v>
      </c>
      <c r="M1" s="8" t="s">
        <v>12</v>
      </c>
      <c r="N1" s="9" t="s">
        <v>13</v>
      </c>
      <c r="O1" s="6" t="s">
        <v>14</v>
      </c>
      <c r="P1" s="6" t="s">
        <v>15</v>
      </c>
      <c r="Q1" s="6"/>
    </row>
    <row r="2">
      <c r="A2" s="10"/>
      <c r="B2" s="11" t="s">
        <v>16</v>
      </c>
      <c r="C2" s="11" t="s">
        <v>17</v>
      </c>
      <c r="D2" s="11" t="s">
        <v>18</v>
      </c>
      <c r="E2" s="11" t="s">
        <v>19</v>
      </c>
      <c r="F2" s="12" t="s">
        <v>20</v>
      </c>
      <c r="G2" s="13">
        <v>12.0</v>
      </c>
      <c r="H2" s="13">
        <v>16.0</v>
      </c>
      <c r="I2" s="14">
        <f t="shared" ref="I2:I28" si="1">IF(AND(G2&lt;&gt;"",H2&lt;&gt;""),ROUNDUP(AVERAGE(G2:H2),0),"")</f>
        <v>14</v>
      </c>
      <c r="J2" s="15" t="s">
        <v>21</v>
      </c>
      <c r="K2" s="15" t="b">
        <v>0</v>
      </c>
      <c r="L2" s="16"/>
      <c r="M2" s="17"/>
      <c r="N2" s="18"/>
      <c r="O2" s="19"/>
      <c r="P2" s="20"/>
      <c r="Q2" s="21"/>
    </row>
    <row r="3">
      <c r="A3" s="22"/>
      <c r="B3" s="23" t="s">
        <v>22</v>
      </c>
      <c r="C3" s="23" t="s">
        <v>23</v>
      </c>
      <c r="D3" s="23" t="s">
        <v>24</v>
      </c>
      <c r="E3" s="23" t="s">
        <v>25</v>
      </c>
      <c r="F3" s="23" t="s">
        <v>26</v>
      </c>
      <c r="G3" s="24">
        <v>12.0</v>
      </c>
      <c r="H3" s="24">
        <v>14.0</v>
      </c>
      <c r="I3" s="25">
        <f t="shared" si="1"/>
        <v>13</v>
      </c>
      <c r="J3" s="26" t="s">
        <v>21</v>
      </c>
      <c r="K3" s="26" t="b">
        <v>0</v>
      </c>
      <c r="L3" s="27"/>
      <c r="M3" s="28"/>
      <c r="N3" s="29"/>
      <c r="O3" s="30"/>
      <c r="P3" s="31"/>
      <c r="Q3" s="32"/>
    </row>
    <row r="4">
      <c r="A4" s="22"/>
      <c r="B4" s="23" t="s">
        <v>22</v>
      </c>
      <c r="C4" s="23" t="s">
        <v>27</v>
      </c>
      <c r="D4" s="23" t="s">
        <v>28</v>
      </c>
      <c r="E4" s="23" t="s">
        <v>29</v>
      </c>
      <c r="F4" s="33" t="s">
        <v>30</v>
      </c>
      <c r="G4" s="24">
        <v>6.0</v>
      </c>
      <c r="H4" s="24">
        <v>8.0</v>
      </c>
      <c r="I4" s="25">
        <f t="shared" si="1"/>
        <v>7</v>
      </c>
      <c r="J4" s="26" t="s">
        <v>21</v>
      </c>
      <c r="K4" s="26" t="b">
        <v>0</v>
      </c>
      <c r="L4" s="27" t="s">
        <v>31</v>
      </c>
      <c r="M4" s="28"/>
      <c r="N4" s="29"/>
      <c r="O4" s="34"/>
      <c r="P4" s="31"/>
      <c r="Q4" s="32"/>
    </row>
    <row r="5">
      <c r="A5" s="22"/>
      <c r="B5" s="35" t="s">
        <v>22</v>
      </c>
      <c r="C5" s="35" t="s">
        <v>32</v>
      </c>
      <c r="D5" s="23" t="s">
        <v>33</v>
      </c>
      <c r="E5" s="35" t="s">
        <v>34</v>
      </c>
      <c r="F5" s="35" t="s">
        <v>35</v>
      </c>
      <c r="G5" s="24">
        <v>5.0</v>
      </c>
      <c r="H5" s="24">
        <v>6.0</v>
      </c>
      <c r="I5" s="25">
        <f t="shared" si="1"/>
        <v>6</v>
      </c>
      <c r="J5" s="26" t="s">
        <v>21</v>
      </c>
      <c r="K5" s="26" t="b">
        <v>0</v>
      </c>
      <c r="L5" s="27"/>
      <c r="M5" s="28"/>
      <c r="N5" s="29"/>
      <c r="O5" s="34"/>
      <c r="P5" s="31"/>
      <c r="Q5" s="32"/>
    </row>
    <row r="6">
      <c r="A6" s="36"/>
      <c r="B6" s="37" t="s">
        <v>36</v>
      </c>
      <c r="C6" s="37" t="s">
        <v>37</v>
      </c>
      <c r="D6" s="37" t="s">
        <v>38</v>
      </c>
      <c r="E6" s="37" t="s">
        <v>39</v>
      </c>
      <c r="F6" s="37" t="s">
        <v>40</v>
      </c>
      <c r="G6" s="38">
        <v>4.0</v>
      </c>
      <c r="H6" s="38">
        <v>5.0</v>
      </c>
      <c r="I6" s="39">
        <f t="shared" si="1"/>
        <v>5</v>
      </c>
      <c r="J6" s="40" t="s">
        <v>21</v>
      </c>
      <c r="K6" s="40" t="b">
        <v>0</v>
      </c>
      <c r="L6" s="41"/>
      <c r="M6" s="42"/>
      <c r="N6" s="43"/>
      <c r="O6" s="44"/>
      <c r="P6" s="45"/>
      <c r="Q6" s="32"/>
    </row>
    <row r="7">
      <c r="A7" s="36"/>
      <c r="B7" s="37" t="s">
        <v>36</v>
      </c>
      <c r="C7" s="37" t="s">
        <v>41</v>
      </c>
      <c r="D7" s="37" t="s">
        <v>42</v>
      </c>
      <c r="E7" s="37" t="s">
        <v>43</v>
      </c>
      <c r="F7" s="37" t="s">
        <v>44</v>
      </c>
      <c r="G7" s="46">
        <v>12.0</v>
      </c>
      <c r="H7" s="46">
        <v>16.0</v>
      </c>
      <c r="I7" s="39">
        <f t="shared" si="1"/>
        <v>14</v>
      </c>
      <c r="J7" s="40" t="s">
        <v>21</v>
      </c>
      <c r="K7" s="40" t="b">
        <v>0</v>
      </c>
      <c r="L7" s="41"/>
      <c r="M7" s="42"/>
      <c r="N7" s="43"/>
      <c r="O7" s="44"/>
      <c r="P7" s="45"/>
      <c r="Q7" s="32"/>
    </row>
    <row r="8">
      <c r="A8" s="36"/>
      <c r="B8" s="37" t="s">
        <v>36</v>
      </c>
      <c r="C8" s="37" t="s">
        <v>45</v>
      </c>
      <c r="D8" s="37" t="s">
        <v>46</v>
      </c>
      <c r="E8" s="37" t="s">
        <v>47</v>
      </c>
      <c r="F8" s="37" t="s">
        <v>48</v>
      </c>
      <c r="G8" s="46">
        <v>12.0</v>
      </c>
      <c r="H8" s="46">
        <v>16.0</v>
      </c>
      <c r="I8" s="39">
        <f t="shared" si="1"/>
        <v>14</v>
      </c>
      <c r="J8" s="40" t="s">
        <v>21</v>
      </c>
      <c r="K8" s="40" t="b">
        <v>0</v>
      </c>
      <c r="L8" s="41"/>
      <c r="M8" s="42"/>
      <c r="N8" s="43"/>
      <c r="O8" s="44"/>
      <c r="P8" s="45"/>
      <c r="Q8" s="32"/>
    </row>
    <row r="9">
      <c r="A9" s="36"/>
      <c r="B9" s="37" t="s">
        <v>36</v>
      </c>
      <c r="C9" s="37" t="s">
        <v>49</v>
      </c>
      <c r="D9" s="37" t="s">
        <v>50</v>
      </c>
      <c r="E9" s="37" t="s">
        <v>51</v>
      </c>
      <c r="F9" s="37" t="s">
        <v>52</v>
      </c>
      <c r="G9" s="46">
        <v>4.0</v>
      </c>
      <c r="H9" s="46">
        <v>5.0</v>
      </c>
      <c r="I9" s="39">
        <f t="shared" si="1"/>
        <v>5</v>
      </c>
      <c r="J9" s="40" t="s">
        <v>21</v>
      </c>
      <c r="K9" s="40" t="b">
        <v>0</v>
      </c>
      <c r="L9" s="41"/>
      <c r="M9" s="42"/>
      <c r="N9" s="43"/>
      <c r="O9" s="44"/>
      <c r="P9" s="45"/>
      <c r="Q9" s="32"/>
    </row>
    <row r="10">
      <c r="A10" s="47"/>
      <c r="B10" s="48" t="s">
        <v>53</v>
      </c>
      <c r="C10" s="48" t="s">
        <v>54</v>
      </c>
      <c r="D10" s="48" t="s">
        <v>55</v>
      </c>
      <c r="E10" s="48" t="s">
        <v>56</v>
      </c>
      <c r="F10" s="48" t="s">
        <v>57</v>
      </c>
      <c r="G10" s="49">
        <v>8.0</v>
      </c>
      <c r="H10" s="49">
        <v>10.0</v>
      </c>
      <c r="I10" s="50">
        <f t="shared" si="1"/>
        <v>9</v>
      </c>
      <c r="J10" s="51" t="s">
        <v>21</v>
      </c>
      <c r="K10" s="51" t="b">
        <v>0</v>
      </c>
      <c r="L10" s="52" t="s">
        <v>58</v>
      </c>
      <c r="M10" s="53"/>
      <c r="N10" s="54"/>
      <c r="O10" s="55"/>
      <c r="P10" s="56"/>
      <c r="Q10" s="32"/>
    </row>
    <row r="11">
      <c r="A11" s="47"/>
      <c r="B11" s="48" t="s">
        <v>53</v>
      </c>
      <c r="C11" s="48" t="s">
        <v>59</v>
      </c>
      <c r="D11" s="48" t="s">
        <v>60</v>
      </c>
      <c r="E11" s="48" t="s">
        <v>61</v>
      </c>
      <c r="F11" s="48" t="s">
        <v>62</v>
      </c>
      <c r="G11" s="49">
        <v>15.0</v>
      </c>
      <c r="H11" s="49">
        <v>25.0</v>
      </c>
      <c r="I11" s="50">
        <f t="shared" si="1"/>
        <v>20</v>
      </c>
      <c r="J11" s="51" t="s">
        <v>21</v>
      </c>
      <c r="K11" s="51" t="b">
        <v>0</v>
      </c>
      <c r="L11" s="52" t="s">
        <v>58</v>
      </c>
      <c r="M11" s="53"/>
      <c r="N11" s="54"/>
      <c r="O11" s="55"/>
      <c r="P11" s="56"/>
      <c r="Q11" s="32"/>
    </row>
    <row r="12">
      <c r="A12" s="57"/>
      <c r="B12" s="58" t="s">
        <v>63</v>
      </c>
      <c r="C12" s="58" t="s">
        <v>64</v>
      </c>
      <c r="D12" s="58" t="s">
        <v>65</v>
      </c>
      <c r="E12" s="58" t="s">
        <v>66</v>
      </c>
      <c r="F12" s="58" t="s">
        <v>67</v>
      </c>
      <c r="G12" s="59">
        <v>10.0</v>
      </c>
      <c r="H12" s="59">
        <v>12.0</v>
      </c>
      <c r="I12" s="60">
        <f t="shared" si="1"/>
        <v>11</v>
      </c>
      <c r="J12" s="61" t="s">
        <v>21</v>
      </c>
      <c r="K12" s="61" t="b">
        <v>0</v>
      </c>
      <c r="L12" s="62"/>
      <c r="M12" s="63"/>
      <c r="N12" s="64"/>
      <c r="O12" s="65"/>
      <c r="P12" s="66"/>
      <c r="Q12" s="32"/>
    </row>
    <row r="13">
      <c r="A13" s="67"/>
      <c r="B13" s="68" t="s">
        <v>68</v>
      </c>
      <c r="C13" s="68" t="s">
        <v>69</v>
      </c>
      <c r="D13" s="68" t="s">
        <v>70</v>
      </c>
      <c r="E13" s="68" t="s">
        <v>71</v>
      </c>
      <c r="F13" s="68" t="s">
        <v>72</v>
      </c>
      <c r="G13" s="69">
        <v>12.0</v>
      </c>
      <c r="H13" s="69">
        <v>14.0</v>
      </c>
      <c r="I13" s="70">
        <f t="shared" si="1"/>
        <v>13</v>
      </c>
      <c r="J13" s="71" t="s">
        <v>21</v>
      </c>
      <c r="K13" s="71" t="b">
        <v>0</v>
      </c>
      <c r="L13" s="72"/>
      <c r="M13" s="73"/>
      <c r="N13" s="74"/>
      <c r="O13" s="75"/>
      <c r="P13" s="76"/>
      <c r="Q13" s="32"/>
    </row>
    <row r="14">
      <c r="A14" s="10"/>
      <c r="B14" s="11" t="s">
        <v>73</v>
      </c>
      <c r="C14" s="11" t="s">
        <v>74</v>
      </c>
      <c r="D14" s="11" t="s">
        <v>75</v>
      </c>
      <c r="E14" s="11" t="s">
        <v>76</v>
      </c>
      <c r="F14" s="11" t="s">
        <v>77</v>
      </c>
      <c r="G14" s="13">
        <v>12.0</v>
      </c>
      <c r="H14" s="13">
        <v>14.0</v>
      </c>
      <c r="I14" s="14">
        <f t="shared" si="1"/>
        <v>13</v>
      </c>
      <c r="J14" s="15" t="s">
        <v>21</v>
      </c>
      <c r="K14" s="15" t="b">
        <v>0</v>
      </c>
      <c r="L14" s="16"/>
      <c r="M14" s="17"/>
      <c r="N14" s="77"/>
      <c r="O14" s="78"/>
      <c r="P14" s="79"/>
      <c r="Q14" s="32"/>
    </row>
    <row r="15">
      <c r="A15" s="10"/>
      <c r="B15" s="11" t="s">
        <v>73</v>
      </c>
      <c r="C15" s="11" t="s">
        <v>78</v>
      </c>
      <c r="D15" s="11" t="s">
        <v>79</v>
      </c>
      <c r="E15" s="11" t="s">
        <v>80</v>
      </c>
      <c r="F15" s="11" t="s">
        <v>81</v>
      </c>
      <c r="G15" s="13">
        <v>12.0</v>
      </c>
      <c r="H15" s="13">
        <v>16.0</v>
      </c>
      <c r="I15" s="14">
        <f t="shared" si="1"/>
        <v>14</v>
      </c>
      <c r="J15" s="15" t="s">
        <v>21</v>
      </c>
      <c r="K15" s="15" t="b">
        <v>0</v>
      </c>
      <c r="L15" s="16"/>
      <c r="M15" s="17"/>
      <c r="N15" s="77"/>
      <c r="O15" s="19"/>
      <c r="P15" s="79"/>
      <c r="Q15" s="32"/>
    </row>
    <row r="16">
      <c r="A16" s="80"/>
      <c r="B16" s="81"/>
      <c r="C16" s="81"/>
      <c r="D16" s="81"/>
      <c r="E16" s="81"/>
      <c r="F16" s="81"/>
      <c r="G16" s="82"/>
      <c r="H16" s="82"/>
      <c r="I16" s="83" t="str">
        <f t="shared" si="1"/>
        <v/>
      </c>
      <c r="J16" s="84"/>
      <c r="K16" s="84" t="b">
        <v>0</v>
      </c>
      <c r="L16" s="85"/>
      <c r="M16" s="86"/>
      <c r="N16" s="87"/>
      <c r="O16" s="88"/>
      <c r="P16" s="32"/>
      <c r="Q16" s="32"/>
    </row>
    <row r="17">
      <c r="A17" s="80"/>
      <c r="B17" s="81"/>
      <c r="C17" s="81"/>
      <c r="D17" s="81"/>
      <c r="E17" s="81"/>
      <c r="F17" s="81"/>
      <c r="G17" s="82"/>
      <c r="H17" s="82"/>
      <c r="I17" s="83" t="str">
        <f t="shared" si="1"/>
        <v/>
      </c>
      <c r="J17" s="84"/>
      <c r="K17" s="84" t="b">
        <v>0</v>
      </c>
      <c r="L17" s="85"/>
      <c r="M17" s="86"/>
      <c r="N17" s="87"/>
      <c r="O17" s="88"/>
      <c r="P17" s="32"/>
      <c r="Q17" s="32"/>
    </row>
    <row r="18">
      <c r="A18" s="80"/>
      <c r="B18" s="81"/>
      <c r="C18" s="81"/>
      <c r="D18" s="81"/>
      <c r="E18" s="81"/>
      <c r="F18" s="81"/>
      <c r="G18" s="89"/>
      <c r="H18" s="89"/>
      <c r="I18" s="83" t="str">
        <f t="shared" si="1"/>
        <v/>
      </c>
      <c r="J18" s="84"/>
      <c r="K18" s="84" t="b">
        <v>0</v>
      </c>
      <c r="L18" s="85"/>
      <c r="M18" s="86"/>
      <c r="N18" s="87"/>
      <c r="O18" s="88"/>
      <c r="P18" s="32"/>
      <c r="Q18" s="32"/>
    </row>
    <row r="19">
      <c r="A19" s="80"/>
      <c r="B19" s="81"/>
      <c r="C19" s="81"/>
      <c r="D19" s="81"/>
      <c r="E19" s="81"/>
      <c r="F19" s="81"/>
      <c r="G19" s="89"/>
      <c r="H19" s="89"/>
      <c r="I19" s="83" t="str">
        <f t="shared" si="1"/>
        <v/>
      </c>
      <c r="J19" s="84"/>
      <c r="K19" s="84" t="b">
        <v>0</v>
      </c>
      <c r="L19" s="85"/>
      <c r="M19" s="86"/>
      <c r="N19" s="87"/>
      <c r="O19" s="88"/>
      <c r="P19" s="32"/>
      <c r="Q19" s="32"/>
    </row>
    <row r="20">
      <c r="A20" s="80"/>
      <c r="B20" s="81"/>
      <c r="C20" s="81"/>
      <c r="D20" s="81"/>
      <c r="E20" s="81"/>
      <c r="F20" s="81"/>
      <c r="G20" s="82"/>
      <c r="H20" s="82"/>
      <c r="I20" s="83" t="str">
        <f t="shared" si="1"/>
        <v/>
      </c>
      <c r="J20" s="84"/>
      <c r="K20" s="84" t="b">
        <v>0</v>
      </c>
      <c r="L20" s="85"/>
      <c r="M20" s="86"/>
      <c r="N20" s="87"/>
      <c r="O20" s="88"/>
      <c r="P20" s="32"/>
      <c r="Q20" s="32"/>
    </row>
    <row r="21">
      <c r="A21" s="80"/>
      <c r="B21" s="90"/>
      <c r="C21" s="90"/>
      <c r="D21" s="90"/>
      <c r="E21" s="90"/>
      <c r="F21" s="90"/>
      <c r="G21" s="91"/>
      <c r="H21" s="91"/>
      <c r="I21" s="83" t="str">
        <f t="shared" si="1"/>
        <v/>
      </c>
      <c r="J21" s="84"/>
      <c r="K21" s="84" t="b">
        <v>0</v>
      </c>
      <c r="L21" s="85"/>
      <c r="M21" s="86"/>
      <c r="N21" s="87"/>
      <c r="O21" s="88"/>
      <c r="P21" s="32"/>
      <c r="Q21" s="32"/>
    </row>
    <row r="22">
      <c r="A22" s="80"/>
      <c r="B22" s="90"/>
      <c r="C22" s="90"/>
      <c r="D22" s="90"/>
      <c r="E22" s="90"/>
      <c r="F22" s="90"/>
      <c r="G22" s="91"/>
      <c r="H22" s="91"/>
      <c r="I22" s="83" t="str">
        <f t="shared" si="1"/>
        <v/>
      </c>
      <c r="J22" s="84"/>
      <c r="K22" s="84" t="b">
        <v>0</v>
      </c>
      <c r="L22" s="85"/>
      <c r="M22" s="86"/>
      <c r="N22" s="87"/>
      <c r="O22" s="88"/>
      <c r="P22" s="32"/>
      <c r="Q22" s="32"/>
    </row>
    <row r="23">
      <c r="A23" s="80"/>
      <c r="B23" s="90"/>
      <c r="C23" s="90"/>
      <c r="D23" s="90"/>
      <c r="E23" s="90"/>
      <c r="F23" s="90"/>
      <c r="G23" s="91"/>
      <c r="H23" s="91"/>
      <c r="I23" s="83" t="str">
        <f t="shared" si="1"/>
        <v/>
      </c>
      <c r="J23" s="84"/>
      <c r="K23" s="84" t="b">
        <v>0</v>
      </c>
      <c r="L23" s="85"/>
      <c r="M23" s="86"/>
      <c r="N23" s="87"/>
      <c r="O23" s="88"/>
      <c r="P23" s="32"/>
      <c r="Q23" s="32"/>
    </row>
    <row r="24">
      <c r="A24" s="32"/>
      <c r="B24" s="88"/>
      <c r="C24" s="88"/>
      <c r="D24" s="88"/>
      <c r="E24" s="88"/>
      <c r="F24" s="92"/>
      <c r="G24" s="93"/>
      <c r="H24" s="93"/>
      <c r="I24" s="83" t="str">
        <f t="shared" si="1"/>
        <v/>
      </c>
      <c r="J24" s="84"/>
      <c r="K24" s="84" t="b">
        <v>0</v>
      </c>
      <c r="L24" s="85"/>
      <c r="M24" s="86"/>
      <c r="N24" s="94"/>
      <c r="O24" s="88"/>
      <c r="P24" s="32"/>
      <c r="Q24" s="32"/>
    </row>
    <row r="25">
      <c r="A25" s="32"/>
      <c r="B25" s="88"/>
      <c r="C25" s="88"/>
      <c r="D25" s="88"/>
      <c r="E25" s="88"/>
      <c r="F25" s="92"/>
      <c r="G25" s="93"/>
      <c r="H25" s="93"/>
      <c r="I25" s="83" t="str">
        <f t="shared" si="1"/>
        <v/>
      </c>
      <c r="J25" s="84"/>
      <c r="K25" s="84" t="b">
        <v>0</v>
      </c>
      <c r="L25" s="85"/>
      <c r="M25" s="86"/>
      <c r="N25" s="94"/>
      <c r="O25" s="88"/>
      <c r="P25" s="32"/>
      <c r="Q25" s="32"/>
    </row>
    <row r="26">
      <c r="A26" s="32"/>
      <c r="B26" s="88"/>
      <c r="C26" s="88"/>
      <c r="D26" s="88"/>
      <c r="E26" s="88"/>
      <c r="F26" s="92"/>
      <c r="G26" s="93"/>
      <c r="H26" s="93"/>
      <c r="I26" s="83" t="str">
        <f t="shared" si="1"/>
        <v/>
      </c>
      <c r="J26" s="84"/>
      <c r="K26" s="84" t="b">
        <v>0</v>
      </c>
      <c r="L26" s="85"/>
      <c r="M26" s="86"/>
      <c r="N26" s="94"/>
      <c r="O26" s="88"/>
      <c r="P26" s="32"/>
      <c r="Q26" s="32"/>
    </row>
    <row r="27">
      <c r="A27" s="32"/>
      <c r="B27" s="88"/>
      <c r="C27" s="88"/>
      <c r="D27" s="88"/>
      <c r="E27" s="88"/>
      <c r="F27" s="92"/>
      <c r="G27" s="93"/>
      <c r="H27" s="93"/>
      <c r="I27" s="83" t="str">
        <f t="shared" si="1"/>
        <v/>
      </c>
      <c r="J27" s="84"/>
      <c r="K27" s="84" t="b">
        <v>0</v>
      </c>
      <c r="L27" s="85"/>
      <c r="M27" s="86"/>
      <c r="N27" s="94"/>
      <c r="O27" s="88"/>
      <c r="P27" s="32"/>
      <c r="Q27" s="32"/>
    </row>
    <row r="28">
      <c r="A28" s="32"/>
      <c r="B28" s="88"/>
      <c r="C28" s="88"/>
      <c r="D28" s="88"/>
      <c r="E28" s="88"/>
      <c r="F28" s="92"/>
      <c r="G28" s="93"/>
      <c r="H28" s="93"/>
      <c r="I28" s="83" t="str">
        <f t="shared" si="1"/>
        <v/>
      </c>
      <c r="J28" s="84"/>
      <c r="K28" s="84" t="b">
        <v>0</v>
      </c>
      <c r="L28" s="85"/>
      <c r="M28" s="86"/>
      <c r="N28" s="94"/>
      <c r="O28" s="88"/>
      <c r="P28" s="32"/>
      <c r="Q28" s="32"/>
    </row>
  </sheetData>
  <conditionalFormatting sqref="I1:I28">
    <cfRule type="containsBlanks" dxfId="0" priority="1">
      <formula>LEN(TRIM(I1))=0</formula>
    </cfRule>
  </conditionalFormatting>
  <dataValidations>
    <dataValidation type="list" allowBlank="1" showErrorMessage="1" sqref="J2:J28">
      <formula1>"Now,Later,Hide"</formula1>
    </dataValidation>
    <dataValidation type="list" allowBlank="1" showErrorMessage="1" sqref="M2:M28">
      <formula1>"Low,Standard,High"</formula1>
    </dataValidation>
    <dataValidation type="list" allowBlank="1" showErrorMessage="1" sqref="L2:L28">
      <formula1>"Consulting,Development,Solutions Engineering,Strategy"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3.88"/>
    <col customWidth="1" min="3" max="3" width="50.13"/>
    <col customWidth="1" min="4" max="5" width="12.63"/>
  </cols>
  <sheetData>
    <row r="1">
      <c r="A1" s="95" t="s">
        <v>82</v>
      </c>
      <c r="B1" s="95" t="s">
        <v>83</v>
      </c>
      <c r="C1" s="95" t="s">
        <v>84</v>
      </c>
      <c r="D1" s="95" t="s">
        <v>85</v>
      </c>
      <c r="E1" s="95" t="s">
        <v>86</v>
      </c>
    </row>
    <row r="2">
      <c r="A2" s="96" t="s">
        <v>1</v>
      </c>
      <c r="B2" s="96" t="s">
        <v>16</v>
      </c>
      <c r="C2" s="97"/>
      <c r="D2" s="97"/>
      <c r="E2" s="97"/>
    </row>
    <row r="3">
      <c r="A3" s="98" t="s">
        <v>87</v>
      </c>
      <c r="B3" s="98" t="s">
        <v>17</v>
      </c>
      <c r="C3" s="98" t="s">
        <v>88</v>
      </c>
      <c r="D3" s="99">
        <v>16.0</v>
      </c>
      <c r="E3" s="99">
        <v>14.0</v>
      </c>
    </row>
    <row r="4">
      <c r="A4" s="96" t="s">
        <v>1</v>
      </c>
      <c r="B4" s="96" t="s">
        <v>73</v>
      </c>
      <c r="C4" s="97"/>
      <c r="D4" s="97"/>
      <c r="E4" s="97"/>
    </row>
    <row r="5">
      <c r="A5" s="98" t="s">
        <v>87</v>
      </c>
      <c r="B5" s="98" t="s">
        <v>74</v>
      </c>
      <c r="C5" s="98" t="s">
        <v>89</v>
      </c>
      <c r="D5" s="99">
        <v>14.0</v>
      </c>
      <c r="E5" s="99">
        <v>13.0</v>
      </c>
    </row>
    <row r="6">
      <c r="A6" s="98" t="s">
        <v>87</v>
      </c>
      <c r="B6" s="98" t="s">
        <v>78</v>
      </c>
      <c r="C6" s="98" t="s">
        <v>90</v>
      </c>
      <c r="D6" s="99">
        <v>16.0</v>
      </c>
      <c r="E6" s="99">
        <v>14.0</v>
      </c>
    </row>
    <row r="7">
      <c r="A7" s="96" t="s">
        <v>1</v>
      </c>
      <c r="B7" s="96" t="s">
        <v>63</v>
      </c>
      <c r="C7" s="97"/>
      <c r="D7" s="97"/>
      <c r="E7" s="97"/>
    </row>
    <row r="8">
      <c r="A8" s="98" t="s">
        <v>87</v>
      </c>
      <c r="B8" s="98" t="s">
        <v>64</v>
      </c>
      <c r="C8" s="98" t="s">
        <v>91</v>
      </c>
      <c r="D8" s="99">
        <v>12.0</v>
      </c>
      <c r="E8" s="99">
        <v>11.0</v>
      </c>
    </row>
    <row r="9">
      <c r="A9" s="96" t="s">
        <v>1</v>
      </c>
      <c r="B9" s="96" t="s">
        <v>53</v>
      </c>
      <c r="C9" s="97"/>
      <c r="D9" s="97"/>
      <c r="E9" s="97"/>
    </row>
    <row r="10">
      <c r="A10" s="98" t="s">
        <v>87</v>
      </c>
      <c r="B10" s="98" t="s">
        <v>54</v>
      </c>
      <c r="C10" s="98" t="s">
        <v>92</v>
      </c>
      <c r="D10" s="99">
        <v>10.0</v>
      </c>
      <c r="E10" s="99">
        <v>9.0</v>
      </c>
    </row>
    <row r="11">
      <c r="A11" s="98" t="s">
        <v>87</v>
      </c>
      <c r="B11" s="98" t="s">
        <v>59</v>
      </c>
      <c r="C11" s="98" t="s">
        <v>93</v>
      </c>
      <c r="D11" s="99">
        <v>25.0</v>
      </c>
      <c r="E11" s="99">
        <v>20.0</v>
      </c>
    </row>
    <row r="12">
      <c r="A12" s="96" t="s">
        <v>1</v>
      </c>
      <c r="B12" s="96" t="s">
        <v>36</v>
      </c>
      <c r="C12" s="97"/>
      <c r="D12" s="97"/>
      <c r="E12" s="97"/>
    </row>
    <row r="13">
      <c r="A13" s="98" t="s">
        <v>87</v>
      </c>
      <c r="B13" s="98" t="s">
        <v>37</v>
      </c>
      <c r="C13" s="98" t="s">
        <v>94</v>
      </c>
      <c r="D13" s="99">
        <v>5.0</v>
      </c>
      <c r="E13" s="99">
        <v>5.0</v>
      </c>
    </row>
    <row r="14">
      <c r="A14" s="98" t="s">
        <v>87</v>
      </c>
      <c r="B14" s="98" t="s">
        <v>41</v>
      </c>
      <c r="C14" s="98" t="s">
        <v>95</v>
      </c>
      <c r="D14" s="99">
        <v>16.0</v>
      </c>
      <c r="E14" s="99">
        <v>14.0</v>
      </c>
    </row>
    <row r="15">
      <c r="A15" s="98" t="s">
        <v>87</v>
      </c>
      <c r="B15" s="98" t="s">
        <v>45</v>
      </c>
      <c r="C15" s="98" t="s">
        <v>96</v>
      </c>
      <c r="D15" s="99">
        <v>16.0</v>
      </c>
      <c r="E15" s="99">
        <v>14.0</v>
      </c>
    </row>
    <row r="16">
      <c r="A16" s="98" t="s">
        <v>87</v>
      </c>
      <c r="B16" s="98" t="s">
        <v>49</v>
      </c>
      <c r="C16" s="98" t="s">
        <v>97</v>
      </c>
      <c r="D16" s="99">
        <v>5.0</v>
      </c>
      <c r="E16" s="99">
        <v>5.0</v>
      </c>
    </row>
    <row r="17">
      <c r="A17" s="96" t="s">
        <v>1</v>
      </c>
      <c r="B17" s="96" t="s">
        <v>22</v>
      </c>
      <c r="C17" s="97"/>
      <c r="D17" s="97"/>
      <c r="E17" s="97"/>
    </row>
    <row r="18">
      <c r="A18" s="98" t="s">
        <v>87</v>
      </c>
      <c r="B18" s="98" t="s">
        <v>23</v>
      </c>
      <c r="C18" s="98" t="s">
        <v>98</v>
      </c>
      <c r="D18" s="99">
        <v>14.0</v>
      </c>
      <c r="E18" s="99">
        <v>13.0</v>
      </c>
    </row>
    <row r="19">
      <c r="A19" s="98" t="s">
        <v>87</v>
      </c>
      <c r="B19" s="98" t="s">
        <v>27</v>
      </c>
      <c r="C19" s="98" t="s">
        <v>99</v>
      </c>
      <c r="D19" s="99">
        <v>8.0</v>
      </c>
      <c r="E19" s="99">
        <v>7.0</v>
      </c>
    </row>
    <row r="20">
      <c r="A20" s="98" t="s">
        <v>87</v>
      </c>
      <c r="B20" s="98" t="s">
        <v>32</v>
      </c>
      <c r="C20" s="98" t="s">
        <v>100</v>
      </c>
      <c r="D20" s="99">
        <v>6.0</v>
      </c>
      <c r="E20" s="99">
        <v>6.0</v>
      </c>
    </row>
    <row r="21">
      <c r="A21" s="96" t="s">
        <v>1</v>
      </c>
      <c r="B21" s="96" t="s">
        <v>68</v>
      </c>
      <c r="C21" s="97"/>
      <c r="D21" s="97"/>
      <c r="E21" s="97"/>
    </row>
    <row r="22">
      <c r="A22" s="98" t="s">
        <v>87</v>
      </c>
      <c r="B22" s="98" t="s">
        <v>69</v>
      </c>
      <c r="C22" s="98" t="s">
        <v>101</v>
      </c>
      <c r="D22" s="99">
        <v>14.0</v>
      </c>
      <c r="E22" s="99">
        <v>13.0</v>
      </c>
    </row>
    <row r="23">
      <c r="A23" s="96" t="s">
        <v>1</v>
      </c>
      <c r="B23" s="96" t="s">
        <v>102</v>
      </c>
      <c r="C23" s="97"/>
      <c r="D23" s="97"/>
      <c r="E23" s="100">
        <v>64.0</v>
      </c>
    </row>
    <row r="24">
      <c r="A24" s="98" t="s">
        <v>87</v>
      </c>
      <c r="B24" s="98" t="s">
        <v>103</v>
      </c>
    </row>
    <row r="25">
      <c r="A25" s="98" t="s">
        <v>87</v>
      </c>
      <c r="B25" s="98" t="s">
        <v>104</v>
      </c>
    </row>
    <row r="26">
      <c r="A26" s="98" t="s">
        <v>87</v>
      </c>
      <c r="B26" s="98" t="s">
        <v>105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101" t="s">
        <v>106</v>
      </c>
      <c r="B1" s="101" t="s">
        <v>107</v>
      </c>
      <c r="C1" s="101" t="s">
        <v>108</v>
      </c>
      <c r="D1" s="101" t="s">
        <v>109</v>
      </c>
    </row>
    <row r="2">
      <c r="A2" s="102" t="s">
        <v>110</v>
      </c>
      <c r="B2" s="103"/>
      <c r="C2" s="104"/>
      <c r="D2" s="104"/>
    </row>
    <row r="3">
      <c r="A3" s="105" t="s">
        <v>111</v>
      </c>
      <c r="B3" s="106" t="s">
        <v>112</v>
      </c>
      <c r="C3" s="107" t="s">
        <v>113</v>
      </c>
      <c r="D3" s="108"/>
    </row>
    <row r="4">
      <c r="A4" s="109" t="s">
        <v>114</v>
      </c>
      <c r="B4" s="110" t="s">
        <v>115</v>
      </c>
      <c r="C4" s="111" t="s">
        <v>116</v>
      </c>
      <c r="D4" s="108"/>
    </row>
    <row r="5">
      <c r="A5" s="105" t="s">
        <v>117</v>
      </c>
      <c r="B5" s="106">
        <v>4.0576534341E10</v>
      </c>
      <c r="C5" s="112" t="s">
        <v>118</v>
      </c>
      <c r="D5" s="108"/>
    </row>
    <row r="6">
      <c r="A6" s="109" t="s">
        <v>119</v>
      </c>
      <c r="B6" s="113">
        <v>45926.4090625</v>
      </c>
      <c r="C6" s="111" t="s">
        <v>120</v>
      </c>
      <c r="D6" s="108"/>
    </row>
    <row r="7">
      <c r="A7" s="109"/>
      <c r="B7" s="113"/>
      <c r="C7" s="111"/>
      <c r="D7" s="108"/>
    </row>
    <row r="8">
      <c r="A8" s="102" t="s">
        <v>121</v>
      </c>
      <c r="B8" s="103"/>
      <c r="C8" s="114"/>
      <c r="D8" s="104"/>
    </row>
    <row r="9">
      <c r="A9" s="115" t="s">
        <v>122</v>
      </c>
      <c r="B9" s="116" t="s">
        <v>123</v>
      </c>
      <c r="C9" s="112" t="s">
        <v>124</v>
      </c>
      <c r="D9" s="117" t="s">
        <v>125</v>
      </c>
    </row>
    <row r="10">
      <c r="A10" s="115" t="s">
        <v>126</v>
      </c>
      <c r="B10" s="118">
        <v>45882.71565424769</v>
      </c>
      <c r="C10" s="112" t="s">
        <v>127</v>
      </c>
      <c r="D10" s="108"/>
    </row>
    <row r="11">
      <c r="A11" s="115" t="s">
        <v>128</v>
      </c>
      <c r="B11" s="119" t="s">
        <v>129</v>
      </c>
      <c r="C11" s="112" t="s">
        <v>130</v>
      </c>
      <c r="D11" s="108"/>
    </row>
    <row r="12">
      <c r="A12" s="115" t="s">
        <v>131</v>
      </c>
      <c r="B12" s="120" t="s">
        <v>132</v>
      </c>
      <c r="C12" s="112" t="s">
        <v>133</v>
      </c>
      <c r="D12" s="108"/>
    </row>
    <row r="13">
      <c r="A13" s="105" t="s">
        <v>134</v>
      </c>
      <c r="B13" s="121"/>
      <c r="C13" s="107" t="s">
        <v>135</v>
      </c>
      <c r="D13" s="117"/>
    </row>
    <row r="14">
      <c r="A14" s="109" t="s">
        <v>136</v>
      </c>
      <c r="B14" s="122"/>
      <c r="C14" s="111"/>
      <c r="D14" s="123"/>
    </row>
    <row r="15">
      <c r="A15" s="109" t="s">
        <v>137</v>
      </c>
      <c r="B15" s="122"/>
      <c r="C15" s="111"/>
      <c r="D15" s="123"/>
    </row>
    <row r="16">
      <c r="A16" s="109"/>
      <c r="B16" s="124"/>
      <c r="C16" s="111"/>
      <c r="D16" s="123"/>
    </row>
    <row r="17">
      <c r="A17" s="102" t="s">
        <v>138</v>
      </c>
      <c r="B17" s="103"/>
      <c r="C17" s="114"/>
      <c r="D17" s="104"/>
    </row>
    <row r="18">
      <c r="A18" s="105" t="s">
        <v>139</v>
      </c>
      <c r="B18" s="125">
        <v>220.0</v>
      </c>
      <c r="C18" s="107" t="s">
        <v>140</v>
      </c>
      <c r="D18" s="123" t="s">
        <v>141</v>
      </c>
    </row>
    <row r="19">
      <c r="A19" s="105" t="s">
        <v>142</v>
      </c>
      <c r="B19" s="126">
        <v>0.405</v>
      </c>
      <c r="C19" s="107" t="s">
        <v>143</v>
      </c>
      <c r="D19" s="108"/>
    </row>
    <row r="20">
      <c r="A20" s="127" t="s">
        <v>144</v>
      </c>
      <c r="B20" s="128" t="s">
        <v>145</v>
      </c>
      <c r="C20" s="129" t="s">
        <v>146</v>
      </c>
      <c r="D20" s="130"/>
    </row>
    <row r="21">
      <c r="A21" s="115" t="s">
        <v>147</v>
      </c>
      <c r="B21" s="131">
        <v>45943.0</v>
      </c>
      <c r="C21" s="107" t="s">
        <v>148</v>
      </c>
      <c r="D21" s="108"/>
    </row>
    <row r="22">
      <c r="A22" s="115" t="s">
        <v>149</v>
      </c>
      <c r="B22" s="132">
        <v>3.5</v>
      </c>
      <c r="C22" s="107" t="s">
        <v>150</v>
      </c>
      <c r="D22" s="123" t="s">
        <v>151</v>
      </c>
    </row>
    <row r="23">
      <c r="A23" s="133"/>
      <c r="B23" s="134"/>
      <c r="C23" s="107"/>
      <c r="D23" s="108"/>
    </row>
    <row r="24">
      <c r="A24" s="102" t="s">
        <v>152</v>
      </c>
      <c r="B24" s="103"/>
      <c r="C24" s="114"/>
      <c r="D24" s="104"/>
    </row>
    <row r="25">
      <c r="A25" s="105" t="s">
        <v>153</v>
      </c>
      <c r="B25" s="125">
        <v>0.0</v>
      </c>
      <c r="C25" s="112" t="s">
        <v>154</v>
      </c>
      <c r="D25" s="123" t="s">
        <v>155</v>
      </c>
    </row>
    <row r="26">
      <c r="A26" s="105" t="s">
        <v>156</v>
      </c>
      <c r="B26" s="106">
        <v>0.0</v>
      </c>
      <c r="C26" s="112" t="s">
        <v>157</v>
      </c>
      <c r="D26" s="123" t="s">
        <v>158</v>
      </c>
    </row>
    <row r="27">
      <c r="A27" s="105" t="s">
        <v>159</v>
      </c>
      <c r="B27" s="106">
        <v>0.0</v>
      </c>
      <c r="C27" s="112" t="s">
        <v>160</v>
      </c>
      <c r="D27" s="123" t="s">
        <v>161</v>
      </c>
    </row>
    <row r="28">
      <c r="A28" s="127" t="s">
        <v>162</v>
      </c>
      <c r="B28" s="128" t="s">
        <v>163</v>
      </c>
      <c r="C28" s="135" t="s">
        <v>164</v>
      </c>
      <c r="D28" s="130"/>
    </row>
    <row r="29">
      <c r="A29" s="105"/>
      <c r="B29" s="136"/>
      <c r="C29" s="137"/>
      <c r="D29" s="108"/>
    </row>
    <row r="30">
      <c r="A30" s="105"/>
      <c r="B30" s="136"/>
      <c r="C30" s="138"/>
      <c r="D30" s="108"/>
    </row>
    <row r="31">
      <c r="A31" s="139" t="s">
        <v>165</v>
      </c>
      <c r="B31" s="103"/>
      <c r="C31" s="104"/>
      <c r="D31" s="104"/>
    </row>
    <row r="32">
      <c r="A32" s="140" t="s">
        <v>166</v>
      </c>
      <c r="B32" s="141" t="s">
        <v>167</v>
      </c>
      <c r="C32" s="129" t="s">
        <v>168</v>
      </c>
      <c r="D32" s="136"/>
    </row>
    <row r="33">
      <c r="A33" s="105"/>
      <c r="B33" s="136"/>
      <c r="C33" s="136"/>
      <c r="D33" s="136"/>
    </row>
  </sheetData>
  <dataValidations>
    <dataValidation type="list" allowBlank="1" showErrorMessage="1" sqref="B14:B15">
      <formula1>"Yes,No"</formula1>
    </dataValidation>
    <dataValidation type="list" allowBlank="1" showErrorMessage="1" sqref="B11">
      <formula1>"Draft,Hide Hours + Financials,Final Presentation,Archived"</formula1>
    </dataValidation>
  </dataValidations>
  <hyperlinks>
    <hyperlink r:id="rId1" ref="B4"/>
    <hyperlink r:id="rId2" ref="B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3" width="19.88"/>
    <col customWidth="1" min="4" max="4" width="20.75"/>
  </cols>
  <sheetData>
    <row r="1">
      <c r="A1" s="101"/>
      <c r="B1" s="101"/>
      <c r="C1" s="101"/>
      <c r="D1" s="101" t="s">
        <v>109</v>
      </c>
      <c r="E1" s="142"/>
      <c r="F1" s="142"/>
      <c r="G1" s="142"/>
      <c r="H1" s="142"/>
      <c r="I1" s="142"/>
      <c r="J1" s="142"/>
      <c r="K1" s="142"/>
      <c r="L1" s="142"/>
      <c r="M1" s="142"/>
      <c r="N1" s="142"/>
      <c r="O1" s="142"/>
      <c r="P1" s="142"/>
      <c r="Q1" s="142"/>
      <c r="R1" s="142"/>
      <c r="S1" s="142"/>
      <c r="T1" s="142"/>
      <c r="U1" s="142"/>
      <c r="V1" s="142"/>
      <c r="W1" s="142"/>
      <c r="X1" s="142"/>
      <c r="Y1" s="142"/>
      <c r="Z1" s="142"/>
    </row>
    <row r="2">
      <c r="A2" s="143" t="s">
        <v>169</v>
      </c>
      <c r="B2" s="144"/>
      <c r="C2" s="145"/>
      <c r="D2" s="145"/>
      <c r="E2" s="142"/>
      <c r="F2" s="142"/>
      <c r="G2" s="142"/>
      <c r="H2" s="142"/>
      <c r="I2" s="142"/>
      <c r="J2" s="142"/>
      <c r="K2" s="142"/>
      <c r="L2" s="142"/>
      <c r="M2" s="142"/>
      <c r="N2" s="142"/>
      <c r="O2" s="142"/>
      <c r="P2" s="142"/>
      <c r="Q2" s="142"/>
      <c r="R2" s="142"/>
      <c r="S2" s="142"/>
      <c r="T2" s="142"/>
      <c r="U2" s="142"/>
      <c r="V2" s="142"/>
      <c r="W2" s="142"/>
      <c r="X2" s="142"/>
      <c r="Y2" s="142"/>
      <c r="Z2" s="142"/>
    </row>
    <row r="3">
      <c r="A3" s="115" t="s">
        <v>170</v>
      </c>
      <c r="B3" s="146">
        <f>SUMIF(Input!J:J,"Now",Input!I:I)</f>
        <v>158</v>
      </c>
      <c r="C3" s="147" t="s">
        <v>171</v>
      </c>
      <c r="D3" s="148"/>
      <c r="E3" s="142"/>
      <c r="F3" s="142"/>
      <c r="G3" s="142"/>
      <c r="H3" s="142"/>
      <c r="I3" s="142"/>
      <c r="J3" s="142"/>
      <c r="K3" s="142"/>
      <c r="L3" s="142"/>
      <c r="M3" s="142"/>
      <c r="N3" s="142"/>
      <c r="O3" s="142"/>
      <c r="P3" s="142"/>
      <c r="Q3" s="142"/>
      <c r="R3" s="142"/>
      <c r="S3" s="142"/>
      <c r="T3" s="142"/>
      <c r="U3" s="142"/>
      <c r="V3" s="142"/>
      <c r="W3" s="142"/>
      <c r="X3" s="142"/>
      <c r="Y3" s="142"/>
      <c r="Z3" s="142"/>
    </row>
    <row r="4">
      <c r="A4" s="115" t="s">
        <v>172</v>
      </c>
      <c r="B4" s="146">
        <f>round(B3*Config!B19,0)</f>
        <v>64</v>
      </c>
      <c r="C4" s="147" t="s">
        <v>173</v>
      </c>
      <c r="D4" s="149"/>
      <c r="E4" s="142"/>
      <c r="F4" s="142"/>
      <c r="G4" s="142"/>
      <c r="H4" s="142"/>
      <c r="I4" s="142"/>
      <c r="J4" s="142"/>
      <c r="K4" s="142"/>
      <c r="L4" s="142"/>
      <c r="M4" s="142"/>
      <c r="N4" s="142"/>
      <c r="O4" s="142"/>
      <c r="P4" s="142"/>
      <c r="Q4" s="142"/>
      <c r="R4" s="142"/>
      <c r="S4" s="142"/>
      <c r="T4" s="142"/>
      <c r="U4" s="142"/>
      <c r="V4" s="142"/>
      <c r="W4" s="142"/>
      <c r="X4" s="142"/>
      <c r="Y4" s="142"/>
      <c r="Z4" s="142"/>
    </row>
    <row r="5">
      <c r="A5" s="115" t="s">
        <v>174</v>
      </c>
      <c r="B5" s="146">
        <f>sum(B3:B4)</f>
        <v>222</v>
      </c>
      <c r="C5" s="147" t="s">
        <v>175</v>
      </c>
      <c r="D5" s="150" t="s">
        <v>176</v>
      </c>
      <c r="E5" s="142"/>
      <c r="F5" s="142"/>
      <c r="G5" s="142"/>
      <c r="H5" s="142"/>
      <c r="I5" s="142"/>
      <c r="J5" s="142"/>
      <c r="K5" s="142"/>
      <c r="L5" s="142"/>
      <c r="M5" s="142"/>
      <c r="N5" s="142"/>
      <c r="O5" s="142"/>
      <c r="P5" s="142"/>
      <c r="Q5" s="142"/>
      <c r="R5" s="142"/>
      <c r="S5" s="142"/>
      <c r="T5" s="142"/>
      <c r="U5" s="142"/>
      <c r="V5" s="142"/>
      <c r="W5" s="142"/>
      <c r="X5" s="142"/>
      <c r="Y5" s="142"/>
      <c r="Z5" s="142"/>
    </row>
    <row r="6">
      <c r="A6" s="115" t="s">
        <v>177</v>
      </c>
      <c r="B6" s="146">
        <f>Config!B26 * Config!B27</f>
        <v>0</v>
      </c>
      <c r="C6" s="151"/>
      <c r="D6" s="152"/>
      <c r="E6" s="142"/>
      <c r="F6" s="142"/>
      <c r="G6" s="142"/>
      <c r="H6" s="142"/>
      <c r="I6" s="142"/>
      <c r="J6" s="142"/>
      <c r="K6" s="142"/>
      <c r="L6" s="142"/>
      <c r="M6" s="142"/>
      <c r="N6" s="142"/>
      <c r="O6" s="142"/>
      <c r="P6" s="142"/>
      <c r="Q6" s="142"/>
      <c r="R6" s="142"/>
      <c r="S6" s="142"/>
      <c r="T6" s="142"/>
      <c r="U6" s="142"/>
      <c r="V6" s="142"/>
      <c r="W6" s="142"/>
      <c r="X6" s="142"/>
      <c r="Y6" s="142"/>
      <c r="Z6" s="142"/>
    </row>
    <row r="7">
      <c r="A7" s="115" t="s">
        <v>178</v>
      </c>
      <c r="B7" s="153">
        <f>sum(B5:B6)</f>
        <v>222</v>
      </c>
      <c r="C7" s="154" t="s">
        <v>179</v>
      </c>
      <c r="D7" s="150" t="s">
        <v>180</v>
      </c>
      <c r="E7" s="142"/>
      <c r="F7" s="142"/>
      <c r="G7" s="142"/>
      <c r="H7" s="142"/>
      <c r="I7" s="142"/>
      <c r="J7" s="142"/>
      <c r="K7" s="142"/>
      <c r="L7" s="142"/>
      <c r="M7" s="142"/>
      <c r="N7" s="142"/>
      <c r="O7" s="142"/>
      <c r="P7" s="142"/>
      <c r="Q7" s="142"/>
      <c r="R7" s="142"/>
      <c r="S7" s="142"/>
      <c r="T7" s="142"/>
      <c r="U7" s="142"/>
      <c r="V7" s="142"/>
      <c r="W7" s="142"/>
      <c r="X7" s="142"/>
      <c r="Y7" s="142"/>
      <c r="Z7" s="142"/>
    </row>
    <row r="8">
      <c r="A8" s="115" t="s">
        <v>181</v>
      </c>
      <c r="B8" s="155">
        <f>(B5*Config!B18)+(B6*Config!B25)</f>
        <v>48840</v>
      </c>
      <c r="C8" s="154" t="s">
        <v>179</v>
      </c>
      <c r="D8" s="150" t="s">
        <v>182</v>
      </c>
      <c r="E8" s="142"/>
      <c r="F8" s="142"/>
      <c r="G8" s="142"/>
      <c r="H8" s="142"/>
      <c r="I8" s="142"/>
      <c r="J8" s="142"/>
      <c r="K8" s="142"/>
      <c r="L8" s="142"/>
      <c r="M8" s="142"/>
      <c r="N8" s="142"/>
      <c r="O8" s="142"/>
      <c r="P8" s="142"/>
      <c r="Q8" s="142"/>
      <c r="R8" s="142"/>
      <c r="S8" s="142"/>
      <c r="T8" s="142"/>
      <c r="U8" s="142"/>
      <c r="V8" s="142"/>
      <c r="W8" s="142"/>
      <c r="X8" s="142"/>
      <c r="Y8" s="142"/>
      <c r="Z8" s="142"/>
    </row>
    <row r="9">
      <c r="A9" s="115" t="s">
        <v>183</v>
      </c>
      <c r="B9" s="156">
        <f>EDATE(Config!B21, Config!B22)</f>
        <v>46035</v>
      </c>
      <c r="C9" s="151"/>
      <c r="D9" s="152"/>
      <c r="E9" s="142"/>
      <c r="F9" s="142"/>
      <c r="G9" s="142"/>
      <c r="H9" s="142"/>
      <c r="I9" s="142"/>
      <c r="J9" s="142"/>
      <c r="K9" s="142"/>
      <c r="L9" s="142"/>
      <c r="M9" s="142"/>
      <c r="N9" s="142"/>
      <c r="O9" s="142"/>
      <c r="P9" s="142"/>
      <c r="Q9" s="142"/>
      <c r="R9" s="142"/>
      <c r="S9" s="142"/>
      <c r="T9" s="142"/>
      <c r="U9" s="142"/>
      <c r="V9" s="142"/>
      <c r="W9" s="142"/>
      <c r="X9" s="142"/>
      <c r="Y9" s="142"/>
      <c r="Z9" s="142"/>
    </row>
    <row r="10">
      <c r="A10" s="115" t="s">
        <v>184</v>
      </c>
      <c r="B10" s="146">
        <f>roundup(B5/Config!B22,0)</f>
        <v>64</v>
      </c>
      <c r="C10" s="151"/>
      <c r="D10" s="15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15" t="s">
        <v>185</v>
      </c>
      <c r="B11" s="146">
        <f>roundup(B10/4.3,0)</f>
        <v>15</v>
      </c>
      <c r="C11" s="151"/>
      <c r="D11" s="15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15" t="s">
        <v>186</v>
      </c>
      <c r="B12" s="146">
        <f>B11*1.2</f>
        <v>18</v>
      </c>
      <c r="C12" s="147"/>
      <c r="D12" s="150"/>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15" t="s">
        <v>187</v>
      </c>
      <c r="B13" s="146">
        <f>B11*0.5</f>
        <v>7.5</v>
      </c>
      <c r="C13" s="147"/>
      <c r="D13" s="150"/>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15" t="s">
        <v>188</v>
      </c>
      <c r="B14" s="157">
        <f>C21</f>
        <v>0.29</v>
      </c>
      <c r="C14" s="147"/>
      <c r="D14" s="150" t="s">
        <v>189</v>
      </c>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15" t="s">
        <v>190</v>
      </c>
      <c r="B15" s="157">
        <f>C23</f>
        <v>0.07</v>
      </c>
      <c r="C15" s="147"/>
      <c r="D15" s="150" t="s">
        <v>191</v>
      </c>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51"/>
      <c r="D16" s="149"/>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51"/>
      <c r="D17" s="149"/>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3" t="s">
        <v>192</v>
      </c>
      <c r="B18" s="158"/>
      <c r="C18" s="158"/>
      <c r="D18" s="159"/>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60"/>
      <c r="B19" s="161" t="s">
        <v>193</v>
      </c>
      <c r="C19" s="161" t="s">
        <v>194</v>
      </c>
      <c r="D19" s="149"/>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09" t="s">
        <v>195</v>
      </c>
      <c r="B20" s="162">
        <f>SUMIFS(Input!I:I,Input!L:L,"Consulting",Input!J:J,"Now")</f>
        <v>0</v>
      </c>
      <c r="C20" s="163">
        <f>B20/B26</f>
        <v>0</v>
      </c>
      <c r="D20" s="148"/>
      <c r="E20" s="164"/>
      <c r="F20" s="142"/>
      <c r="G20" s="142"/>
      <c r="H20" s="142"/>
      <c r="I20" s="142"/>
      <c r="J20" s="142"/>
      <c r="K20" s="142"/>
      <c r="L20" s="142"/>
      <c r="M20" s="142"/>
      <c r="N20" s="142"/>
      <c r="O20" s="142"/>
      <c r="P20" s="142"/>
      <c r="Q20" s="142"/>
      <c r="R20" s="142"/>
      <c r="S20" s="142"/>
      <c r="T20" s="142"/>
      <c r="U20" s="142"/>
      <c r="V20" s="142"/>
      <c r="W20" s="142"/>
      <c r="X20" s="142"/>
      <c r="Y20" s="142"/>
      <c r="Z20" s="142"/>
    </row>
    <row r="21">
      <c r="A21" s="109" t="s">
        <v>58</v>
      </c>
      <c r="B21" s="162">
        <f>SUMIFS(Input!I:I,Input!L:L,"Development",Input!J:J,"Now")</f>
        <v>29</v>
      </c>
      <c r="C21" s="163">
        <f>B21/B26</f>
        <v>0.29</v>
      </c>
      <c r="D21" s="148"/>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09" t="s">
        <v>102</v>
      </c>
      <c r="B22" s="162">
        <f>B4</f>
        <v>64</v>
      </c>
      <c r="C22" s="163">
        <f>B22/B26</f>
        <v>0.64</v>
      </c>
      <c r="D22" s="148"/>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09" t="s">
        <v>31</v>
      </c>
      <c r="B23" s="162">
        <f>SUMIFS(Input!I:I,Input!L:L,"Solutions Engineering",Input!J:J,"Now")</f>
        <v>7</v>
      </c>
      <c r="C23" s="163">
        <f>B23/B26</f>
        <v>0.07</v>
      </c>
      <c r="D23" s="148"/>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09" t="s">
        <v>196</v>
      </c>
      <c r="B24" s="162">
        <f>SUMIFS(Input!I:I,Input!L:L,"Strategy",Input!J:J,"Now")</f>
        <v>0</v>
      </c>
      <c r="C24" s="163">
        <f>B24/B26</f>
        <v>0</v>
      </c>
      <c r="D24" s="148"/>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33"/>
      <c r="B25" s="162"/>
      <c r="C25" s="163"/>
      <c r="D25" s="149"/>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09" t="s">
        <v>197</v>
      </c>
      <c r="B26" s="162">
        <f t="shared" ref="B26:C26" si="1">sum(B20:B24)</f>
        <v>100</v>
      </c>
      <c r="C26" s="157">
        <f t="shared" si="1"/>
        <v>1</v>
      </c>
      <c r="D26" s="148"/>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65"/>
      <c r="B27" s="136"/>
      <c r="C27" s="136"/>
      <c r="D27" s="149"/>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65"/>
      <c r="B28" s="136"/>
      <c r="C28" s="136"/>
      <c r="D28" s="149"/>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3" t="s">
        <v>198</v>
      </c>
      <c r="B29" s="166" t="s">
        <v>199</v>
      </c>
      <c r="C29" s="167" t="s">
        <v>200</v>
      </c>
      <c r="D29" s="159"/>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09" t="s">
        <v>201</v>
      </c>
      <c r="B30" s="168">
        <f>SUMIF(Input!J:J,"Now",Input!G:G)</f>
        <v>136</v>
      </c>
      <c r="C30" s="168">
        <f>SUMIF(Input!J:J,"Now",Input!H:H)</f>
        <v>177</v>
      </c>
      <c r="D30" s="148"/>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09" t="s">
        <v>202</v>
      </c>
      <c r="B31" s="169">
        <f>round(B30*Config!B19,0)</f>
        <v>55</v>
      </c>
      <c r="C31" s="169">
        <f>round(C30*Config!B19,0)</f>
        <v>72</v>
      </c>
      <c r="D31" s="149"/>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09" t="s">
        <v>203</v>
      </c>
      <c r="B32" s="168">
        <f>B6</f>
        <v>0</v>
      </c>
      <c r="C32" s="168">
        <f>B6</f>
        <v>0</v>
      </c>
      <c r="D32" s="149"/>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09" t="s">
        <v>204</v>
      </c>
      <c r="B33" s="168">
        <f t="shared" ref="B33:C33" si="2">SUM(B30:B32)</f>
        <v>191</v>
      </c>
      <c r="C33" s="146">
        <f t="shared" si="2"/>
        <v>249</v>
      </c>
      <c r="D33" s="170"/>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09" t="s">
        <v>205</v>
      </c>
      <c r="B34" s="171">
        <f>(sum(B30:B31)*Config!B18)+(B32*Config!B25)</f>
        <v>42020</v>
      </c>
      <c r="C34" s="171">
        <f>(sum(C30:C31)*Config!B18)+(C32*Config!B25)</f>
        <v>54780</v>
      </c>
      <c r="D34" s="149"/>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9"/>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3" t="s">
        <v>206</v>
      </c>
      <c r="B36" s="172"/>
      <c r="C36" s="158"/>
      <c r="D36" s="159"/>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73" t="str">
        <f>IFERROR(__xludf.DUMMYFUNCTION("VSTACK(
  QUERY(Input!B:J,""SELECT B, SUM(I), SUM(I)*""&amp;Config!B18&amp;"" WHERE B IS NOT NULL AND J = 'Now' GROUP BY B LABEL B 'Workstream', SUM(I) 'Total Hours', SUM(I)*""&amp;Config!B18&amp;"" 'Total Investment'"",1),
  {""Project Management"", ROUND(SUMPRODUCT(QUE"&amp;"RY(Input!B:J,""SELECT SUM(I) WHERE B IS NOT NULL AND J = 'Now' GROUP BY B LABEL SUM(I) ''"",0))*Config!B19,0), ROUND(SUMPRODUCT(QUERY(Input!B:J,""SELECT SUM(I) WHERE B IS NOT NULL AND J = 'Now' GROUP BY B LABEL SUM(I) ''"",0))*Config!B19,0)*Config!B18},
 "&amp;" {""Post-Launch Support"", Config!B26*Config!B27, Config!B26*Config!B27*Config!B25}
)"),"Workstream")</f>
        <v>Workstream</v>
      </c>
      <c r="B37" s="174" t="str">
        <f>IFERROR(__xludf.DUMMYFUNCTION("""COMPUTED_VALUE"""),"Total Hours")</f>
        <v>Total Hours</v>
      </c>
      <c r="C37" s="175" t="str">
        <f>IFERROR(__xludf.DUMMYFUNCTION("""COMPUTED_VALUE"""),"Total Investment")</f>
        <v>Total Investment</v>
      </c>
      <c r="D37" s="148"/>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36" t="str">
        <f>IFERROR(__xludf.DUMMYFUNCTION("""COMPUTED_VALUE"""),"Discovery + Requirements Workshops")</f>
        <v>Discovery + Requirements Workshops</v>
      </c>
      <c r="B38" s="176">
        <f>IFERROR(__xludf.DUMMYFUNCTION("""COMPUTED_VALUE"""),14.0)</f>
        <v>14</v>
      </c>
      <c r="C38" s="177">
        <f>IFERROR(__xludf.DUMMYFUNCTION("""COMPUTED_VALUE"""),3080.0)</f>
        <v>3080</v>
      </c>
      <c r="D38" s="149"/>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36" t="str">
        <f>IFERROR(__xludf.DUMMYFUNCTION("""COMPUTED_VALUE"""),"Launch and Portal UAT")</f>
        <v>Launch and Portal UAT</v>
      </c>
      <c r="B39" s="176">
        <f>IFERROR(__xludf.DUMMYFUNCTION("""COMPUTED_VALUE"""),27.0)</f>
        <v>27</v>
      </c>
      <c r="C39" s="177">
        <f>IFERROR(__xludf.DUMMYFUNCTION("""COMPUTED_VALUE"""),5940.0)</f>
        <v>5940</v>
      </c>
      <c r="D39" s="149"/>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t="str">
        <f>IFERROR(__xludf.DUMMYFUNCTION("""COMPUTED_VALUE"""),"Reporting")</f>
        <v>Reporting</v>
      </c>
      <c r="B40" s="146">
        <f>IFERROR(__xludf.DUMMYFUNCTION("""COMPUTED_VALUE"""),11.0)</f>
        <v>11</v>
      </c>
      <c r="C40" s="178">
        <f>IFERROR(__xludf.DUMMYFUNCTION("""COMPUTED_VALUE"""),2420.0)</f>
        <v>2420</v>
      </c>
      <c r="D40" s="149"/>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t="str">
        <f>IFERROR(__xludf.DUMMYFUNCTION("""COMPUTED_VALUE"""),"Sales Data Migration")</f>
        <v>Sales Data Migration</v>
      </c>
      <c r="B41" s="146">
        <f>IFERROR(__xludf.DUMMYFUNCTION("""COMPUTED_VALUE"""),29.0)</f>
        <v>29</v>
      </c>
      <c r="C41" s="178">
        <f>IFERROR(__xludf.DUMMYFUNCTION("""COMPUTED_VALUE"""),6380.0)</f>
        <v>6380</v>
      </c>
      <c r="D41" s="149"/>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t="str">
        <f>IFERROR(__xludf.DUMMYFUNCTION("""COMPUTED_VALUE"""),"Sales Hub Implementation")</f>
        <v>Sales Hub Implementation</v>
      </c>
      <c r="B42" s="146">
        <f>IFERROR(__xludf.DUMMYFUNCTION("""COMPUTED_VALUE"""),38.0)</f>
        <v>38</v>
      </c>
      <c r="C42" s="178">
        <f>IFERROR(__xludf.DUMMYFUNCTION("""COMPUTED_VALUE"""),8360.0)</f>
        <v>8360</v>
      </c>
      <c r="D42" s="149"/>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t="str">
        <f>IFERROR(__xludf.DUMMYFUNCTION("""COMPUTED_VALUE"""),"Solution Design")</f>
        <v>Solution Design</v>
      </c>
      <c r="B43" s="146">
        <f>IFERROR(__xludf.DUMMYFUNCTION("""COMPUTED_VALUE"""),26.0)</f>
        <v>26</v>
      </c>
      <c r="C43" s="178">
        <f>IFERROR(__xludf.DUMMYFUNCTION("""COMPUTED_VALUE"""),5720.0)</f>
        <v>5720</v>
      </c>
      <c r="D43" s="149"/>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t="str">
        <f>IFERROR(__xludf.DUMMYFUNCTION("""COMPUTED_VALUE"""),"User Training Coaching + Consulting")</f>
        <v>User Training Coaching + Consulting</v>
      </c>
      <c r="B44" s="146">
        <f>IFERROR(__xludf.DUMMYFUNCTION("""COMPUTED_VALUE"""),13.0)</f>
        <v>13</v>
      </c>
      <c r="C44" s="178">
        <f>IFERROR(__xludf.DUMMYFUNCTION("""COMPUTED_VALUE"""),2860.0)</f>
        <v>2860</v>
      </c>
      <c r="D44" s="149"/>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t="str">
        <f>IFERROR(__xludf.DUMMYFUNCTION("""COMPUTED_VALUE"""),"Project Management")</f>
        <v>Project Management</v>
      </c>
      <c r="B45" s="146">
        <f>IFERROR(__xludf.DUMMYFUNCTION("""COMPUTED_VALUE"""),64.0)</f>
        <v>64</v>
      </c>
      <c r="C45" s="178">
        <f>IFERROR(__xludf.DUMMYFUNCTION("""COMPUTED_VALUE"""),14080.0)</f>
        <v>14080</v>
      </c>
      <c r="D45" s="149"/>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t="str">
        <f>IFERROR(__xludf.DUMMYFUNCTION("""COMPUTED_VALUE"""),"Post-Launch Support")</f>
        <v>Post-Launch Support</v>
      </c>
      <c r="B46" s="146">
        <f>IFERROR(__xludf.DUMMYFUNCTION("""COMPUTED_VALUE"""),0.0)</f>
        <v>0</v>
      </c>
      <c r="C46" s="178">
        <f>IFERROR(__xludf.DUMMYFUNCTION("""COMPUTED_VALUE"""),0.0)</f>
        <v>0</v>
      </c>
      <c r="D46" s="149"/>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6"/>
      <c r="C47" s="178"/>
      <c r="D47" s="149"/>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6"/>
      <c r="C48" s="178"/>
      <c r="D48" s="149"/>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6"/>
      <c r="C49" s="178"/>
      <c r="D49" s="149"/>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6"/>
      <c r="C50" s="178"/>
      <c r="D50" s="149"/>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6"/>
      <c r="C51" s="178"/>
      <c r="D51" s="149"/>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6"/>
      <c r="C52" s="178"/>
      <c r="D52" s="149"/>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6"/>
      <c r="C53" s="178"/>
      <c r="D53" s="149"/>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6"/>
      <c r="C54" s="178"/>
      <c r="D54" s="149"/>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6"/>
      <c r="C55" s="178"/>
      <c r="D55" s="149"/>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6"/>
      <c r="C56" s="178"/>
      <c r="D56" s="149"/>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6"/>
      <c r="C57" s="178"/>
      <c r="D57" s="149"/>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6"/>
      <c r="C58" s="178"/>
      <c r="D58" s="149"/>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6"/>
      <c r="C59" s="178"/>
      <c r="D59" s="149"/>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6"/>
      <c r="C60" s="178"/>
      <c r="D60" s="149"/>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6"/>
      <c r="C61" s="178"/>
      <c r="D61" s="149"/>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6"/>
      <c r="C62" s="178"/>
      <c r="D62" s="149"/>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6"/>
      <c r="C63" s="178"/>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6"/>
      <c r="C64" s="178"/>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6"/>
      <c r="C65" s="178"/>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6"/>
      <c r="C66" s="178"/>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6"/>
      <c r="C67" s="178"/>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6"/>
      <c r="C68" s="178"/>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6"/>
      <c r="C69" s="178"/>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6"/>
      <c r="C70" s="178"/>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6"/>
      <c r="C71" s="178"/>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6"/>
      <c r="C72" s="178"/>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6"/>
      <c r="C73" s="146"/>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6"/>
      <c r="C74" s="146"/>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6"/>
      <c r="C75" s="146"/>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sheetData>
  <drawing r:id="rId1"/>
</worksheet>
</file>