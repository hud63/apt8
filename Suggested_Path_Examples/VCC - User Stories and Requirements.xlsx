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 1 MVP" sheetId="1" r:id="rId4"/>
    <sheet state="visible" name="Phase 2 Optimization" sheetId="2" r:id="rId5"/>
  </sheets>
  <definedNames/>
  <calcPr/>
</workbook>
</file>

<file path=xl/sharedStrings.xml><?xml version="1.0" encoding="utf-8"?>
<sst xmlns="http://schemas.openxmlformats.org/spreadsheetml/2006/main" count="372" uniqueCount="329">
  <si>
    <t>VCC</t>
  </si>
  <si>
    <t xml:space="preserve">ID </t>
  </si>
  <si>
    <t>Epic</t>
  </si>
  <si>
    <t xml:space="preserve">Customer Story </t>
  </si>
  <si>
    <t>Suggested Path</t>
  </si>
  <si>
    <t>Assumptions</t>
  </si>
  <si>
    <t>Estimated
Low Hours</t>
  </si>
  <si>
    <t>Estimated Hours</t>
  </si>
  <si>
    <t>Estimated
High Hours</t>
  </si>
  <si>
    <t xml:space="preserve">Team </t>
  </si>
  <si>
    <t xml:space="preserve">Priority </t>
  </si>
  <si>
    <t>WHY</t>
  </si>
  <si>
    <t xml:space="preserve">Implementation Team </t>
  </si>
  <si>
    <t>Est. Hours</t>
  </si>
  <si>
    <t>Phase</t>
  </si>
  <si>
    <t>POC</t>
  </si>
  <si>
    <t>SALES</t>
  </si>
  <si>
    <t>Qualification + Application Processing</t>
  </si>
  <si>
    <t>CS-001</t>
  </si>
  <si>
    <t>Automated Location Eligibility Screening</t>
  </si>
  <si>
    <t>As a qualification specialist, I need an automated state eligibility check that triggers when a contact's state is captured, so that prospects from non-serviced states are immediately routed to a DNQ workflow with appropriate messaging</t>
  </si>
  <si>
    <t>Aptitude 8 will configure HubSpot workflows to automatically screen contacts based on their state property and route non-eligible prospects to a Do Not Qualify (DNQ) workflow. A workflow will monitor contact state property updates and enroll contacts from non-serviced states into an automated DNQ sequence. The DNQ workflow will automatically update deal stages, send personalized email notifications explaining service area limitations, and create tasks for qualification specialists to follow up if needed. Contact and deal properties will be updated to reflect DNQ status, and reporting will track DNQ volumes by state for business intelligence.</t>
  </si>
  <si>
    <r>
      <rPr>
        <rFont val="Arial"/>
        <color theme="1"/>
      </rPr>
      <t xml:space="preserve">• Serviced states list limited to simple inclusion/exclusion criteria (no complex geographic rules)
• DNQ messaging limited to standard email templates with basic personalization
• State property relies on manual data entry or form submissions (no address validation service)
• DNQ workflow limited to email notification and property updates (no complex nurture sequences)
• Reporting limited to standard HubSpot dashboard capabilities
</t>
    </r>
    <r>
      <rPr>
        <rFont val="Arial"/>
        <b/>
        <color theme="1"/>
      </rPr>
      <t>Dependencies:</t>
    </r>
    <r>
      <rPr>
        <rFont val="Arial"/>
        <color theme="1"/>
      </rPr>
      <t xml:space="preserve"> Requires definitive list of serviced vs. non-serviced states to be established</t>
    </r>
  </si>
  <si>
    <t>CS-002</t>
  </si>
  <si>
    <t>Signature Packet Workflow Automation</t>
  </si>
  <si>
    <t>As a qualification rep, I need a signature packet workflow that automatically sends DD-214 requests, medical forms, and third-party authorization forms in sequence with client-type specific document requirements, so that I can track document completion without manual follow-ups while ensuring veterans, surviving spouses, and couples receive appropriate documentation.</t>
  </si>
  <si>
    <t>Configure HubSpot workflows to automate signature packet sequences using deal stage progression and client-type conditional logic. Create custom deal properties tracking each required document type (DD-214, medical forms, third-party authorization) with different requirements for Veterans, Surviving Spouses, and Couples. Build PandaDoc integration with webhook triggers for signature completion events. Configure progressive email sequences with 2-3 business day delays between document requests. Implement automatic workflow unenrollment when signature completion webhooks trigger. Create escalation tasks for qualification reps after defined timeframes with pre-populated client context for manual follow-up.</t>
  </si>
  <si>
    <t>• Limited to 3 core document types in initial scope with client-type variations managed through conditional content rather than separate workflows
• Document upload functionality limited to HubSpot's native file attachment capabilities with • PandaDoc integration for signatures
• PandaDoc integration provides reliable signature completion webhooks for workflow triggers
• Email sequences limited to 5 total emails per document type with client-type specific messaging
• Document submission tracking relies on manual status updates by team members between automated triggers
• No integration with external document management systems included beyond PandaDoc</t>
  </si>
  <si>
    <t>CS-003</t>
  </si>
  <si>
    <t>Evidence Collection - Basic Tracking</t>
  </si>
  <si>
    <t>As a qualification case manager, I need basic digital evidence tracking for bank statements, pension statements, marriage certificates, and death certificates with manual status updates, so that I can see what's missing at a glance and prioritize outreach during the collection process.</t>
  </si>
  <si>
    <t>Create custom contact properties for each evidence type (bank statements, pension statements, marriage certificates, death certificates) using dropdown values to indicate status (Not Started, Requested, Received, Verified). Build custom contact record layout displaying evidence checklist prominently with color-coding for missing documents. Configure list views for bulk management and prioritization by missing document types. Implement basic reporting to show evidence collection status across all contacts.</t>
  </si>
  <si>
    <t>• Limited to 4 core evidence types in initial scope (bank statements, pension statements, marriage certificates, death certificates)
• Visual checklist limited to standard HubSpot property display capabilities (no custom UI components)
• Color-coding achieved through standard HubSpot conditional formatting only
• Manual status updates by team members (no automated task creation)
• Dashboard views limited to standard HubSpot reporting capabilities
• No automated document expiration tracking included
• Basic due date tracking using simple date properties (no automated calculations)</t>
  </si>
  <si>
    <t>CS-004</t>
  </si>
  <si>
    <t>Automated Loan Calculations</t>
  </si>
  <si>
    <t>As a qualification specialist, I need to capture client financial data (income, obligations, loan amount, property value) and automatically calculate key ratios and payment estimates, so I can quickly determine eligibility and flag high-risk cases without manual math.</t>
  </si>
  <si>
    <t>Aptitude 8 will configure HubSpot with custom number properties to capture loan amount, appraised value, gross income, and debt obligations. Calculated properties will generate basic ratios (e.g., DTI, LTV). A HubSpot Ops Hub Custom Code workflow action will calculate monthly payment estimates based on loan inputs (rate, term, amount) and write the result back to a property. Workflows will set validation flags and trigger notifications when thresholds are exceeded. Optionally, PandaDoc/Quote tokens can merge calculated values into pre-built loan summary templates.</t>
  </si>
  <si>
    <t>• Only standard financial inputs are required (loan amount, income, debts, appraised value, rate, term).
• LTV and DTI can be handled with HubSpot native calculated properties.
• Payment calculation requires Ops Hub Custom Code due to HubSpot’s lack of exponent functions.
• Thresholds for acceptable LTV and DTI are defined and provided by VCC.
• Loan scenarios beyond a single set of inputs are out of scope for Phase 1.</t>
  </si>
  <si>
    <t>CS-005</t>
  </si>
  <si>
    <t>Document Auto-Population</t>
  </si>
  <si>
    <t>As a loan officer, I need loan documents (e.g., term sheets) to automatically populate with client- and loan-specific details from HubSpot, so I can save time and reduce errors when generating documents for customers.</t>
  </si>
  <si>
    <t>Use the HubSpot ↔ PandaDoc integration to push HubSpot property values into PandaDoc templates as tokens. Core loan data (e.g., loan amount, interest rate, term, DTI/LTV ratios, monthly payment estimate from CS-006) will be stored as HubSpot properties. A workflow will trigger PandaDoc document creation at the appropriate deal stage, auto-populating the template with these values. Loan officers will review and send via PandaDoc, maintaining an auditable record of sent documents in HubSpot.</t>
  </si>
  <si>
    <r>
      <rPr>
        <rFont val="Arial"/>
        <color theme="1"/>
      </rPr>
      <t xml:space="preserve">• All required loan terms and client details are captured as HubSpot properties.
• PandaDoc template(s) are pre-designed and provided/approved by VCC.
• Integration is already available with an active PandaDoc subscription.
• No complex conditional logic (Phase 1 = straight token replacement).
• Legal/compliance review remains outside scope.
</t>
    </r>
    <r>
      <rPr>
        <rFont val="Arial"/>
        <b/>
        <color theme="1"/>
      </rPr>
      <t xml:space="preserve">Dependencies: </t>
    </r>
    <r>
      <rPr>
        <rFont val="Arial"/>
        <color theme="1"/>
      </rPr>
      <t>HubSpot ↔ PandaDoc integration is fully installed and configured before build.</t>
    </r>
  </si>
  <si>
    <t>CS-006</t>
  </si>
  <si>
    <t>Document Workflow - Basic Routing</t>
  </si>
  <si>
    <t>As an application QA specialist, I need basic automated routing to management QA with rejection reason tracking, so that when applications fail quality checks, they're returned to the appropriate team with specific correction requirements, eliminating manual handoffs in the primary review process.</t>
  </si>
  <si>
    <t>Configure HubSpot ticket pipeline for Management QA process with stages for QA Review, Corrections, and Approved. Create custom ticket properties to capture basic rejection reasons using dropdown selections. Implement workflow automation routing tickets to Management QA team based on application status. Assignment rules will automatically assign tickets to Management QA specialists, and email notifications will be sent to correction teams with rejection details. Basic escalation workflow will trigger if tickets remain in correction status beyond 5 business days.</t>
  </si>
  <si>
    <t>• Management QA routing only (Client Care QA implemented in Phase 2)
• QA routing limited to standard HubSpot ticket assignment rules (no advanced load balancing)
• Rejection reason tracking limited to dropdown properties (no free-text analysis)
• Email notifications limited to standard HubSpot email templates
• Simple time-based escalation (5 business days, no complex SLA calculations)
• Single-level approval process (no multi-tier routing)
• Basic reporting through standard HubSpot dashboard capabilities</t>
  </si>
  <si>
    <t>CS-007</t>
  </si>
  <si>
    <t>Advanced Qualification &amp; Risk Assessment</t>
  </si>
  <si>
    <t>As a qualification specialist, I need automated risk assessment scoring based on age, diagnosis, and asset data, so that I can identify hospice/high-risk cases early and route them for management approval</t>
  </si>
  <si>
    <t>Aptitude 8 will configure HubSpot to provide qualification specialists with a simple escalation workflow for high-risk case review. Custom contact properties will capture key risk indicators (age, diagnosis, asset data) for specialist reference, and a standardized management approval process will be established using HubSpot tasks or tickets. When specialists identify potential hospice/high-risk cases, they can easily create a management review request with relevant data pre-populated, ensuring consistent escalation and shared decision-making on whether to proceed.</t>
  </si>
  <si>
    <t>• Risk identification relies on specialist judgment rather than automated scoring
• Management approval process limited to task/ticket creation with standardized templates
• Risk indicator properties limited to basic data capture (no complex medical coding)
• Escalation workflow limited to one management approval level
• No automated deal stage restrictions pending approval (manual process control)</t>
  </si>
  <si>
    <t>CS-008</t>
  </si>
  <si>
    <t>Basic QA Process Optimization &amp; Error Prevention</t>
  </si>
  <si>
    <t>As a QA specialist, I need HubSpot to compare newly entered income values (Income Current) against the previous confirmed value (Income Previous) and alert me when the difference exceeds a set threshold (e.g., 30%), so that I can easily identify potential discrepancies</t>
  </si>
  <si>
    <t>Create custom properties for Income Current and Income Previous as number fields, then build a workflow that calculates percentage differences when Income Current is updated. If the difference exceeds 30%, automatically create an internal task for the QA team with specific alert details about the discrepancy. Implement a secondary workflow that copies Income Current to Income Previous after QA approval, and add pipeline validation rules that prevent advancement if income discrepancy tasks remain unresolved.</t>
  </si>
  <si>
    <t>• Income data is manually entered into HubSpot fields
• 30% threshold is business-defined and may need adjustment after testing
• QA team has capacity to review flagged discrepancies within 24 hours
• Historical income tracking limited to previous vs. current (no multi-version history)
• Workflow triggers only on significant changes, not minor adjustments (&lt;$50)</t>
  </si>
  <si>
    <t>CS-009</t>
  </si>
  <si>
    <t>As a QA specialist, I need a basic standardized QA checklist with required field verification, so that the review process is systematic and nothing gets missed, without requiring advanced Sales Enterprise features.</t>
  </si>
  <si>
    <t>Configure pipeline stage requirements with mandatory QA fields including Documents Verified, Income Cross-Checked, and Medical Expenses Validated as checkbox properties. Create workflows ensuring all QA checkboxes must be completed before records advance to "QA Approved" pipeline stage. Build basic QA summary reporting to track completion rates by individual reviewer. Implement simple validation rules preventing pipeline advancement until all required checkboxes are completed.</t>
  </si>
  <si>
    <t>• Standard checkbox properties only (no Sales Enterprise Playbooks)
• Basic pipeline stage requirements vs. advanced guided processes
• 5-6 core QA verification points can be standardized across all applications
• QA completion tracking limited to completion status (no time-stamping or detailed analytics)
• Simple manager approval via pipeline stage progression (no complex approval workflows)
• Standard HubSpot validation rules (no custom coded validation)
• Basic completion reporting using standard HubSpot reports</t>
  </si>
  <si>
    <t>Provider Outreach + Rate Analysis</t>
  </si>
  <si>
    <t>CS-010</t>
  </si>
  <si>
    <t>Provider Network Gap Management</t>
  </si>
  <si>
    <t>As a business development rep, I need automated "Provider Pending" workflow alerts when no provider exists in a client's area, so that I can prioritize new provider outreach for revenue opportunities</t>
  </si>
  <si>
    <t>Aptitude 8 will reuse the provider lookup: when the address (and service type) are entered on the Deal, a lookup runs; if zero providers are returned, a workflow will set Provider Pending = true, stamp Provider Pending Date/Time, and automatically create a BD follow-up (task or ticket) prefilled with the deal’s location, service type(s), and target rate. The Deal will display a brief “Provider Pending” banner to pause term-sheet steps. When a qualifying provider is later added/selected, the workflow clears the flag and closes the BD follow-up.</t>
  </si>
  <si>
    <t>• Provider lookup already exists (radius + filters) and returns a count; if not, a lightweight count step will be added.
• Deal captures service address (ZIP/city/state), required service type(s), and target rate.
• BD follow-up can be a Task (fastest) or a Ticket in a simple “Provider Recruitment” pipeline.</t>
  </si>
  <si>
    <t>CS-011</t>
  </si>
  <si>
    <t>Basic Geographic Rate Management</t>
  </si>
  <si>
    <t>As a rate analyst, I need a basic geographic rate analysis system with manual 50-mile radius competitor identification and manual rate entry, so that I can generate fair market rates with foundational provider lookup capability.</t>
  </si>
  <si>
    <t>Configure HubSpot custom objects to represent rate zones, provider locations, and basic rate tables with manual data entry. Create a "Rate Analysis" record linking providers within a defined geographic area using manual distance calculations or simple ZIP code proximity. Build basic provider lookup functionality showing nearby providers within 50 miles with current rates and last updated dates. Implement manual rate validation process where analysts review and update provider rates through standard HubSpot record updates. Create basic reporting showing rate coverage by geographic area and provider availability.</t>
  </si>
  <si>
    <t>• Provider records have geocodable addresses and current rate fields
• 50 miles is the default radius (manual override capability)
• Distance calculations performed manually or through simple ZIP code proximity
• Rate data entry and updates performed manually by team members
• No automated rate freshness alerts (manual review process)
• Basic reporting through standard HubSpot dashboards
• No external API integrations for automated distance calculations
• Provider data model includes address, rate, and last_updated fields only</t>
  </si>
  <si>
    <t>CS-012</t>
  </si>
  <si>
    <t>Basic Rate Analysis Workflow</t>
  </si>
  <si>
    <t>As an account manager/approver, I need a basic Rate Analysis workflow with simple approval steps, so proposed rates are documented and approved consistently across markets without complex guardrails.</t>
  </si>
  <si>
    <t>Create a guided Rate Analysis workflow tied to the Deal that displays nearby provider rates alongside basic reference points (VA county pay rate if available). Build simple rate comparison screen showing average/median rates from nearby providers. Implement basic approval workflow where reps submit analysis for approval and approvers can approve/deny with comments. Create basic approval tracking showing approval status, approver, and timestamp on both Rate Analysis record and Deal. Implement simple pipeline progression control gating term-sheet generation until approval is received.</t>
  </si>
  <si>
    <t>• Single-step approval process only (no multi-level or delegated approvals)
• Basic rate comparison display (average/median calculations only)
• No automated guardrails or policy threshold warnings
• Simple approve/deny workflow with basic comments field
• Manual rate analysis review by approvers (no automated validation)
• Basic approval audit trail (approver, timestamp, status)
• Standard HubSpot workflow functionality only</t>
  </si>
  <si>
    <t>Provider Document Management</t>
  </si>
  <si>
    <t>CS-013</t>
  </si>
  <si>
    <t>Provider Document Collection &amp; Exception Management</t>
  </si>
  <si>
    <t>As a business development rep, I need automated tracking of provider enrollment forms, W-9s, and insurance certificates with follow-up reminders, so that contracting doesn't stall due to missing documentation</t>
  </si>
  <si>
    <t>Aptitude 8 will add a Provider Onboarding checklist on the Provider record (or a simple onboarding ticket pipeline) with required items for Enrollment form, W-9, and COI. Each item will have “received/verified” flags and, for COI, an Expiration Date. Workflows will (a) send the Enrollment/W-9 via PandaDoc templates for e-signature and auto-attach back to HubSpot, (b) send secure upload requests for COI, (c) send follow-up reminders and escalate if SLAs are missed, and (d) block contracting stage progression until all required items are verified. Dashboards will surface missing and expiring COIs (30/60/90 days).</t>
  </si>
  <si>
    <r>
      <rPr>
        <rFont val="Arial"/>
        <color theme="1"/>
      </rPr>
      <t xml:space="preserve">• Providers live in HubSpot with owners; email delivery is permitted.
• COI verification is manual (no OCR/auto-parse in scope).
</t>
    </r>
    <r>
      <rPr>
        <rFont val="Arial"/>
        <b/>
        <color theme="1"/>
      </rPr>
      <t>Dependencies:</t>
    </r>
    <r>
      <rPr>
        <rFont val="Arial"/>
        <color theme="1"/>
      </rPr>
      <t xml:space="preserve"> PandaDoc integration and templates for Enrollment/W-9 are available (Phase 1 uses token merge).</t>
    </r>
  </si>
  <si>
    <t>CS-014</t>
  </si>
  <si>
    <t>As a business development manager, I need automated insurance exception request workflows with approval routing, so that non-standard certificates don't require manual email approvals</t>
  </si>
  <si>
    <t>Aptitude 8 will implement an Insurance Exception workflow: when a COI doesn’t meet minimum requirements (or a “Needs Exception” flag is set), a routed Exception ticket is created with prefilled provider details, reason, proposed terms, and a requested waiver end date. Managers receive an in-HubSpot approval step; Approve sets Exception Active with an expiration date and unblocks contracting, while Deny keeps the contracting gate in place and notifies the rep. A scheduled check reminds owners before waiver expiry to obtain a compliant COI or renew the exception.</t>
  </si>
  <si>
    <t>• One-step manager approval in Phase 1 (no multi-tier routing/business-hours SLAs).
• Minimum insurance requirements and acceptable exception types are defined.
• COI data (meets/doesn’t meet + expiration) is entered by staff.</t>
  </si>
  <si>
    <t>Contract Management</t>
  </si>
  <si>
    <t>CS-015</t>
  </si>
  <si>
    <t>Advanced Contract Management</t>
  </si>
  <si>
    <t>As a business development contract specialist, I need addendum workflows for one-off client rates that link to specific deals, so that when providers require non-standard pricing for complex clients (due to geographic distance, challenging care needs, or market conditions), I can quickly generate contract addendums tied to specific clients without renegotiating master provider agreements or delaying care delivery.</t>
  </si>
  <si>
    <t>Aptitude 8 will configure a Deal-level Addendum needed checkbox that, when set, triggers a workflow to validate required fields (provider, addendum reason, proposed client-specific rate, effective/end dates), generate a PandaDoc addendum from an approved template using HubSpot tokens (Deal, Company/Provider, rate, dates), and attach and track the document back on the Deal.</t>
  </si>
  <si>
    <r>
      <rPr>
        <rFont val="Arial"/>
        <color theme="1"/>
      </rPr>
      <t xml:space="preserve">• Master provider agreements remain in place; addendums are client-specific and scoped to a single Deal.
• PandaDoc integration is installed; addendum template(s) provided and approved.
• Guardrails (e.g., VA county pay rate, internal state max) are available in HubSpot for checks at send/approval time.
</t>
    </r>
    <r>
      <rPr>
        <rFont val="Arial"/>
        <b/>
        <color theme="1"/>
      </rPr>
      <t>Dependencies:</t>
    </r>
    <r>
      <rPr>
        <rFont val="Arial"/>
        <color theme="1"/>
      </rPr>
      <t xml:space="preserve"> HubSpot ↔ PandaDoc integration configured with token mapping (Deal + Company/Provider). Availability of VA/State max references in HubSpot for approval checks (can be part of your Rate Analysis data model).</t>
    </r>
  </si>
  <si>
    <t>Post-Development VA + Client Communication</t>
  </si>
  <si>
    <t>CS-016</t>
  </si>
  <si>
    <t>Automated VA Communication Cadences</t>
  </si>
  <si>
    <t>As a post-development specialist, I need automated VA calling tasks that create new follow-up tasks every 5 days during Initial/Development phase, so that no applications lose momentum due to missed follow-ups. When applications move to the Decision phase, calling tasks should adjust to every 3 days to quickly respond to VA requests for additional information. When applications reach the Notification phase, calling tasks should adjust to daily so that I can capture award information and payment details as soon as they're available.</t>
  </si>
  <si>
    <t>Aptitude 8 will enroll Deals into a single VA Calling Cadence workflow driven by the VA Phase. The workflow maintains one open “Next VA Follow-Up Call” task at a time (no stacking): in Initial/Development, it creates a task every 5 days; when the Deal moves to Decision, cadence automatically shifts to every 3 days; when the Deal reaches Notification, cadence shifts to daily. The workflow stamps VA Call Cadence (days), Last VA Call Date, and Next VA Call Due, re-queues the next task on completion or overdue, and exits (and clears any open task) when the case closes (e.g., Award Received/Loan Settled/Closed). Tasks are assigned to the Deal owner and pushed to a VA Follow-Ups queue; optional escalation creates a manager task if two consecutive calls are missed.</t>
  </si>
  <si>
    <t>• VA Phase is a standardized picklist with values for Initial/Development, Decision, and Notification.
• ˜Deal owner is set; calls are logged with outcomes so the workflow can schedule the next task correctly.
• No business-hours math in Phase 1 (simple day offsets); tasks can be due any day.
• Exit conditions/properties (e.g., Award Received, Loan Settled, Closed Lost) are present and updated reliably.
• One task “in flight” per Deal is acceptable; no need for multi-assignee splits or regional queues in Phase 1.</t>
  </si>
  <si>
    <t>CS-017</t>
  </si>
  <si>
    <t>Proactive Client Communication System</t>
  </si>
  <si>
    <t>As a post-development client care specialist, I need automated bi-weekly client check-in emails during Initial/Development phase with application status updates, so that families stay informed without manual communication efforts</t>
  </si>
  <si>
    <t>Create a dedicated subscription type and workflow-driven email drip tied to deal/contact criteria; send milestone or educational messages, throttle to one per milestone, and exit when the case closes or the client unsubscribes; optionally create tasks for no-open follow-up.</t>
  </si>
  <si>
    <t xml:space="preserve">
• Marketing Hub authenticated domain; compliance-approved content
• Referring provider/contact is associated to the Deal where applicable
• Transactional Email is used if consent isn’t available for system notices</t>
  </si>
  <si>
    <t>CS-018</t>
  </si>
  <si>
    <t>As a post-development rep, I need automated loan reminder communications sent to clients during the VA process, so that they understand award funds will be used to settle their interest-free loan (i.e. so they don't spend the loan money)</t>
  </si>
  <si>
    <t>Aptitude 8 will create a dedicated Loan Education subscription type and a HubSpot workflow that enrolls eligible clients based on deal/contact criteria (e.g., VA process in progress, loan active) and sends a timed email drip explaining how the award will be used to settle the interest-free loan. Emails will use personalization tokens (contact/deal) and include relevant educational information. Contacts will unenroll when the deal moves to “Award Received/Loan Settled” (or if the client unsubscribes), re-enroll if the case reopens, and suppress anyone without email consent or marked Do-Not-Email. Optional branches will create tasks for manual follow-up when clients don’t open/click after multiple touches, and throttling will prevent after-hours sends if desired.</t>
  </si>
  <si>
    <r>
      <rPr>
        <rFont val="Arial"/>
        <color theme="1"/>
      </rPr>
      <t xml:space="preserve">• VCC must provide all email content
• Marketing Hub Pro/Enterprise is available; email sending domain is authenticated.
• Consent model and the Loan Education subscription type are approved by compliance.
• Required deal/contact fields exist to drive enrollment and exit criteria (e.g., VA Process Stage, Loan Status, Loan Settled Date).
• Content is educational and avoids sensitive PHI/financial details beyond what’s approved.
</t>
    </r>
    <r>
      <rPr>
        <rFont val="Arial"/>
        <b/>
        <color theme="1"/>
      </rPr>
      <t xml:space="preserve">Dependencies: </t>
    </r>
    <r>
      <rPr>
        <rFont val="Arial"/>
        <color theme="1"/>
      </rPr>
      <t>Create/confirm properties: VA Process Stage, Loan Status, Loan Settled Date.</t>
    </r>
  </si>
  <si>
    <t>SERVICE / CLIENT CARE</t>
  </si>
  <si>
    <t>Benefit Management</t>
  </si>
  <si>
    <t>CS-019</t>
  </si>
  <si>
    <t>Automated Benefit Classification System</t>
  </si>
  <si>
    <t>As a client care specialist, I need the benefit type custom property to indicate which partial benefit type was awarded (partial, final, redevelopment), so that I can route each case to the appropriate workflow without manual categorization.</t>
  </si>
  <si>
    <t>When a partial benefit is awarded, client care will select the appropriate type, triggering enrollment into a branched workflow per benefit type. Each benefit-type branch will assign the correct owner/queue, create a tailored task checklist (documents, client education, provider coordination), send any approved email templates, set SLAs appropriate to that benefit, and gate stage progression until required steps are complete. If the benefit type changes, the Deal will re-enroll to route to the new branch. Status, due dates, and completion are written back to Deal properties for reporting.</t>
  </si>
  <si>
    <t>• Benefit type is populated promptly upon VA notification (manual entry is acceptable in Phase 1).
• One benefit type is active at a time per Deal (multi-type stacking not required in Phase 1).
• Email content, if used, avoids PHI and uses approved templates.</t>
  </si>
  <si>
    <t>Case Management</t>
  </si>
  <si>
    <t>CS-020</t>
  </si>
  <si>
    <t>Client Care Case Management</t>
  </si>
  <si>
    <t>As a client care specialist, I need automated ticket creation with specific workflows when clients report address changes, so that VA notifications and provider authorizations are updated within 48 hours</t>
  </si>
  <si>
    <t>Configure a QA ticket pipeline with stages for Management QA, Client Care QA, and Corrections; enforce SLA/escalation timers and notify owners.</t>
  </si>
  <si>
    <t>• Limited to standard HubSpot ticket assignment and time-based SLAs (no business-hours math)</t>
  </si>
  <si>
    <t>CS-021</t>
  </si>
  <si>
    <t>As a client care case manager, I need escalation alerts when bank account changes aren't processed within 7 days, so that we avoid withdrawing from closed accounts</t>
  </si>
  <si>
    <t>Aptitude 8 will create a simple Ticket SLA workflow that, on ticket creation (or when Status ≠ Closed), waits until Create date + 7 days and then checks the current status; if the ticket is still open, the workflow sends an alert email to the ticket owner and creates a follow-up task (due in 1 day) to drive closure. If the ticket is closed before the checkpoint, the workflow exits automatically. A daily re-check keeps the task from duplicating while the ticket remains open.</t>
  </si>
  <si>
    <t>• Ticket Status has a definitive “Closed” value and is updated reliably.
• Ticket Owner is set; email notifications can be sent to owners.
• No business-hours math in Phase 1 (calendar-day timing is acceptable).
• A standard alert template exists (or will be drafted) for the 7-day notification.</t>
  </si>
  <si>
    <t>MARKETING</t>
  </si>
  <si>
    <t>Collateral + Campaign Management</t>
  </si>
  <si>
    <t>CS-022</t>
  </si>
  <si>
    <t>Basic Marketing Templates</t>
  </si>
  <si>
    <t>As a marketing coordinator, I need basic co-branded flyers and emails with manual provider detail insertion, so the team can distribute consistent materials without automated token replacement or complex PandaDoc integration.</t>
  </si>
  <si>
    <t>Create standardized email templates and basic flyer templates within HubSpot with placeholder areas for provider information. Store provider details (logo URL, legal name, website, phone) as properties on Provider/Company records. Build simple manual process where marketing team copies template, manually inserts provider details, and distributes via standard HubSpot email or PDF attachment. Create basic template library organized by campaign type and provider category for easy access and consistency.</t>
  </si>
  <si>
    <t>• Provider records include basic contact information as properties
• Manual template customization by marketing team (no automated token replacement)
• Standard HubSpot email templates only (no advanced PandaDoc integration)
• Basic PDF generation through standard export/print functionality
• Monthly content updates managed centrally by marketing team
• Manual provider audience management through HubSpot lists
• Basic template version control through HubSpot template naming conventions</t>
  </si>
  <si>
    <t>CS-023</t>
  </si>
  <si>
    <t>Segmented Educational Campaigns</t>
  </si>
  <si>
    <t>As a marketing specialist, I need automated educational drip campaigns for different client segments (fiduciary risk, partial benefits, etc.), so that clients receive relevant information without manual campaign management</t>
  </si>
  <si>
    <t>• Client must provide all content
• Marketing Hub authenticated domain; compliance-approved content
• Referring provider/contact is associated to the Deal where applicable
• Transactional Email is used if consent isn’t available for system notices</t>
  </si>
  <si>
    <t>OPERATIONS</t>
  </si>
  <si>
    <t>Performance Tracking + Analytics</t>
  </si>
  <si>
    <t>CS-024</t>
  </si>
  <si>
    <t>Basic Performance Dashboards</t>
  </si>
  <si>
    <t>As a VP of Operations, I need basic dashboards showing VA application stages by rep and timeframes using standard HubSpot reports, so that I can identify bottlenecks and reassign resources without requiring custom report development.</t>
  </si>
  <si>
    <t>Configure standard HubSpot reports showing deal progression through VA application stages grouped by deal owner and time periods. Create basic dashboard views displaying application counts by stage, average time in stage, and rep performance metrics. Build simple list views for filtering and drilling down into specific application statuses. Implement basic scheduled report delivery to stakeholders via email. Create standard filters for date ranges, deal owners, and application types.</t>
  </si>
  <si>
    <t>• Data model and properties are finalized for basic reporting needs
• Standard HubSpot reporting capabilities sufficient for initial requirements
• Basic KPI set defined (deal counts, stage progression, time metrics)
• User permissions defined for dashboard access levels
• No custom report builder or advanced analytics required
• Scheduled delivery limited to standard HubSpot email functionality
• Basic drill-down capability through standard HubSpot list views</t>
  </si>
  <si>
    <t>CS-025</t>
  </si>
  <si>
    <t>Partner Performance Monitoring</t>
  </si>
  <si>
    <t>As an operations manager, I need basic quarterly provider performance reports showing referral volume and qualification rates, so that I can maintain data-driven partner relationships with foundational performance metrics without automated delivery or complex calculations.</t>
  </si>
  <si>
    <t>Build basic Partner Performance reports in HubSpot showing quarterly referral counts, qualification rates, and basic conversion metrics by provider. Create standard report templates that can be manually generated and exported for sharing with partners. Implement simple calculation fields for basic metrics (referral count, qualified count, conversion percentage). Design manual quarterly reporting process where operations team exports and distributes reports via standard email. Create basic partner performance tracking properties on provider records.</t>
  </si>
  <si>
    <t>• Basic revenue data can be manually entered or imported quarterly
• Provider performance metrics limited to referral volume and qualification rates
• Manual report generation and distribution acceptable for Phase 1
• Standard HubSpot calculation properties sufficient for basic metrics
• Quarterly reporting frequency appropriate without automated scheduling
• Basic performance thresholds can be manually monitored
• Standard export functionality adequate for partner sharing'</t>
  </si>
  <si>
    <t>System Administration</t>
  </si>
  <si>
    <t>CS-026</t>
  </si>
  <si>
    <t>HubSpot Foundation Setup</t>
  </si>
  <si>
    <t>As a HubSpot admin, I need comprehensive HubSpot instance configuration including custom objects for VA applications and provider contracts, custom properties for veteran-specific data, specialized deal pipelines for qualification and post-development processes, ticket pipelines for triggering events and case management, automated workflows spanning deals, tickets, and communications, and role-based permissions aligned with department functions, so that all teams can effectively manage the complex veteran care coordination business within HubSpot's framework</t>
  </si>
  <si>
    <t>Configure HubSpot to support the chosen data model, including custom objects, custom properties, workflows, deal pipelines to manage qualification and post-development processes and ticket pipelines for case management and event triggers. Additionally, role-based permissions will be configured to align HubSpot access with departmental responsibilities, ensuring each team has the right level of visibility and functionality.</t>
  </si>
  <si>
    <t>• Pipelines configuration is limited to defined deal pipelines (qualification and post-development) and ticket pipelines (case management/event triggers). Additional or future pipelines are excluded.
• Workflow automation will address core processes linking deals, tickets, and communications. Complex multi-system integrations or advanced coded actions are not in scope and will require a change order. 
• Role-based access will be aligned with departmental functions identified in discovery. Ongoing role management or custom security models are out of scope.
• Standard HubSpot reports and dashboards may be created using implemented objects and properties. Advanced analytics or third-party BI integration is not included.</t>
  </si>
  <si>
    <t>CS-027</t>
  </si>
  <si>
    <t>As a system administrator, I need role-based permissions that allow qualification reps to edit applications but restrict post-development reps from modifying qualification data, so that data integrity is maintained across departments</t>
  </si>
  <si>
    <t>Design role-based permission matrix for all user types. Configure HubSpot teams and permission sets. Implement approval workflows for sensitive data access. Create permission audit and review process.</t>
  </si>
  <si>
    <r>
      <rPr>
        <rFont val="Arial"/>
        <color theme="1"/>
      </rPr>
      <t xml:space="preserve">• HubSpot permission structure flexible enough for VCC's complex needs
• Business roles and responsibilities clearly defined for permission mapping
• Permission changes can be managed efficiently as team grows
• Compliance requirements support role-based access approach
</t>
    </r>
    <r>
      <rPr>
        <rFont val="Arial"/>
        <b/>
        <color theme="1"/>
      </rPr>
      <t>Dependencies:</t>
    </r>
    <r>
      <rPr>
        <rFont val="Arial"/>
        <color theme="1"/>
      </rPr>
      <t xml:space="preserve"> Requires organizational chart and role definition completion</t>
    </r>
  </si>
  <si>
    <t>CS-028</t>
  </si>
  <si>
    <t>Real-Time Client Data Dashboard</t>
  </si>
  <si>
    <t>As a client care specialist, I need consolidated client information (provider details, financial status, case history, sales pipeline status) in one view, so that I can prepare for client calls without navigating multiple objects and platforms</t>
  </si>
  <si>
    <t>Create a custom HubSpot record page layout specifically for client care that consolidates available information from related records (contacts, deals, companies, tickets) into a single dashboard view. Build custom cards displaying provider information, benefit status, loan details, sales pipeline status, and chronological case history in an organized layout. Implement quick-action buttons for common tasks (create case, update status, log call) directly from the consolidated view. Configure role-based permissions so client care team sees relevant information while maintaining data security across departments. Design clear indicators showing what information is current versus historical due to provider reporting delays.</t>
  </si>
  <si>
    <t>• Client information can be effectively displayed in HubSpot's custom record page framework without performance issues
• Integration with accounting system (Accounting Seed) provides historical financial data but not real-time hour usage
• Provider information from B2B team is accessible and properly associated with client records
• Case history and notes can be aggregated and displayed chronologically
• Current month hour usage will remain unavailable until provider invoicing cycle completes (inherent business process limitation)
• Custom development hours available for advanced dashboard components if needed</t>
  </si>
  <si>
    <t>Salesforce to HubSpot Migration</t>
  </si>
  <si>
    <t>CS-029</t>
  </si>
  <si>
    <t>Salesforce to HubSpot Migration Planning &amp; Execution</t>
  </si>
  <si>
    <t>As a data administrator, I need comprehensive migration of all client, provider, and financial records from Salesforce to HubSpot with automated data mapping, validation, rollback capabilities, and verification checkpoints, so that business operations continue uninterrupted with complete data integrity.</t>
  </si>
  <si>
    <t>Design custom object structure in HubSpot to accommodate Salesforce data complexity. Configure data mapping templates for client-prepared data imports. Implement staged migration approach (contacts → companies → deals → custom objects → workflows) using cleaned data provided by client. Build data validation and reconciliation processes to verify import accuracy. Create rollback procedures for migration issues. Establish verification checkpoints and business continuity protocols during transition.</t>
  </si>
  <si>
    <t>• Client responsible for data cleaning, deduplication, and export preparation from Salesforce
• Data provided in standardized formats compatible with HubSpot import requirements
• Client handles data quality issues and formatting inconsistencies prior to migration
• Integration testing possible with client-prepared sample data sets</t>
  </si>
  <si>
    <t>ACCOUNTING</t>
  </si>
  <si>
    <t>Financial Management + Billing</t>
  </si>
  <si>
    <t>CS-030</t>
  </si>
  <si>
    <t>Automated Invoice Processing</t>
  </si>
  <si>
    <t>As an accounting manager, I need automated invoice processing workflows from providers with hours-based validation, so that billing accuracy is improved and manual review time is reduced</t>
  </si>
  <si>
    <t>Build invoice intake and approval workflow using HubSpot tickets created from dedicated provider invoice email inbox. Configure ticket properties for manual entry of key invoice data (provider, client, hours, service dates, amount) by accounting team. Design approval workflows routing invoices based on amount thresholds, client status flags, or hours validation discrepancies. Create automated notifications to relevant teams for invoice receipt, approval status, and exception handling. Build reporting dashboard showing processing times and approval bottlenecks. Design handoff workflow to Accounting Seed with approved invoice data summary and documentation, leveraging the bi-directional integration for client status validation.</t>
  </si>
  <si>
    <t>• Invoice intake limited to dedicated email inbox monitoring (no direct provider portal integration)
• Invoice data entry requires manual input by accounting team (no OCR or automated data extraction)
• Approval workflows limited to standard HubSpot ticket routing capabilities
• Hours validation limited to basic range checks and threshold comparisons
• Accounting Seed integration relies on existing bi-directional connection (no new integration development)
• Reporting limited to standard HubSpot dashboard and ticket pipeline analytics
• Exception handling limited to task creation and email notifications
• Invoice document storage limited to HubSpot's native file attachment capabilities</t>
  </si>
  <si>
    <t>CS-031</t>
  </si>
  <si>
    <t>Loan Collection Management</t>
  </si>
  <si>
    <t>As an accounting coordinator, I need loan balance tracking based on VA award notifications, so that collections processes can begin immediately when award funds are received, ensuring timely follow-up and clear portfolio oversight.</t>
  </si>
  <si>
    <t>Loan balance tracking will be implemented using custom properties on Deal records to monitor outstanding balances, VA award status, and repayment activity. A workflow triggered by VA award notification (status change to “Active Approved”) will automatically: Update loan balance fields &gt; Generate an initial collection task assigned to accounting with borrower details and balance pre-populated &gt; Enroll the deal into a collections pipeline to visually track repayment progress.
Standardized collection task templates (initial contact, follow-up call, letter request) will be created using a “task-only sequence” approach, ensuring consistency while still requiring manual completion by the accounting team. Collection stage tracking properties (e.g., “Initial Contact Made,” “Follow-up Pending,” “In Default,” “Resolved”) will enable portfolio monitoring through a collections dashboard. Reporting will provide visibility into open collections, loan aging, and resolution outcomes, supporting portfolio management without requiring heavy automation.</t>
  </si>
  <si>
    <t>• Workflow triggers rely on VA award notifications updating HubSpot properties. No direct integration with VA systems is included in scope.
• Calculations are limited to basic formulas in HubSpot properties. Complex amortization schedules or interest compounding will not be modeled.
• Collection remains a manual process supported by workflows and task organization. Automated calls or letters are out of scope.
• Dashboards will use HubSpot native reporting only, showing active collections, loan aging, and status counts. No advanced BI or financial reconciliations are included.
• Scope excludes custom integration with banking systems, VA award systems, or payment processors unless separately defined.</t>
  </si>
  <si>
    <t>Project Management + Strategy</t>
  </si>
  <si>
    <t>CS-032</t>
  </si>
  <si>
    <t>Project Kickoff, Onboarding, and Closeout</t>
  </si>
  <si>
    <t>CS-033</t>
  </si>
  <si>
    <t xml:space="preserve">Recurring Project Check-ins </t>
  </si>
  <si>
    <t>CS-034</t>
  </si>
  <si>
    <t xml:space="preserve">Project Administration </t>
  </si>
  <si>
    <t>System Integrations &amp; Data Management</t>
  </si>
  <si>
    <t>CS-035</t>
  </si>
  <si>
    <t>Accounting Seed Integration Architecture</t>
  </si>
  <si>
    <t>As a VCC Administrator, I want seamless integration between HubSpot and Accounting Seed so that financial data flows accurately between systems without manual intervention.</t>
  </si>
  <si>
    <t>Evaluate Accounting Seed API capabilities and limitations. Design bi-directional sync for opportunities, client data, and payment status. Implement real-time triggers for status changes (Active Unapproved → Active Approved). Create fallback manual processes for integration failures. Build monitoring dashboard for integration health.</t>
  </si>
  <si>
    <r>
      <rPr>
        <rFont val="Arial"/>
        <color theme="1"/>
      </rPr>
      <t xml:space="preserve">• Accounting Seed will maintain current functionality during transition
• API rate limits sufficient for VCC's transaction volume
• Salesforce licenses can be reduced to minimal Accounting Seed access only
• Current Accounting Seed workflows can be replicated in integration layer
</t>
    </r>
    <r>
      <rPr>
        <rFont val="Arial"/>
        <b/>
        <color theme="1"/>
      </rPr>
      <t>Dependencies:</t>
    </r>
    <r>
      <rPr>
        <rFont val="Arial"/>
        <color theme="1"/>
      </rPr>
      <t xml:space="preserve"> Requires Accounting Seed API documentation review and technical feasibility assessment (in progress)</t>
    </r>
  </si>
  <si>
    <t>CS-036</t>
  </si>
  <si>
    <t>Geographic Mapping &amp; Rate Analysis Integration</t>
  </si>
  <si>
    <t>As a Business Development Representative, I want automated geographic rate analysis with 50-mile radius calculations (with the ability to override the radius) so that I can quickly find all contracted/known providers near a client’s home, review their current rates and last-updated dates, and compare them against the VA county pay rate and our internal state maximum to propose a defensible rate on the first pass.</t>
  </si>
  <si>
    <t>Aptitude 8 will integrate a mapping service (Google Maps API) to compute a default 50-mile radius from the client’s address in HubSpot (overrideable per case) and return nearby providers from the HubSpot provider directory. Results will be written to a Rate Analysis record and rendered on a custom CRM card as a sortable table (provider, distance, address, current rate, last-updated). The view will also resolve the client’s county/ZIP to join in the VA pay rate (annual import) and the internal state maximum side-by-side with basic aggregates (e.g., average/median). Rates older than the freshness threshold (e.g., 180 days) will be flagged to prompt verification, and when analysts update rates after call-outs, the list/aggregates refresh. HubSpot’s native Maps may be used for light visualization, while the Google API powers the authoritative list and refresh on address changes.</t>
  </si>
  <si>
    <r>
      <rPr>
        <rFont val="Arial"/>
        <color theme="1"/>
      </rPr>
      <t xml:space="preserve">• Default radius is 50 miles; analysts can override per analysis.
• Provider records in HubSpot have geocodable addresses, current rate fields, and a Rate Last Updated date.
• Google Maps API key is available and lookup volume fits the budget.
• VA pay rates are imported annually (ZIP→county resolution acceptable for Phase 1) and Internal State Max values are available for lookup.
• Analysts will perform manual call-outs in sparse markets; process is partially manual by design (no external scraping/OCR in scope).
• Visualization is table-first via a CRM card; map is optional and non-authoritative.
</t>
    </r>
    <r>
      <rPr>
        <rFont val="Arial"/>
        <b/>
        <color theme="1"/>
      </rPr>
      <t>Dependencies:</t>
    </r>
    <r>
      <rPr>
        <rFont val="Arial"/>
        <color theme="1"/>
      </rPr>
      <t xml:space="preserve"> Requires Google Maps API setup and VA rate data structure analysis</t>
    </r>
  </si>
  <si>
    <t>CS-037</t>
  </si>
  <si>
    <t>PandaDoc Document Management Integration</t>
  </si>
  <si>
    <t>As a Consumer Sales Representative, I want automated document workflow triggers that send consent agreements only after provider assignment and payment terms are finalized, and automatically initiate next steps upon signature completion, so that clients sign agreements with accurate information and subsequent processes begin without manual task creation.</t>
  </si>
  <si>
    <t>Configure PandaDoc webhooks for signature completion events with conditional document sending logic. Create workflows that monitor deal properties for provider assignment and payment terms completion before triggering consent agreement delivery. Build automated post-signature task generation for next steps in the process (VA application initiation, client care handoff). Implement document status tracking on client records showing both pre-send conditions and post-signature status. Design template library for various document types with dynamic content population (care hours, rates, withdrawal amounts). Create automated reminder sequences for unsigned documents and escalation workflows for overdue signatures.</t>
  </si>
  <si>
    <t>• PandaDoc integration capabilities support both conditional sending and post-signature automation
• Provider assignment and payment terms processes defined as trackable HubSpot deal properties
• Document storage within HubSpot meets compliance requirements for consent agreement retention
• Conditional workflow logic can prevent premature document sending while maintaining process efficiency
• Team training on consolidated document system manageable for adoption
• Dynamic content population maintains accuracy for care hours, rates, and financial terms</t>
  </si>
  <si>
    <t>Team Training &amp; Change Manaagement</t>
  </si>
  <si>
    <t>CS-038</t>
  </si>
  <si>
    <t>User Training Program Development</t>
  </si>
  <si>
    <t>As a VCC Team Member, I want comprehensive training on HubSpot functionality so that I can effectively use the new system to perform my job responsibilities.</t>
  </si>
  <si>
    <t>Create role-based training materials and video tutorials. Design hands-on training sessions for each department. Build internal knowledge base with process documentation. Implement train-the-trainer program for ongoing support. Create quick reference guides and cheat sheets.</t>
  </si>
  <si>
    <r>
      <rPr>
        <rFont val="Arial"/>
        <color theme="1"/>
      </rPr>
      <t xml:space="preserve">• Training can be delivered during business hours with minimal operational impact
• All team members have basic computer literacy for web-based applications
• Management support available for enforcing new process adoption
• Training materials can be updated as system evolves
</t>
    </r>
    <r>
      <rPr>
        <rFont val="Arial"/>
        <b/>
        <color theme="1"/>
      </rPr>
      <t>Dependencies:</t>
    </r>
    <r>
      <rPr>
        <rFont val="Arial"/>
        <color theme="1"/>
      </rPr>
      <t xml:space="preserve"> Requires final system configuration completion before training development</t>
    </r>
  </si>
  <si>
    <t>CS-039</t>
  </si>
  <si>
    <t>Process Documentation &amp; Knowledge Transfer</t>
  </si>
  <si>
    <t>As a VCC Operations Manager, I want comprehensive documentation of all new HubSpot processes so that team members can reference procedures and new employees can be onboarded effectively.</t>
  </si>
  <si>
    <t>Document all custom workflows and automation logic. Create process flowcharts for complex multi-step procedures. Build searchable knowledge base with categorized articles. Design video tutorials for visual learners. Implement version control for documentation updates.</t>
  </si>
  <si>
    <r>
      <rPr>
        <rFont val="Arial"/>
        <color theme="1"/>
      </rPr>
      <t xml:space="preserve">• Process documentation can be maintained as system evolves
• Documentation format preferences can be accommodated (video, text, flowcharts)
• Knowledge base search functionality meets user needs
• Documentation review and update process can be established
</t>
    </r>
    <r>
      <rPr>
        <rFont val="Arial"/>
        <b/>
        <color theme="1"/>
      </rPr>
      <t xml:space="preserve">Dependencies: </t>
    </r>
    <r>
      <rPr>
        <rFont val="Arial"/>
        <color theme="1"/>
      </rPr>
      <t>Requires all system configurations finalized before documentation creation</t>
    </r>
  </si>
  <si>
    <t>Compliance &amp; Security</t>
  </si>
  <si>
    <t>CS-040</t>
  </si>
  <si>
    <t>PII/HIPAA Data Security Implementation</t>
  </si>
  <si>
    <t>As a VCC Compliance Officer, I want robust security controls for sensitive client data so that VCC maintains regulatory compliance and protects client privacy.</t>
  </si>
  <si>
    <t>Implement role-based permissions for sensitive data access. Configure field-level security for PII/HIPAA information. Design audit logging for data access and modifications. Create data retention and deletion policies. Build compliance reporting dashboard.</t>
  </si>
  <si>
    <r>
      <rPr>
        <rFont val="Arial"/>
        <color theme="1"/>
      </rPr>
      <t xml:space="preserve">• HubSpot security features sufficient for PII/HIPAA compliance requirements
• Business Associate Agreement with HubSpot covers regulatory requirements
• User access patterns can be controlled through training and system restrictions
• Audit requirements can be met through HubSpot's native logging capabilities
</t>
    </r>
    <r>
      <rPr>
        <rFont val="Arial"/>
        <b/>
        <color theme="1"/>
      </rPr>
      <t>Dependencies:</t>
    </r>
    <r>
      <rPr>
        <rFont val="Arial"/>
        <color theme="1"/>
      </rPr>
      <t xml:space="preserve"> Requires legal review of compliance requirements and HubSpot BAA</t>
    </r>
  </si>
  <si>
    <t>Estimated Implementation Subtotals</t>
  </si>
  <si>
    <t>Phase 1 Estimated Totals</t>
  </si>
  <si>
    <t>CS-041</t>
  </si>
  <si>
    <t>Evidence Collection - Automated Management</t>
  </si>
  <si>
    <t xml:space="preserve">As a qualification case manager, I need automated task creation for missing documents with due date calculations based on application deadlines, so that I can ensure no documents fall through the cracks and team members receive timely reminders without manual tracking.
</t>
  </si>
  <si>
    <t>Build upon Phase 1's basic evidence tracking by implementing automated workflow that monitors evidence collection properties and creates tasks for qualification reps when documents remain "Not Started" or "Requested" beyond defined timeframes. Calculate due dates based on application deadline properties and assign tasks to deal/contact owners automatically. Build task templates with specific document type and contact information, preventing duplicate task creation for same missing document. Configure tasks to auto-complete when evidence status updates to "Received."</t>
  </si>
  <si>
    <t>• Phase 1 evidence tracking properties and workflows already established
• Due date calculations based on simple date math (application deadline minus buffer days)
• Automatic assignment limited to deal/contact owner (no round-robin or workload balancing)
• Maximum of 2 tasks per contact per evidence type to prevent task spam
• Task templates include document type, client name, and collection status
• Auto-completion triggers when evidence status changes to "Received" or "Verified"</t>
  </si>
  <si>
    <t>CS-042</t>
  </si>
  <si>
    <t>Smart Provider Assignment &amp; Rate Generation</t>
  </si>
  <si>
    <t>As an application processor, I need automated provider assignment based on ZIP code and service availability, so that I can generate accurate rates for term sheets without manual provider research</t>
  </si>
  <si>
    <t>Aptitude 8 will stand up a provider directory in HubSpot and a radius-based lookup that, from the Deal, returns nearby providers that meet required service availability and rate criteria. The system will present a concise list of suggested providers for the rep to select (no auto-assignment); choosing one stamps the Deal and can kick off the rate analysis/term-sheet flow. Distance is calculated via a mapping service (e.g., Google Maps), and simple policy guardrails screen out options that fall outside configured thresholds.</t>
  </si>
  <si>
    <t>• Provider directory exists in HubSpot (Company = Provider or Provider custom object) with standardized fields: geocodable address (street/city/state/ZIP), active/contract status, services/shift types, current rate fields, and “rate last updated.”
• Deals/Applications have a service address (ZIP) and required service type(s) captured.
• A mapping service (e.g., Google Maps) is available and budgeted; expected lookup volume fits within API limits. Default search radius is 50 miles (override allowed).
• Basic policy guardrails (e.g., VA county pay rate and internal state max) are available in HubSpot if you want to screen suggestions.
• Provider and address data are clean enough to geocode reliably (no large-scale data-cleansing effort in scope).</t>
  </si>
  <si>
    <t>CS-043</t>
  </si>
  <si>
    <t>As an intake rep, I need prominent rate negotiation status alerts visible across all client and provider interfaces, so that I don't quote outdated rates while providers are in active rate negotiations, preventing client relationship damage and expectation management issues.</t>
  </si>
  <si>
    <t>Aptitude 8 will configure HubSpot provider records with clear rate negotiation status indicators and visual alerts to prevent intake reps from quoting outdated rates. Custom provider properties will track rate negotiation status (Current, Under Negotiation, Pending Update) with prominent visual indicators on provider record pages. Deal and contact record views will display provider rate status warnings when linked providers have rates under negotiation. Workflow automation will send notifications to relevant teams when provider rates are marked as "under negotiation" and when negotiations are complete with updated rates. Color-coded alerts and banner notifications will ensure reps cannot miss rate status warnings during client conversations.</t>
  </si>
  <si>
    <r>
      <rPr>
        <rFont val="Arial"/>
        <color theme="1"/>
      </rPr>
      <t xml:space="preserve">• Rate negotiation status requires manual updates by business development or management teams
• Visual indicators limited to standard HubSpot conditional formatting and property display options
• No real-time external rate feeds (all rate data manually maintained in HubSpot)
• Alert system limited to property-based conditional displays and email notifications
• Provider rate history tracking limited to basic property change logs
</t>
    </r>
    <r>
      <rPr>
        <rFont val="Arial"/>
        <b/>
        <color theme="1"/>
      </rPr>
      <t>Dependencies:</t>
    </r>
    <r>
      <rPr>
        <rFont val="Arial"/>
        <color theme="1"/>
      </rPr>
      <t xml:space="preserve"> Requires provider records and rate management structure</t>
    </r>
  </si>
  <si>
    <t>CS-044</t>
  </si>
  <si>
    <t>Document Workflow - Advanced Routing</t>
  </si>
  <si>
    <t>As an application QA specialist, I need Client Care QA incorporated into the existing Management QA workflow and enhanced rejection tracking, so that applications can flow through both quality check levels with detailed correction requirements and comprehensive audit trails.</t>
  </si>
  <si>
    <t>Expand Phase 1's Management QA workflow to include Client Care QA routing with enhanced rejection reason tracking through custom properties and workflow branches. Add Client Care QA stage to existing ticket pipeline and configure conditional routing based on failure type and stage. Implement detailed rejection reason taxonomy with specific correction requirements. Build advanced task templates that include rejection history and specific correction instructions. Configure escalation workflows that trigger if tickets remain in correction status beyond enhanced SLA timeframes with manager notifications.</t>
  </si>
  <si>
    <t>• Phase 1 Management QA workflow fully operational and stable
• Client Care QA team roles and assignment rules established
• Enhanced rejection reason taxonomy approved (beyond basic dropdown)
• Multi-level QA routing doesn't require complex business hours calculations
• Escalation workflows can include manager notification and task creation
• Advanced reporting includes QA pass/fail rates and common rejection patterns</t>
  </si>
  <si>
    <t>CS-045</t>
  </si>
  <si>
    <t>Advanced QA with Playbooks</t>
  </si>
  <si>
    <t>As a QA specialist, I need HubSpot Sales Enterprise Playbooks integrated with the existing QA checklist system, so that I can follow detailed step-by-step verification processes with guided workflows and advanced completion analytics.</t>
  </si>
  <si>
    <t>Integrate HubSpot Sales Enterprise Playbooks with Phase 1's basic QA checklist system, creating step-by-step guided verification processes for each QA checkpoint. Build detailed Playbooks containing verification procedures, common issues to check, and resolution steps. Configure advanced completion tracking with time-stamping and detailed analytics. Implement Playbook templates for different application types (veteran vs. surviving spouse vs. couples). Create advanced QA summary reporting including completion times, common failure points, and individual reviewer performance analytics.</t>
  </si>
  <si>
    <t>• Sales Hub Enterprise license available for Playbooks feature
• Phase 1 QA checklist system operational and user-adopted
• QA team willing to adopt guided Playbook processes vs. current freeform approach
• Advanced analytics requirements defined (completion times, failure analysis)
• Playbook content can be standardized across application types
• Performance tracking includes individual reviewer metrics and coaching insights</t>
  </si>
  <si>
    <t>CS-046</t>
  </si>
  <si>
    <t>Advanced Rate Management Automation</t>
  </si>
  <si>
    <t>As a rate analyst, I need automated rate freshness alerts and validation triggers integrated with the existing geographic rate system, so that I can proactively maintain current rates and ensure data quality without manual monitoring of 180-day thresholds.</t>
  </si>
  <si>
    <t>Build upon Phase 1's manual rate management system by implementing automated workflows that monitor rate age and trigger freshness alerts. Create scheduled workflows that identify rates older than 180 days and automatically create verification tasks for rate analysts. Implement automated validation flags for outlier rates that exceed policy thresholds. Build rate refresh workflows that update analysis tables when provider rates are modified. Configure automated notifications to relevant teams when rate data becomes stale or requires verification.</t>
  </si>
  <si>
    <t>• Phase 1 basic rate management system fully operational
• 180-day freshness threshold confirmed as business requirement
• Rate validation business rules defined (outlier detection criteria)
• Automated task creation doesn't overwhelm analyst workload
• Provider rate change workflows can trigger analysis refresh automatically
• Scheduled workflow execution acceptable for daily/weekly rate monitoring</t>
  </si>
  <si>
    <t>CS-047</t>
  </si>
  <si>
    <t>Advanced Rate Analysis with Guardrails</t>
  </si>
  <si>
    <t>As an account manager/approver, I need policy guardrails and automated threshold validation integrated with the existing rate analysis workflow, so that proposed rates are automatically validated against VA maximums and internal state limits with clear warnings and enforcement.</t>
  </si>
  <si>
    <t>Enhance Phase 1's basic approval workflow with automated policy guardrails that validate proposed rates against VA county pay rates and internal state maximums. Implement threshold warning system that flags rates exceeding policy limits before submission. Build advanced approval routing that requires additional authorization for rates outside standard parameters. Create audit trail enhancements showing policy compliance checks and override justifications. Configure automated compliance reporting showing rate proposals vs. policy thresholds.</t>
  </si>
  <si>
    <t>• Phase 1 basic approval workflow operational and user-adopted
• VA county pay rate data and internal state maximums available in HubSpot
• Policy threshold percentages defined (e.g., VA max +/- X%, state max enforcement)
• Multi-level approval routing rules established for policy exceptions
• Compliance reporting requirements defined for audit purposes
• Override justification workflow doesn't significantly slow approval process</t>
  </si>
  <si>
    <t>Relationship Management</t>
  </si>
  <si>
    <t>CS-048</t>
  </si>
  <si>
    <t>Partner Relationship Automation</t>
  </si>
  <si>
    <t>As a business development account manager, I need automated referral status updates sent to provider partners when their referred clients change stages (application submitted, VA decision phases, benefit approval, care start), so that referring providers stay informed about referral outcomes without manual communication, strengthening partnerships and encouraging continued referrals</t>
  </si>
  <si>
    <t>Aptitude 8 will add a Referring Provider association (contact/company) on the client Deal and a Partner Notifications subscription. A workflow triggered by key milestone changes (Application Submitted → VA Decision → Benefit Approval → Care Start) will send a templated email to the referring provider with the client’s referral ID, current milestone, and next steps; messages are throttled to one per milestone and logged on the Deal. Optional: a weekly digest for providers with multiple active referrals.</t>
  </si>
  <si>
    <t>• Referring provider exists in HubSpot and is associated to the Deal with a clear label.
• Providers are opted-in to Partner Notifications (or Transactional Email is available if needed).
• Content avoids PHI; uses referral ID/initials and generic status language cleared by compliance.
• Stage mappings to milestones are finalized.</t>
  </si>
  <si>
    <t>CS-049</t>
  </si>
  <si>
    <t>As a business development rep, I need automated notifications sent to referring providers when their referred clients don't qualify for VA benefits, including the reason why they were disqualified (e.g. they exceed income/asset limits) and suggesting they could be good private pay customers, so that providers can still generate revenue from these referrals and continue sending us more prospects</t>
  </si>
  <si>
    <t>When a Deal moves to DNQ, required DNQ reason properties are surfaced (a standardized dropdown and a "Provider DNQ Notes" field for reps to enter more detailed information/feedback to the provider), and a workflow is triggered to send a templated notification to the referring provider summarizing the outcome (reason code/label). If the DNQ reason suggests a good fit for private-pay, this info is passed back to the provider for outreach, along with a task for the rep to follow up with the provider regarding the potential private pay client.</t>
  </si>
  <si>
    <t>• Referring Provider is associated to the Deal with a clear role/label.
• DNQ Reason taxonomy is approved for external sharing; Provider DNQ Notes exclude PHI.
• Providers are opted into a Partner Notifications subscription, or Transactional Email is available.
• Private-pay resources/talking points are provided (URL or snippet).
• One notification per DNQ event; re-notifies only on subsequent status changes.</t>
  </si>
  <si>
    <t>CS-050</t>
  </si>
  <si>
    <t>Fiduciary Risk Management</t>
  </si>
  <si>
    <t>As a post-development case manager, I need educational drip campaigns triggered when 21-2680 forms indicate potential fiduciary needs, so that families understand both the extended timeline they'll face (additional 2.5 months) and the facts about provider choice when fiduciaries get involved, maintaining trust in VCC while preventing provider switching during the 7-month process</t>
  </si>
  <si>
    <t>**VCC Must Provide Content! Educational Content Should Cover:
• What fiduciary designation means - It's a legal protection, not a punishment
• Why it's sometimes required - VA requirement for certain medical conditions
• Timeline expectations - Additional 2.5 months on top of standard 4.5 months
• Relationship preservation - How to maintain trust during the process
• Provider choice education - Facts about why professional agencies vs. neighbors/family
• Risk awareness - Insurance, taxes, liability issues with informal caregivers</t>
  </si>
  <si>
    <t>CS-051</t>
  </si>
  <si>
    <t>COLA Adjustment Workflows</t>
  </si>
  <si>
    <t>As a client care manager, I need automated COLA adjustment workflows that create January tasks for all partial adjusted accounts with benefit increase calculations, then automatically close existing opportunities and create new ones with updated benefit amounts, so that annual adjustments can be completed more efficiently.</t>
  </si>
  <si>
    <t>Configure automated January workflow to identify all partial adjusted accounts and create tasks for benefit coordinators with pre-calculated benefit increases based on COLA rates. Build secondary workflow that automatically closes existing opportunities when COLA adjustments are approved and creates new opportunities with updated benefit amounts, payment terms, and provider authorizations. Configure properties to track COLA adjustment status, effective dates, and approval workflows. Design reporting to monitor COLA processing progress and ensure March 1st deadline compliance.</t>
  </si>
  <si>
    <t>• COLA rate data can be imported or manually entered annually with percentage increase calculations manageable within HubSpot workflows
• Benefit increase calculations can be automated using HubSpot's calculated properties or simple workflow math 
• Opportunity closure and creation process maintains data integrity and historical record linkage for reporting continuity</t>
  </si>
  <si>
    <t>CS-052</t>
  </si>
  <si>
    <t>Hospitalization Workflow Management</t>
  </si>
  <si>
    <t>As a client care coordinator, I need automated workflows for hospitalization reports that pause care authorizations and trigger provider notifications, so that billing discrepancies are prevented</t>
  </si>
  <si>
    <t>Aptitude 8 will add a Care Status control on the Deal (or Client record) with values such as Active, Paused — Hospitalized, and Paused — Other, plus fields for Hospitalization Notified Date, Expected Discharge Date, and Hospitalization Notes. When Care Status = Paused — Hospitalized (or a simple Hospitalized toggle is set), a workflow stamps the notified date, suppresses scheduling/term-sheet follow-ups, and creates a single “Notify provider &amp; update care plan” task for the owner (prefilled with provider and client details). The workflow also sets a Resume Check Date (e.g., Expected Discharge Date or +7 days if blank) and creates a reminder task on that date to confirm discharge and flip Care Status back to Active. When Care Status returns to Active, the workflow clears the pause state and re-enables normal follow-ups</t>
  </si>
  <si>
    <t>• Provider is associated to the Deal/Client so the task can include provider details.
• Suppression only impacts internal scheduling/follow-up workflows (no complex integrations).
• Expected Discharge Date is optional; if missing, a default resume check is acceptable (e.g., +7 days).
• Messaging templates (if any) for notifying providers are approved; otherwise, the task directs manual outreach.</t>
  </si>
  <si>
    <t>CS-053</t>
  </si>
  <si>
    <t>Automated Case Routing with Task Sequences</t>
  </si>
  <si>
    <t>As a client care specialist, I need automated case routing with task sequences based on triggering event type (address change vs. death vs. care complaint), so that each case follows the appropriate workflow with proper due dates</t>
  </si>
  <si>
    <t>Aptitude 8 will create a triggering event property and a simple workflow that, when the triggering event occurs (e.g., death, bank acount change), creates a ticket, pre-fills context (client/deal link, reason, notes), and then branches by reason to (a) assign the correct owner/queue, (b) set priority/SLA due date (simple offsets), and (c) create the relevant next-step tasks and notifications. The workflow prevents duplicates by checking for an open ticket with the same reason; tickets auto-close the loop when Status = Resolved/Done.</t>
  </si>
  <si>
    <t>• Trigger Reason taxonomy is finalized (values + owner/queue mapping).
• A single pipeline is sufficient for these tickets in Phase 1.
• No business-hours SLA math (calendar-day offsets are fine).
• Basic email templates (if used) are approved; Slack/Teams optional.</t>
  </si>
  <si>
    <t>CS-054</t>
  </si>
  <si>
    <t>Complex Case Escalation Rules</t>
  </si>
  <si>
    <t>As a client care manager, I need escalation rules for complex cases (fiduciary, partial benefits, collections), so that high-risk situations get appropriate oversight</t>
  </si>
  <si>
    <t>When a high-risk case is identified, enroll in a branching workflow to assign the correct oversight, based on the risk reason</t>
  </si>
  <si>
    <t>-</t>
  </si>
  <si>
    <t>CS-055</t>
  </si>
  <si>
    <t>Dynamic Marketing Automation</t>
  </si>
  <si>
    <t>As a marketing coordinator, I need automated token replacement and provider-specific document generation integrated with the existing template system, so that co-branded materials can be generated automatically with current provider details without manual customization work.</t>
  </si>
  <si>
    <t>Integrate Phase 1's manual template system with PandaDoc automation for dynamic token replacement and automated provider-specific generation. Configure HubSpot-PandaDoc integration to automatically populate provider details (logo, legal name, website, phone) into templates using property tokens. Build workflow automation that generates provider-specific flyers and emails based on campaign triggers or scheduled delivery. Implement automated version control ensuring providers always receive current month's content with their brand details.</t>
  </si>
  <si>
    <t>• Phase 1 manual template system operational and content-proven
• PandaDoc integration fully installed and configured
• Provider property data complete and maintained (logos, contact details)
• Monthly content update process established and reliable
• Automated generation doesn't require complex conditional logic beyond token replacement
• Provider subscription management integrated with HubSpot lists and workflows</t>
  </si>
  <si>
    <t>CS-056</t>
  </si>
  <si>
    <t>Advanced Performance Dashboards</t>
  </si>
  <si>
    <t>As a VP of Operations, I need advanced custom reporting and filtering capabilities beyond the existing basic dashboards, so that I can perform detailed performance analysis with custom metrics, advanced segmentation, and real-time drill-down capabilities.</t>
  </si>
  <si>
    <t>Enhance Phase 1's basic reporting with HubSpot's Custom Report Builder to create advanced performance dashboards with complex filtering, custom calculations, and enhanced visualizations. Build advanced segmentation capabilities allowing analysis by rep, team, time period, application type, and custom criteria. Implement advanced drill-down functionality enabling detailed analysis from summary views. Create custom calculated fields for complex performance metrics beyond basic counts and averages.</t>
  </si>
  <si>
    <t>• Phase 1 basic dashboards operational and providing value
• HubSpot reporting limits sufficient for advanced custom reports
• Custom Report Builder capabilities meet advanced analysis requirements
• Advanced metrics definitions established (complex KPIs, calculated fields)
• User training available for advanced dashboard functionality
• Advanced reporting doesn't impact system performance</t>
  </si>
  <si>
    <t>CS-057</t>
  </si>
  <si>
    <t>Automated Partner Performance</t>
  </si>
  <si>
    <t>As an operations manager, I need automated partner performance alerts and trend analysis beyond the existing manual quarterly reports, so that I can proactively identify relationship issues and opportunities with real-time monitoring and automated notifications.</t>
  </si>
  <si>
    <t>Build upon Phase 1's manual reporting with automated monitoring workflows that track partner referral patterns and performance trends. Implement automated alert system monitoring partner referral volume drops below defined thresholds or shows negative trending over specified periods. Configure escalation workflows routing alerts to appropriate account managers based on partner assignments. Create automated trend analysis showing partner performance changes over time with predictive indicators for relationship management.</t>
  </si>
  <si>
    <t>• Phase 1 manual reporting system operational and baseline metrics established
• Partner referral baselines defined using historical data with appropriate thresholds
• Account manager assignment data properly maintained for alert routing
• Automated monitoring doesn't generate excessive false positive alerts
• Trend analysis algorithms can be implemented using standard HubSpot workflows
• Alert frequency and sensitivity configurable to balance early warning with manageable workload</t>
  </si>
  <si>
    <t>CS-058</t>
  </si>
  <si>
    <t>As a business development manager, I need automated alerts when contracted providers stop referring or show significant referral decreases, so that I can proactively address relationship issues before revenue loss</t>
  </si>
  <si>
    <t>Build automated alert system monitoring provider referral patterns and volume trends using HubSpot workflow automation. Create baseline referral metrics for each contracted provider based on historical data and provider type (national vs. mom-and-pop accounts). Configure automated alerts triggered when referral volume drops below defined thresholds or shows negative trending over specified periods. Design escalation workflow routing alerts to appropriate account managers based on provider assignments. Implement dashboard reporting showing provider referral trends, qualification rates, and early warning indicators. Create automated task generation for relationship managers to proactively address potential issues before revenue loss occurs.</t>
  </si>
  <si>
    <t>• Provider referral baselines can be established using historical data with appropriate thresholds for different provider types
• Referral volume tracking sufficient for identifying meaningful performance changes without excessive false positives
• Account manager assignment data properly maintained for appropriate alert routing
• Proactive relationship management effective for addressing referral decreases before partnership deterioration
• Alert frequency and sensitivity configurable to balance early warning with manageable workload</t>
  </si>
  <si>
    <t>CS-059</t>
  </si>
  <si>
    <t>As an account manager, I need automated provider revenue reports with referral correlation data, so that I can demonstrate ROI and maintain engagement</t>
  </si>
  <si>
    <t>Import provider revenue as a monthly or quarterly snapshot. Each provider is represented as a Company record, with referral and revenue data stored either on the Company itself or Provider custom object. Use CSV imports or a single API upsert to bring in Accounting Seed’s aggregated revenue data by provider and reporting period. Workflows then roll up the most recent revenue values to the Provider’s Company record for reporting and personalization. Build dashboards to compare provider performance, referral volume, and revenue trends using HubSpot’s native reporting tools. Finally, schedule automated email workflows that deliver provider-specific reports using personalization tokens, ensuring each partner receives tailored ROI updates on a monthly or quarterly basis.</t>
  </si>
  <si>
    <t>• Providers will be stored as Companies in HubSpot with unique identifiers. No custom provider management system will be built outside HubSpot.
• Imported financial data will be aggregated at the monthly or quarterly level. Line-item or transaction-level synchronization from Accounting Seed is explicitly out of scope.
• Data ingestion will be limited to CSV imports or a single scheduled API upsert job. A real-time, bi-directional integration between HubSpot and Accounting Seed is not included.
• Use of a custom object for revenue summaries will be limited to period-level rollups; complex multi-object revenue hierarchies will not be configured.
• Analytics will leverage HubSpot native dashboards and reports only. No third-party BI tools (Tableau, Power BI, etc.) will be implemented under this scope.
• Workflows will automate rollups and email sends only. Advanced logic for ranking providers or multi-step custom-coded processes may require additional phases.
• Automated reports will be sent once per month or once per quarter, depending on the selected cadence. More frequent or ad hoc reporting is not covered.
• Emails will include basic personalization tokens (e.g., provider name, revenue, referral count, revenue change). Advanced design or portal-style self-serve dashboards are out of scope.
• This system is designed for a moderate volume of providers and periods. High-volume, daily data loads or real-time scaling may require a separate integration project.
• Communication frequency will be capped, and unsubscribes will be respected. Custom compliance frameworks beyond HubSpot’s native GDPR/email subscription tools will not be configured.</t>
  </si>
  <si>
    <t>CS-060</t>
  </si>
  <si>
    <t>Compliance &amp; Audit Trail System</t>
  </si>
  <si>
    <t>As a compliance officer, I need comprehensive audit trails combining HubSpot's native tracking with PandaDoc document audit capabilities to capture all client document handling, signature workflows, communication logs, and process stage changes with timestamps and user attribution, so that regulatory reviews can be completed efficiently with complete documentation from both systems without requiring external audit solutions.</t>
  </si>
  <si>
    <t>Configure HubSpot's native audit logging features including property history tracking, activity timeline capture, and document attachment audit trails. Integrate PandaDoc audit capabilities to track document creation, modifications, signature events, and access logs with user attribution. Build custom properties for compliance tracking with required field validation and cross-system change logging. Create standardized communication templates ensuring all client interactions are logged in HubSpot with PandaDoc signature events automatically synced. Design document handling workflows with mandatory audit trail creation spanning both platforms for uploads, signatures, downloads, and modifications. Configure role-based permissions across both systems ensuring audit trail integrity. Build compliance reporting combining HubSpot exports with PandaDoc audit data for comprehensive regulatory documentation.</t>
  </si>
  <si>
    <t>• PandaDoc audit capabilities integrate sufficiently with HubSpot for unified compliance reporting without requiring manual data correlation
• Combined HubSpot and PandaDoc audit trails meet regulatory compliance requirements for document handling and signature processes
• Document signature audit data from PandaDoc can be automatically synced or easily exported alongside HubSpot activity data
• Cross-system audit trail gaps can be minimized through proper workflow design and integration configuration
• Export functionality from both platforms provides audit reviewers with necessary data formats and detail levels
• Role-based permissions can be maintained consistently across both systems to prevent audit trail tampering</t>
  </si>
  <si>
    <t>CS-064</t>
  </si>
  <si>
    <t>CS-065</t>
  </si>
  <si>
    <t>CS-066</t>
  </si>
  <si>
    <t>CS-070</t>
  </si>
  <si>
    <r>
      <rPr>
        <rFont val="Arial"/>
        <color theme="1"/>
      </rPr>
      <t xml:space="preserve">• Training can be delivered during business hours with minimal operational impact
• All team members have basic computer literacy for web-based applications
• Management support available for enforcing new process adoption
• Training materials can be updated as system evolves
</t>
    </r>
    <r>
      <rPr>
        <rFont val="Arial"/>
        <b/>
        <color theme="1"/>
      </rPr>
      <t>Dependencies:</t>
    </r>
    <r>
      <rPr>
        <rFont val="Arial"/>
        <color theme="1"/>
      </rPr>
      <t xml:space="preserve"> Requires final system configuration completion before training development</t>
    </r>
  </si>
  <si>
    <t>CS-071</t>
  </si>
  <si>
    <r>
      <rPr>
        <rFont val="Arial"/>
        <color theme="1"/>
      </rPr>
      <t xml:space="preserve">• Process documentation can be maintained as system evolves
• Documentation format preferences can be accommodated (video, text, flowcharts)
• Knowledge base search functionality meets user needs
• Documentation review and update process can be established
</t>
    </r>
    <r>
      <rPr>
        <rFont val="Arial"/>
        <b/>
        <color theme="1"/>
      </rPr>
      <t xml:space="preserve">Dependencies: </t>
    </r>
    <r>
      <rPr>
        <rFont val="Arial"/>
        <color theme="1"/>
      </rPr>
      <t>Requires all system configurations finalized before documentation creation</t>
    </r>
  </si>
  <si>
    <t>Estimted Phase 2 Subtotals</t>
  </si>
  <si>
    <t>Phase 2 Estimated Totals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</si>
</sst>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0.0"/>
    <numFmt numFmtId="166" formatCode="0.0"/>
  </numFmts>
  <fonts count="17">
    <font>
      <sz val="10.0"/>
      <color rgb="FF000000"/>
      <name val="Arial"/>
      <scheme val="minor"/>
    </font>
    <font>
      <b/>
      <sz val="12.0"/>
      <color rgb="FFFFFFFF"/>
      <name val="Arial"/>
      <scheme val="minor"/>
    </font>
    <font>
      <b/>
      <sz val="17.0"/>
      <color rgb="FFFFFFFF"/>
      <name val="Rubik"/>
    </font>
    <font>
      <b/>
      <sz val="12.0"/>
      <color rgb="FFFFFFFF"/>
      <name val="Rubik"/>
    </font>
    <font>
      <b/>
      <sz val="10.0"/>
      <color theme="1"/>
      <name val="Arial"/>
      <scheme val="minor"/>
    </font>
    <font>
      <b/>
      <sz val="11.0"/>
      <color rgb="FFFFFFFF"/>
      <name val="Rubik"/>
    </font>
    <font>
      <b/>
      <color theme="1"/>
      <name val="Arial"/>
      <scheme val="minor"/>
    </font>
    <font>
      <b/>
      <sz val="14.0"/>
      <color theme="1"/>
      <name val="Rubik"/>
    </font>
    <font>
      <b/>
      <sz val="14.0"/>
      <color theme="1"/>
      <name val="Arial"/>
      <scheme val="minor"/>
    </font>
    <font>
      <color theme="1"/>
      <name val="Arial"/>
      <scheme val="minor"/>
    </font>
    <font>
      <color theme="1"/>
      <name val="Arial"/>
    </font>
    <font>
      <b/>
      <color rgb="FF000000"/>
      <name val="Arial"/>
    </font>
    <font>
      <b/>
      <color theme="1"/>
      <name val="Arial"/>
    </font>
    <font>
      <color rgb="FF000000"/>
      <name val="Arial"/>
      <scheme val="minor"/>
    </font>
    <font>
      <b/>
      <color theme="1"/>
      <name val="Rubik"/>
    </font>
    <font/>
    <font>
      <b/>
      <sz val="12.0"/>
      <color theme="1"/>
      <name val="Open Sans"/>
    </font>
  </fonts>
  <fills count="13">
    <fill>
      <patternFill patternType="none"/>
    </fill>
    <fill>
      <patternFill patternType="lightGray"/>
    </fill>
    <fill>
      <patternFill patternType="solid">
        <fgColor rgb="FF000000"/>
        <bgColor rgb="FF000000"/>
      </patternFill>
    </fill>
    <fill>
      <patternFill patternType="solid">
        <fgColor rgb="FFF1C232"/>
        <bgColor rgb="FFF1C232"/>
      </patternFill>
    </fill>
    <fill>
      <patternFill patternType="solid">
        <fgColor rgb="FFF3F3F3"/>
        <bgColor rgb="FFF3F3F3"/>
      </patternFill>
    </fill>
    <fill>
      <patternFill patternType="solid">
        <fgColor rgb="FFD9EAD3"/>
        <bgColor rgb="FFD9EAD3"/>
      </patternFill>
    </fill>
    <fill>
      <patternFill patternType="solid">
        <fgColor rgb="FFFFFFFF"/>
        <bgColor rgb="FFFFFFFF"/>
      </patternFill>
    </fill>
    <fill>
      <patternFill patternType="solid">
        <fgColor rgb="FFF6F6F6"/>
        <bgColor rgb="FFF6F6F6"/>
      </patternFill>
    </fill>
    <fill>
      <patternFill patternType="solid">
        <fgColor rgb="FFFFFF00"/>
        <bgColor rgb="FFFFFF00"/>
      </patternFill>
    </fill>
    <fill>
      <patternFill patternType="solid">
        <fgColor rgb="FFD9D2E9"/>
        <bgColor rgb="FFD9D2E9"/>
      </patternFill>
    </fill>
    <fill>
      <patternFill patternType="solid">
        <fgColor rgb="FF9FC5E8"/>
        <bgColor rgb="FF9FC5E8"/>
      </patternFill>
    </fill>
    <fill>
      <patternFill patternType="solid">
        <fgColor rgb="FFF6B26B"/>
        <bgColor rgb="FFF6B26B"/>
      </patternFill>
    </fill>
    <fill>
      <patternFill patternType="solid">
        <fgColor rgb="FFF4CCCC"/>
        <bgColor rgb="FFF4CCCC"/>
      </patternFill>
    </fill>
  </fills>
  <borders count="16">
    <border/>
    <border>
      <right style="thin">
        <color rgb="FF000000"/>
      </right>
    </border>
    <border>
      <top style="thin">
        <color rgb="FFFFE599"/>
      </top>
    </border>
    <border>
      <right style="thin">
        <color rgb="FF000000"/>
      </right>
      <top style="thin">
        <color rgb="FFFFE599"/>
      </top>
    </border>
    <border>
      <left style="thick">
        <color rgb="FF000000"/>
      </left>
      <top style="thick">
        <color rgb="FF000000"/>
      </top>
      <bottom style="thick">
        <color rgb="FF000000"/>
      </bottom>
    </border>
    <border>
      <top style="thick">
        <color rgb="FF000000"/>
      </top>
      <bottom style="thick">
        <color rgb="FF000000"/>
      </bottom>
    </border>
    <border>
      <right style="thin">
        <color rgb="FF000000"/>
      </righ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ck">
        <color rgb="FF000000"/>
      </left>
      <top style="thick">
        <color rgb="FF000000"/>
      </top>
    </border>
    <border>
      <left style="thick">
        <color rgb="FF000000"/>
      </left>
      <right style="thin">
        <color rgb="FF000000"/>
      </right>
      <top style="thick">
        <color rgb="FF000000"/>
      </top>
    </border>
    <border>
      <left style="thick">
        <color rgb="FF000000"/>
      </left>
    </border>
    <border>
      <left style="thick">
        <color rgb="FF000000"/>
      </left>
      <right style="thin">
        <color rgb="FF000000"/>
      </right>
    </border>
    <border>
      <left style="thick">
        <color rgb="FF000000"/>
      </left>
      <bottom style="thick">
        <color rgb="FF000000"/>
      </bottom>
    </border>
    <border>
      <left style="thick">
        <color rgb="FF000000"/>
      </left>
      <right style="thin">
        <color rgb="FF000000"/>
      </right>
      <bottom style="thick">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horizontal="left" readingOrder="0" shrinkToFit="0" vertical="center" wrapText="1"/>
    </xf>
    <xf borderId="0" fillId="2" fontId="2" numFmtId="0" xfId="0" applyAlignment="1" applyFont="1">
      <alignment horizontal="center" readingOrder="0" shrinkToFit="0" vertical="center" wrapText="1"/>
    </xf>
    <xf borderId="1" fillId="2" fontId="2" numFmtId="0" xfId="0" applyAlignment="1" applyBorder="1" applyFont="1">
      <alignment horizontal="center" readingOrder="0" shrinkToFit="0" vertical="center" wrapText="1"/>
    </xf>
    <xf borderId="0" fillId="2" fontId="1" numFmtId="0" xfId="0" applyAlignment="1" applyFont="1">
      <alignment readingOrder="0" shrinkToFit="0" vertical="center" wrapText="1"/>
    </xf>
    <xf borderId="0" fillId="2" fontId="1" numFmtId="0" xfId="0" applyAlignment="1" applyFont="1">
      <alignment horizontal="center" readingOrder="0" shrinkToFit="0" vertical="center" wrapText="0"/>
    </xf>
    <xf borderId="0" fillId="2" fontId="3" numFmtId="0" xfId="0" applyAlignment="1" applyFont="1">
      <alignment readingOrder="0" shrinkToFit="0" vertical="center" wrapText="0"/>
    </xf>
    <xf borderId="0" fillId="2" fontId="3" numFmtId="0" xfId="0" applyAlignment="1" applyFont="1">
      <alignment readingOrder="0" shrinkToFit="0" vertical="center" wrapText="1"/>
    </xf>
    <xf borderId="0" fillId="2" fontId="1" numFmtId="0" xfId="0" applyAlignment="1" applyFont="1">
      <alignment horizontal="center" readingOrder="0" shrinkToFit="0" vertical="center" wrapText="1"/>
    </xf>
    <xf borderId="1" fillId="2" fontId="1" numFmtId="0" xfId="0" applyAlignment="1" applyBorder="1" applyFont="1">
      <alignment horizontal="center" readingOrder="0" shrinkToFit="0" vertical="center" wrapText="1"/>
    </xf>
    <xf borderId="0" fillId="2" fontId="1" numFmtId="0" xfId="0" applyAlignment="1" applyFont="1">
      <alignment horizontal="left" readingOrder="0" shrinkToFit="0" vertical="center" wrapText="1"/>
    </xf>
    <xf borderId="0" fillId="3" fontId="4" numFmtId="0" xfId="0" applyAlignment="1" applyFill="1" applyFont="1">
      <alignment readingOrder="0" shrinkToFit="0" vertical="center" wrapText="0"/>
    </xf>
    <xf borderId="0" fillId="3" fontId="4" numFmtId="0" xfId="0" applyAlignment="1" applyFont="1">
      <alignment readingOrder="0" shrinkToFit="0" vertical="center" wrapText="1"/>
    </xf>
    <xf borderId="0" fillId="3" fontId="4" numFmtId="0" xfId="0" applyAlignment="1" applyFont="1">
      <alignment horizontal="center" readingOrder="0" shrinkToFit="0" vertical="center" wrapText="1"/>
    </xf>
    <xf borderId="1" fillId="3" fontId="4" numFmtId="0" xfId="0" applyAlignment="1" applyBorder="1" applyFont="1">
      <alignment horizontal="center" readingOrder="0" shrinkToFit="0" vertical="center" wrapText="1"/>
    </xf>
    <xf borderId="0" fillId="3" fontId="4" numFmtId="0" xfId="0" applyAlignment="1" applyFont="1">
      <alignment horizontal="left" readingOrder="0" shrinkToFit="0" vertical="center" wrapText="1"/>
    </xf>
    <xf borderId="0" fillId="3" fontId="4" numFmtId="0" xfId="0" applyAlignment="1" applyFont="1">
      <alignment horizontal="center" readingOrder="0" vertical="center"/>
    </xf>
    <xf borderId="0" fillId="2" fontId="5" numFmtId="0" xfId="0" applyAlignment="1" applyFont="1">
      <alignment horizontal="center" readingOrder="0" shrinkToFit="0" vertical="center" wrapText="1"/>
    </xf>
    <xf borderId="2" fillId="2" fontId="5" numFmtId="0" xfId="0" applyAlignment="1" applyBorder="1" applyFont="1">
      <alignment horizontal="center" vertical="center"/>
    </xf>
    <xf borderId="2" fillId="2" fontId="5" numFmtId="0" xfId="0" applyAlignment="1" applyBorder="1" applyFont="1">
      <alignment horizontal="center" readingOrder="0" vertical="center"/>
    </xf>
    <xf borderId="3" fillId="2" fontId="5" numFmtId="0" xfId="0" applyAlignment="1" applyBorder="1" applyFont="1">
      <alignment horizontal="center" vertical="center"/>
    </xf>
    <xf borderId="0" fillId="4" fontId="6" numFmtId="0" xfId="0" applyAlignment="1" applyFill="1" applyFont="1">
      <alignment horizontal="left" readingOrder="0" shrinkToFit="0" vertical="center" wrapText="1"/>
    </xf>
    <xf borderId="0" fillId="4" fontId="7" numFmtId="0" xfId="0" applyAlignment="1" applyFont="1">
      <alignment horizontal="right" vertical="center"/>
    </xf>
    <xf borderId="0" fillId="4" fontId="8" numFmtId="164" xfId="0" applyAlignment="1" applyFont="1" applyNumberFormat="1">
      <alignment horizontal="center" readingOrder="0" shrinkToFit="0" vertical="center" wrapText="1"/>
    </xf>
    <xf borderId="1" fillId="4" fontId="8" numFmtId="164" xfId="0" applyAlignment="1" applyBorder="1" applyFont="1" applyNumberFormat="1">
      <alignment horizontal="center" readingOrder="0" shrinkToFit="0" vertical="center" wrapText="1"/>
    </xf>
    <xf borderId="0" fillId="5" fontId="6" numFmtId="0" xfId="0" applyAlignment="1" applyFill="1" applyFont="1">
      <alignment horizontal="left" readingOrder="0" shrinkToFit="0" vertical="center" wrapText="1"/>
    </xf>
    <xf borderId="0" fillId="5" fontId="6" numFmtId="0" xfId="0" applyAlignment="1" applyFont="1">
      <alignment horizontal="center" readingOrder="0" shrinkToFit="0" vertical="center" wrapText="1"/>
    </xf>
    <xf borderId="1" fillId="5" fontId="6" numFmtId="0" xfId="0" applyAlignment="1" applyBorder="1" applyFont="1">
      <alignment horizontal="center" readingOrder="0" shrinkToFit="0" vertical="center" wrapText="1"/>
    </xf>
    <xf borderId="0" fillId="6" fontId="6" numFmtId="0" xfId="0" applyAlignment="1" applyFill="1" applyFont="1">
      <alignment horizontal="left" readingOrder="0" shrinkToFit="0" vertical="center" wrapText="1"/>
    </xf>
    <xf borderId="0" fillId="6" fontId="6" numFmtId="0" xfId="0" applyAlignment="1" applyFont="1">
      <alignment readingOrder="0" vertical="center"/>
    </xf>
    <xf borderId="0" fillId="6" fontId="9" numFmtId="0" xfId="0" applyAlignment="1" applyFont="1">
      <alignment readingOrder="0" shrinkToFit="0" vertical="center" wrapText="1"/>
    </xf>
    <xf borderId="0" fillId="6" fontId="9" numFmtId="0" xfId="0" applyAlignment="1" applyFont="1">
      <alignment horizontal="left" readingOrder="0" shrinkToFit="0" vertical="center" wrapText="1"/>
    </xf>
    <xf borderId="0" fillId="6" fontId="9" numFmtId="0" xfId="0" applyAlignment="1" applyFont="1">
      <alignment horizontal="center" readingOrder="0" shrinkToFit="0" vertical="center" wrapText="1"/>
    </xf>
    <xf borderId="0" fillId="6" fontId="9" numFmtId="3" xfId="0" applyAlignment="1" applyFont="1" applyNumberFormat="1">
      <alignment horizontal="center" readingOrder="0" shrinkToFit="0" vertical="center" wrapText="1"/>
    </xf>
    <xf borderId="1" fillId="6" fontId="9" numFmtId="0" xfId="0" applyAlignment="1" applyBorder="1" applyFont="1">
      <alignment horizontal="center" readingOrder="0" shrinkToFit="0" vertical="center" wrapText="1"/>
    </xf>
    <xf borderId="0" fillId="6" fontId="9" numFmtId="0" xfId="0" applyAlignment="1" applyFont="1">
      <alignment horizontal="left" readingOrder="0" shrinkToFit="0" vertical="center" wrapText="1"/>
    </xf>
    <xf borderId="0" fillId="6" fontId="9" numFmtId="0" xfId="0" applyAlignment="1" applyFont="1">
      <alignment horizontal="center" readingOrder="0" shrinkToFit="0" vertical="center" wrapText="1"/>
    </xf>
    <xf borderId="0" fillId="6" fontId="9" numFmtId="3" xfId="0" applyAlignment="1" applyFont="1" applyNumberFormat="1">
      <alignment horizontal="center" readingOrder="0" vertical="center"/>
    </xf>
    <xf borderId="0" fillId="6" fontId="10" numFmtId="0" xfId="0" applyAlignment="1" applyFont="1">
      <alignment horizontal="center" readingOrder="0" vertical="center"/>
    </xf>
    <xf borderId="0" fillId="6" fontId="9" numFmtId="0" xfId="0" applyAlignment="1" applyFont="1">
      <alignment horizontal="center" readingOrder="0" vertical="center"/>
    </xf>
    <xf borderId="0" fillId="7" fontId="11" numFmtId="0" xfId="0" applyAlignment="1" applyFill="1" applyFont="1">
      <alignment horizontal="left" readingOrder="0" shrinkToFit="0" vertical="center" wrapText="0"/>
    </xf>
    <xf borderId="0" fillId="4" fontId="9" numFmtId="0" xfId="0" applyAlignment="1" applyFont="1">
      <alignment readingOrder="0" shrinkToFit="0" vertical="center" wrapText="1"/>
    </xf>
    <xf borderId="0" fillId="4" fontId="9" numFmtId="0" xfId="0" applyAlignment="1" applyFont="1">
      <alignment horizontal="left" readingOrder="0" shrinkToFit="0" vertical="center" wrapText="1"/>
    </xf>
    <xf borderId="0" fillId="4" fontId="9" numFmtId="0" xfId="0" applyAlignment="1" applyFont="1">
      <alignment horizontal="center" readingOrder="0" shrinkToFit="0" vertical="center" wrapText="1"/>
    </xf>
    <xf borderId="0" fillId="4" fontId="9" numFmtId="3" xfId="0" applyAlignment="1" applyFont="1" applyNumberFormat="1">
      <alignment horizontal="center" readingOrder="0" shrinkToFit="0" vertical="center" wrapText="1"/>
    </xf>
    <xf borderId="1" fillId="4" fontId="9" numFmtId="0" xfId="0" applyAlignment="1" applyBorder="1" applyFont="1">
      <alignment horizontal="center" readingOrder="0" shrinkToFit="0" vertical="center" wrapText="1"/>
    </xf>
    <xf borderId="0" fillId="4" fontId="9" numFmtId="0" xfId="0" applyAlignment="1" applyFont="1">
      <alignment horizontal="left" readingOrder="0" shrinkToFit="0" vertical="center" wrapText="1"/>
    </xf>
    <xf borderId="0" fillId="4" fontId="9" numFmtId="0" xfId="0" applyAlignment="1" applyFont="1">
      <alignment horizontal="center" readingOrder="0" shrinkToFit="0" vertical="center" wrapText="1"/>
    </xf>
    <xf borderId="0" fillId="4" fontId="9" numFmtId="3" xfId="0" applyAlignment="1" applyFont="1" applyNumberFormat="1">
      <alignment horizontal="center" readingOrder="0" vertical="center"/>
    </xf>
    <xf borderId="0" fillId="4" fontId="10" numFmtId="0" xfId="0" applyAlignment="1" applyFont="1">
      <alignment horizontal="center" readingOrder="0" vertical="center"/>
    </xf>
    <xf borderId="0" fillId="4" fontId="9" numFmtId="0" xfId="0" applyAlignment="1" applyFont="1">
      <alignment horizontal="center" readingOrder="0" vertical="center"/>
    </xf>
    <xf borderId="1" fillId="6" fontId="9" numFmtId="0" xfId="0" applyAlignment="1" applyBorder="1" applyFont="1">
      <alignment horizontal="center" readingOrder="0" shrinkToFit="0" vertical="center" wrapText="1"/>
    </xf>
    <xf borderId="1" fillId="4" fontId="9" numFmtId="0" xfId="0" applyAlignment="1" applyBorder="1" applyFont="1">
      <alignment horizontal="center" readingOrder="0" shrinkToFit="0" vertical="center" wrapText="1"/>
    </xf>
    <xf borderId="0" fillId="6" fontId="9" numFmtId="165" xfId="0" applyAlignment="1" applyFont="1" applyNumberFormat="1">
      <alignment horizontal="center" readingOrder="0" shrinkToFit="0" vertical="center" wrapText="1"/>
    </xf>
    <xf borderId="0" fillId="4" fontId="9" numFmtId="1" xfId="0" applyAlignment="1" applyFont="1" applyNumberFormat="1">
      <alignment horizontal="center" readingOrder="0" shrinkToFit="0" vertical="center" wrapText="1"/>
    </xf>
    <xf borderId="0" fillId="6" fontId="9" numFmtId="166" xfId="0" applyAlignment="1" applyFont="1" applyNumberFormat="1">
      <alignment horizontal="center" readingOrder="0" shrinkToFit="0" vertical="center" wrapText="1"/>
    </xf>
    <xf borderId="0" fillId="6" fontId="9" numFmtId="1" xfId="0" applyAlignment="1" applyFont="1" applyNumberFormat="1">
      <alignment horizontal="center" readingOrder="0" shrinkToFit="0" vertical="center" wrapText="1"/>
    </xf>
    <xf borderId="0" fillId="4" fontId="9" numFmtId="0" xfId="0" applyAlignment="1" applyFont="1">
      <alignment shrinkToFit="0" vertical="center" wrapText="1"/>
    </xf>
    <xf borderId="4" fillId="8" fontId="6" numFmtId="0" xfId="0" applyAlignment="1" applyBorder="1" applyFill="1" applyFont="1">
      <alignment horizontal="center" readingOrder="0" shrinkToFit="0" vertical="center" wrapText="1"/>
    </xf>
    <xf borderId="5" fillId="8" fontId="6" numFmtId="3" xfId="0" applyAlignment="1" applyBorder="1" applyFont="1" applyNumberFormat="1">
      <alignment horizontal="center" readingOrder="0" shrinkToFit="0" vertical="center" wrapText="1"/>
    </xf>
    <xf borderId="6" fillId="8" fontId="6" numFmtId="0" xfId="0" applyAlignment="1" applyBorder="1" applyFont="1">
      <alignment horizontal="center" readingOrder="0" shrinkToFit="0" vertical="center" wrapText="1"/>
    </xf>
    <xf borderId="0" fillId="6" fontId="9" numFmtId="0" xfId="0" applyAlignment="1" applyFont="1">
      <alignment shrinkToFit="0" vertical="center" wrapText="1"/>
    </xf>
    <xf borderId="0" fillId="4" fontId="9" numFmtId="166" xfId="0" applyAlignment="1" applyFont="1" applyNumberFormat="1">
      <alignment horizontal="center" readingOrder="0" shrinkToFit="0" vertical="center" wrapText="1"/>
    </xf>
    <xf borderId="5" fillId="8" fontId="6" numFmtId="1" xfId="0" applyAlignment="1" applyBorder="1" applyFont="1" applyNumberFormat="1">
      <alignment horizontal="center" readingOrder="0" shrinkToFit="0" vertical="center" wrapText="1"/>
    </xf>
    <xf borderId="5" fillId="8" fontId="6" numFmtId="0" xfId="0" applyAlignment="1" applyBorder="1" applyFont="1">
      <alignment horizontal="center" readingOrder="0" shrinkToFit="0" vertical="center" wrapText="1"/>
    </xf>
    <xf borderId="0" fillId="6" fontId="9" numFmtId="0" xfId="0" applyAlignment="1" applyFont="1">
      <alignment vertical="center"/>
    </xf>
    <xf borderId="0" fillId="9" fontId="6" numFmtId="0" xfId="0" applyAlignment="1" applyFill="1" applyFont="1">
      <alignment horizontal="left" readingOrder="0" shrinkToFit="0" vertical="center" wrapText="1"/>
    </xf>
    <xf borderId="4" fillId="8" fontId="12" numFmtId="0" xfId="0" applyAlignment="1" applyBorder="1" applyFont="1">
      <alignment horizontal="center" shrinkToFit="0" vertical="center" wrapText="1"/>
    </xf>
    <xf borderId="4" fillId="8" fontId="12" numFmtId="1" xfId="0" applyAlignment="1" applyBorder="1" applyFont="1" applyNumberFormat="1">
      <alignment horizontal="center" shrinkToFit="0" vertical="center" wrapText="1"/>
    </xf>
    <xf borderId="7" fillId="8" fontId="12" numFmtId="0" xfId="0" applyAlignment="1" applyBorder="1" applyFont="1">
      <alignment horizontal="center" shrinkToFit="0" vertical="center" wrapText="1"/>
    </xf>
    <xf borderId="0" fillId="9" fontId="6" numFmtId="0" xfId="0" applyAlignment="1" applyFont="1">
      <alignment horizontal="center" readingOrder="0" shrinkToFit="0" vertical="center" wrapText="1"/>
    </xf>
    <xf borderId="1" fillId="9" fontId="6" numFmtId="0" xfId="0" applyAlignment="1" applyBorder="1" applyFont="1">
      <alignment horizontal="center" readingOrder="0" shrinkToFit="0" vertical="center" wrapText="1"/>
    </xf>
    <xf borderId="0" fillId="4" fontId="6" numFmtId="0" xfId="0" applyAlignment="1" applyFont="1">
      <alignment readingOrder="0" vertical="center"/>
    </xf>
    <xf borderId="0" fillId="6" fontId="9" numFmtId="1" xfId="0" applyAlignment="1" applyFont="1" applyNumberFormat="1">
      <alignment horizontal="center" readingOrder="0" shrinkToFit="0" vertical="center" wrapText="1"/>
    </xf>
    <xf borderId="0" fillId="4" fontId="9" numFmtId="1" xfId="0" applyAlignment="1" applyFont="1" applyNumberFormat="1">
      <alignment horizontal="center" readingOrder="0" shrinkToFit="0" vertical="center" wrapText="1"/>
    </xf>
    <xf borderId="0" fillId="6" fontId="13" numFmtId="0" xfId="0" applyAlignment="1" applyFont="1">
      <alignment horizontal="left" readingOrder="0" shrinkToFit="0" vertical="center" wrapText="1"/>
    </xf>
    <xf borderId="0" fillId="10" fontId="6" numFmtId="0" xfId="0" applyAlignment="1" applyFill="1" applyFont="1">
      <alignment horizontal="left" readingOrder="0" shrinkToFit="0" vertical="center" wrapText="1"/>
    </xf>
    <xf borderId="0" fillId="10" fontId="6" numFmtId="0" xfId="0" applyAlignment="1" applyFont="1">
      <alignment horizontal="center" readingOrder="0" shrinkToFit="0" vertical="center" wrapText="1"/>
    </xf>
    <xf borderId="1" fillId="10" fontId="6" numFmtId="0" xfId="0" applyAlignment="1" applyBorder="1" applyFont="1">
      <alignment horizontal="center" readingOrder="0" shrinkToFit="0" vertical="center" wrapText="1"/>
    </xf>
    <xf borderId="0" fillId="6" fontId="10" numFmtId="0" xfId="0" applyAlignment="1" applyFont="1">
      <alignment shrinkToFit="0" vertical="center" wrapText="1"/>
    </xf>
    <xf borderId="0" fillId="6" fontId="10" numFmtId="0" xfId="0" applyAlignment="1" applyFont="1">
      <alignment readingOrder="0" shrinkToFit="0" vertical="center" wrapText="1"/>
    </xf>
    <xf borderId="0" fillId="11" fontId="6" numFmtId="0" xfId="0" applyAlignment="1" applyFill="1" applyFont="1">
      <alignment horizontal="left" readingOrder="0" shrinkToFit="0" vertical="center" wrapText="1"/>
    </xf>
    <xf borderId="0" fillId="11" fontId="6" numFmtId="0" xfId="0" applyAlignment="1" applyFont="1">
      <alignment horizontal="center" readingOrder="0" shrinkToFit="0" vertical="center" wrapText="1"/>
    </xf>
    <xf borderId="1" fillId="11" fontId="6" numFmtId="0" xfId="0" applyAlignment="1" applyBorder="1" applyFont="1">
      <alignment horizontal="center" readingOrder="0" shrinkToFit="0" vertical="center" wrapText="1"/>
    </xf>
    <xf borderId="0" fillId="12" fontId="6" numFmtId="0" xfId="0" applyAlignment="1" applyFill="1" applyFont="1">
      <alignment horizontal="left" readingOrder="0" shrinkToFit="0" vertical="center" wrapText="1"/>
    </xf>
    <xf borderId="0" fillId="12" fontId="6" numFmtId="0" xfId="0" applyAlignment="1" applyFont="1">
      <alignment horizontal="center" readingOrder="0" shrinkToFit="0" vertical="center" wrapText="1"/>
    </xf>
    <xf borderId="1" fillId="12" fontId="6" numFmtId="0" xfId="0" applyAlignment="1" applyBorder="1" applyFont="1">
      <alignment horizontal="center" readingOrder="0" shrinkToFit="0" vertical="center" wrapText="1"/>
    </xf>
    <xf borderId="0" fillId="12" fontId="9" numFmtId="0" xfId="0" applyAlignment="1" applyFont="1">
      <alignment horizontal="left" readingOrder="0" shrinkToFit="0" vertical="center" wrapText="1"/>
    </xf>
    <xf borderId="1" fillId="4" fontId="9" numFmtId="0" xfId="0" applyAlignment="1" applyBorder="1" applyFont="1">
      <alignment horizontal="center" readingOrder="0" vertical="center"/>
    </xf>
    <xf borderId="0" fillId="6" fontId="14" numFmtId="0" xfId="0" applyAlignment="1" applyFont="1">
      <alignment vertical="center"/>
    </xf>
    <xf borderId="8" fillId="8" fontId="6" numFmtId="1" xfId="0" applyAlignment="1" applyBorder="1" applyFont="1" applyNumberFormat="1">
      <alignment horizontal="center" readingOrder="0" shrinkToFit="0" vertical="center" wrapText="1"/>
    </xf>
    <xf borderId="9" fillId="8" fontId="6" numFmtId="1" xfId="0" applyAlignment="1" applyBorder="1" applyFont="1" applyNumberFormat="1">
      <alignment horizontal="center" readingOrder="0" shrinkToFit="0" vertical="center" wrapText="1"/>
    </xf>
    <xf borderId="0" fillId="6" fontId="14" numFmtId="0" xfId="0" applyAlignment="1" applyFont="1">
      <alignment shrinkToFit="0" vertical="center" wrapText="1"/>
    </xf>
    <xf borderId="10" fillId="6" fontId="15" numFmtId="0" xfId="0" applyBorder="1" applyFont="1"/>
    <xf borderId="11" fillId="6" fontId="15" numFmtId="0" xfId="0" applyBorder="1" applyFont="1"/>
    <xf borderId="0" fillId="4" fontId="14" numFmtId="0" xfId="0" applyAlignment="1" applyFont="1">
      <alignment vertical="center"/>
    </xf>
    <xf borderId="12" fillId="4" fontId="15" numFmtId="0" xfId="0" applyBorder="1" applyFont="1"/>
    <xf borderId="13" fillId="4" fontId="15" numFmtId="0" xfId="0" applyBorder="1" applyFont="1"/>
    <xf borderId="0" fillId="6" fontId="16" numFmtId="0" xfId="0" applyAlignment="1" applyFont="1">
      <alignment readingOrder="0" shrinkToFit="0" vertical="center" wrapText="1"/>
    </xf>
    <xf borderId="0" fillId="4" fontId="16" numFmtId="0" xfId="0" applyAlignment="1" applyFont="1">
      <alignment readingOrder="0" shrinkToFit="0" vertical="center" wrapText="1"/>
    </xf>
    <xf borderId="4" fillId="8" fontId="6" numFmtId="1" xfId="0" applyAlignment="1" applyBorder="1" applyFont="1" applyNumberFormat="1">
      <alignment horizontal="center" readingOrder="0" shrinkToFit="0" vertical="center" wrapText="1"/>
    </xf>
    <xf borderId="6" fillId="8" fontId="6" numFmtId="1" xfId="0" applyAlignment="1" applyBorder="1" applyFont="1" applyNumberFormat="1">
      <alignment horizontal="center" readingOrder="0" shrinkToFit="0" vertical="center" wrapText="1"/>
    </xf>
    <xf borderId="14" fillId="6" fontId="6" numFmtId="0" xfId="0" applyAlignment="1" applyBorder="1" applyFont="1">
      <alignment horizontal="left" readingOrder="0" shrinkToFit="0" vertical="center" wrapText="1"/>
    </xf>
    <xf borderId="14" fillId="6" fontId="9" numFmtId="0" xfId="0" applyAlignment="1" applyBorder="1" applyFont="1">
      <alignment horizontal="left" readingOrder="0" shrinkToFit="0" vertical="center" wrapText="1"/>
    </xf>
    <xf borderId="14" fillId="6" fontId="9" numFmtId="0" xfId="0" applyAlignment="1" applyBorder="1" applyFont="1">
      <alignment horizontal="center" readingOrder="0" shrinkToFit="0" vertical="center" wrapText="1"/>
    </xf>
    <xf borderId="15" fillId="6" fontId="9" numFmtId="0" xfId="0" applyAlignment="1" applyBorder="1" applyFont="1">
      <alignment horizontal="center" readingOrder="0" shrinkToFit="0" vertical="center" wrapText="1"/>
    </xf>
    <xf borderId="14" fillId="6" fontId="9" numFmtId="3" xfId="0" applyAlignment="1" applyBorder="1" applyFont="1" applyNumberFormat="1">
      <alignment horizontal="center" readingOrder="0" vertical="center"/>
    </xf>
    <xf borderId="14" fillId="6" fontId="10" numFmtId="0" xfId="0" applyAlignment="1" applyBorder="1" applyFont="1">
      <alignment horizontal="center" readingOrder="0" vertical="center"/>
    </xf>
    <xf borderId="14" fillId="6" fontId="9" numFmtId="0" xfId="0" applyAlignment="1" applyBorder="1" applyFont="1">
      <alignment horizontal="center" readingOrder="0" vertical="center"/>
    </xf>
    <xf borderId="0" fillId="4" fontId="9" numFmtId="165" xfId="0" applyAlignment="1" applyFont="1" applyNumberFormat="1">
      <alignment horizontal="center" readingOrder="0" shrinkToFit="0" vertical="center" wrapText="1"/>
    </xf>
    <xf borderId="5" fillId="8" fontId="6" numFmtId="166" xfId="0" applyAlignment="1" applyBorder="1" applyFont="1" applyNumberFormat="1">
      <alignment horizontal="center" readingOrder="0" shrinkToFit="0" vertical="center" wrapText="1"/>
    </xf>
    <xf borderId="0" fillId="4" fontId="9" numFmtId="0" xfId="0" applyAlignment="1" applyFont="1">
      <alignment vertical="center"/>
    </xf>
    <xf borderId="0" fillId="4" fontId="10" numFmtId="0" xfId="0" applyAlignment="1" applyFont="1">
      <alignment shrinkToFit="0" vertical="center" wrapText="1"/>
    </xf>
    <xf borderId="0" fillId="6" fontId="9" numFmtId="166" xfId="0" applyAlignment="1" applyFont="1" applyNumberFormat="1">
      <alignment horizontal="center" readingOrder="0" shrinkToFit="0" vertical="center" wrapText="1"/>
    </xf>
    <xf borderId="0" fillId="4" fontId="13" numFmtId="0" xfId="0" applyAlignment="1" applyFont="1">
      <alignment horizontal="left" readingOrder="0" shrinkToFit="0" vertical="center" wrapText="1"/>
    </xf>
    <xf borderId="7" fillId="8" fontId="6" numFmtId="0" xfId="0" applyAlignment="1" applyBorder="1" applyFont="1">
      <alignment horizontal="center" readingOrder="0" shrinkToFit="0" vertical="center" wrapText="1"/>
    </xf>
    <xf borderId="7" fillId="8" fontId="6" numFmtId="1" xfId="0" applyAlignment="1" applyBorder="1" applyFont="1" applyNumberFormat="1">
      <alignment horizontal="center" readingOrder="0" shrinkToFit="0" vertical="center" wrapText="1"/>
    </xf>
    <xf borderId="14" fillId="4" fontId="6" numFmtId="0" xfId="0" applyAlignment="1" applyBorder="1" applyFont="1">
      <alignment horizontal="left" readingOrder="0" shrinkToFit="0" vertical="center" wrapText="1"/>
    </xf>
    <xf borderId="14" fillId="4" fontId="9" numFmtId="0" xfId="0" applyAlignment="1" applyBorder="1" applyFont="1">
      <alignment horizontal="left" readingOrder="0" shrinkToFit="0" vertical="center" wrapText="1"/>
    </xf>
    <xf borderId="14" fillId="4" fontId="9" numFmtId="0" xfId="0" applyAlignment="1" applyBorder="1" applyFont="1">
      <alignment horizontal="center" readingOrder="0" shrinkToFit="0" vertical="center" wrapText="1"/>
    </xf>
    <xf borderId="15" fillId="4" fontId="9" numFmtId="0" xfId="0" applyAlignment="1" applyBorder="1" applyFont="1">
      <alignment horizontal="center" readingOrder="0" shrinkToFit="0" vertical="center" wrapText="1"/>
    </xf>
    <xf borderId="14" fillId="4" fontId="9" numFmtId="3" xfId="0" applyAlignment="1" applyBorder="1" applyFont="1" applyNumberFormat="1">
      <alignment horizontal="center" readingOrder="0" vertical="center"/>
    </xf>
    <xf borderId="14" fillId="4" fontId="10" numFmtId="0" xfId="0" applyAlignment="1" applyBorder="1" applyFont="1">
      <alignment horizontal="center" readingOrder="0" vertical="center"/>
    </xf>
    <xf borderId="14" fillId="4" fontId="9" numFmtId="0" xfId="0" applyAlignment="1" applyBorder="1" applyFont="1">
      <alignment horizontal="center" readingOrder="0" vertical="center"/>
    </xf>
    <xf borderId="14" fillId="0" fontId="9"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0</xdr:row>
      <xdr:rowOff>142875</xdr:rowOff>
    </xdr:from>
    <xdr:ext cx="1952625" cy="333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0</xdr:row>
      <xdr:rowOff>142875</xdr:rowOff>
    </xdr:from>
    <xdr:ext cx="1952625" cy="333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3.38"/>
    <col customWidth="1" min="2" max="2" width="44.38"/>
    <col customWidth="1" min="3" max="3" width="65.38"/>
    <col customWidth="1" min="4" max="4" width="49.38"/>
    <col customWidth="1" min="5" max="5" width="52.5"/>
    <col customWidth="1" min="6" max="6" width="14.25"/>
    <col customWidth="1" min="7" max="7" width="16.25"/>
    <col customWidth="1" min="8" max="8" width="14.25"/>
    <col customWidth="1" hidden="1" min="9" max="10" width="23.38"/>
    <col customWidth="1" hidden="1" min="11" max="11" width="39.38"/>
    <col customWidth="1" hidden="1" min="12" max="12" width="30.25"/>
    <col customWidth="1" hidden="1" min="13" max="13" width="29.5"/>
    <col customWidth="1" hidden="1" min="14" max="14" width="16.25"/>
    <col customWidth="1" hidden="1" min="15" max="15" width="17.75"/>
    <col customWidth="1" hidden="1" min="16" max="18" width="42.38"/>
  </cols>
  <sheetData>
    <row r="1" ht="50.25" customHeight="1">
      <c r="A1" s="1"/>
      <c r="B1" s="1"/>
      <c r="C1" s="2" t="s">
        <v>0</v>
      </c>
      <c r="E1" s="2"/>
      <c r="F1" s="3"/>
      <c r="G1" s="3"/>
      <c r="H1" s="4"/>
      <c r="I1" s="2"/>
      <c r="J1" s="2"/>
      <c r="K1" s="2"/>
      <c r="L1" s="2"/>
      <c r="M1" s="5"/>
      <c r="N1" s="6"/>
      <c r="O1" s="6"/>
      <c r="P1" s="6"/>
      <c r="Q1" s="6"/>
      <c r="R1" s="6"/>
    </row>
    <row r="2" ht="15.75" customHeight="1">
      <c r="A2" s="7"/>
      <c r="B2" s="7"/>
      <c r="C2" s="8"/>
      <c r="D2" s="5"/>
      <c r="E2" s="5"/>
      <c r="F2" s="9"/>
      <c r="G2" s="9"/>
      <c r="H2" s="10"/>
      <c r="I2" s="1"/>
      <c r="J2" s="1"/>
      <c r="K2" s="11"/>
      <c r="L2" s="11"/>
      <c r="M2" s="5"/>
      <c r="N2" s="6"/>
      <c r="O2" s="6"/>
      <c r="P2" s="6"/>
      <c r="Q2" s="6"/>
      <c r="R2" s="6"/>
    </row>
    <row r="3" ht="11.25" customHeight="1">
      <c r="A3" s="12"/>
      <c r="B3" s="12"/>
      <c r="C3" s="13"/>
      <c r="D3" s="13"/>
      <c r="E3" s="13"/>
      <c r="F3" s="14"/>
      <c r="G3" s="14"/>
      <c r="H3" s="15"/>
      <c r="I3" s="13"/>
      <c r="J3" s="13"/>
      <c r="K3" s="16"/>
      <c r="L3" s="16"/>
      <c r="M3" s="13"/>
      <c r="N3" s="17"/>
      <c r="O3" s="17"/>
      <c r="P3" s="17"/>
      <c r="Q3" s="17"/>
      <c r="R3" s="17"/>
    </row>
    <row r="4" ht="44.25" customHeight="1">
      <c r="A4" s="18" t="s">
        <v>1</v>
      </c>
      <c r="B4" s="18" t="s">
        <v>2</v>
      </c>
      <c r="C4" s="18" t="s">
        <v>3</v>
      </c>
      <c r="D4" s="18" t="s">
        <v>4</v>
      </c>
      <c r="E4" s="18" t="s">
        <v>5</v>
      </c>
      <c r="F4" s="19" t="s">
        <v>6</v>
      </c>
      <c r="G4" s="20" t="s">
        <v>7</v>
      </c>
      <c r="H4" s="21" t="s">
        <v>8</v>
      </c>
      <c r="I4" s="18" t="s">
        <v>9</v>
      </c>
      <c r="J4" s="18" t="s">
        <v>10</v>
      </c>
      <c r="K4" s="18" t="s">
        <v>11</v>
      </c>
      <c r="L4" s="18" t="s">
        <v>12</v>
      </c>
      <c r="M4" s="18" t="s">
        <v>5</v>
      </c>
      <c r="N4" s="18" t="s">
        <v>13</v>
      </c>
      <c r="O4" s="18" t="s">
        <v>14</v>
      </c>
      <c r="P4" s="18" t="s">
        <v>15</v>
      </c>
      <c r="Q4" s="18"/>
      <c r="R4" s="18"/>
    </row>
    <row r="5">
      <c r="A5" s="22"/>
      <c r="B5" s="22"/>
      <c r="C5" s="22"/>
      <c r="D5" s="23"/>
      <c r="E5" s="23"/>
      <c r="F5" s="24"/>
      <c r="G5" s="24"/>
      <c r="H5" s="25"/>
      <c r="I5" s="22"/>
      <c r="J5" s="22"/>
      <c r="K5" s="22"/>
      <c r="L5" s="22"/>
      <c r="M5" s="22"/>
      <c r="N5" s="22"/>
      <c r="O5" s="22"/>
      <c r="P5" s="22"/>
      <c r="Q5" s="22"/>
      <c r="R5" s="22"/>
    </row>
    <row r="6">
      <c r="A6" s="26" t="s">
        <v>16</v>
      </c>
      <c r="B6" s="26"/>
      <c r="C6" s="26"/>
      <c r="D6" s="26"/>
      <c r="E6" s="26"/>
      <c r="F6" s="27"/>
      <c r="G6" s="27"/>
      <c r="H6" s="28"/>
      <c r="I6" s="26"/>
      <c r="J6" s="26"/>
      <c r="K6" s="26"/>
      <c r="L6" s="26"/>
      <c r="M6" s="26"/>
      <c r="N6" s="26"/>
      <c r="O6" s="26"/>
      <c r="P6" s="26"/>
      <c r="Q6" s="26"/>
      <c r="R6" s="26"/>
    </row>
    <row r="7">
      <c r="A7" s="26" t="s">
        <v>17</v>
      </c>
      <c r="B7" s="26"/>
      <c r="C7" s="26"/>
      <c r="D7" s="26"/>
      <c r="E7" s="26"/>
      <c r="F7" s="27"/>
      <c r="G7" s="27"/>
      <c r="H7" s="28"/>
      <c r="I7" s="26"/>
      <c r="J7" s="26"/>
      <c r="K7" s="26"/>
      <c r="L7" s="26"/>
      <c r="M7" s="26"/>
      <c r="N7" s="26"/>
      <c r="O7" s="26"/>
      <c r="P7" s="26"/>
      <c r="Q7" s="26"/>
      <c r="R7" s="26"/>
    </row>
    <row r="8" ht="161.25" customHeight="1">
      <c r="A8" s="29" t="s">
        <v>18</v>
      </c>
      <c r="B8" s="30" t="s">
        <v>19</v>
      </c>
      <c r="C8" s="31" t="s">
        <v>20</v>
      </c>
      <c r="D8" s="32" t="s">
        <v>21</v>
      </c>
      <c r="E8" s="32" t="s">
        <v>22</v>
      </c>
      <c r="F8" s="33">
        <v>4.0</v>
      </c>
      <c r="G8" s="34">
        <f t="shared" ref="G8:G16" si="1">AVERAGE(F8:H8)</f>
        <v>5</v>
      </c>
      <c r="H8" s="35">
        <v>6.0</v>
      </c>
      <c r="I8" s="36"/>
      <c r="J8" s="36"/>
      <c r="K8" s="36"/>
      <c r="L8" s="36"/>
      <c r="M8" s="37"/>
      <c r="N8" s="38"/>
      <c r="O8" s="39"/>
      <c r="P8" s="40"/>
      <c r="Q8" s="40"/>
      <c r="R8" s="40"/>
    </row>
    <row r="9" ht="184.5" customHeight="1">
      <c r="A9" s="22" t="s">
        <v>23</v>
      </c>
      <c r="B9" s="41" t="s">
        <v>24</v>
      </c>
      <c r="C9" s="42" t="s">
        <v>25</v>
      </c>
      <c r="D9" s="43" t="s">
        <v>26</v>
      </c>
      <c r="E9" s="43" t="s">
        <v>27</v>
      </c>
      <c r="F9" s="44">
        <v>20.0</v>
      </c>
      <c r="G9" s="45">
        <f t="shared" si="1"/>
        <v>25</v>
      </c>
      <c r="H9" s="46">
        <v>30.0</v>
      </c>
      <c r="I9" s="47"/>
      <c r="J9" s="47"/>
      <c r="K9" s="47"/>
      <c r="L9" s="47"/>
      <c r="M9" s="48"/>
      <c r="N9" s="49"/>
      <c r="O9" s="50"/>
      <c r="P9" s="51"/>
      <c r="Q9" s="51"/>
      <c r="R9" s="51"/>
    </row>
    <row r="10" ht="198.0" customHeight="1">
      <c r="A10" s="29" t="s">
        <v>28</v>
      </c>
      <c r="B10" s="30" t="s">
        <v>29</v>
      </c>
      <c r="C10" s="31" t="s">
        <v>30</v>
      </c>
      <c r="D10" s="32" t="s">
        <v>31</v>
      </c>
      <c r="E10" s="32" t="s">
        <v>32</v>
      </c>
      <c r="F10" s="37">
        <v>4.0</v>
      </c>
      <c r="G10" s="34">
        <f t="shared" si="1"/>
        <v>5</v>
      </c>
      <c r="H10" s="52">
        <v>6.0</v>
      </c>
      <c r="I10" s="36"/>
      <c r="J10" s="36"/>
      <c r="K10" s="36"/>
      <c r="L10" s="36"/>
      <c r="M10" s="37"/>
      <c r="N10" s="38"/>
      <c r="O10" s="39"/>
      <c r="P10" s="40"/>
      <c r="Q10" s="40"/>
      <c r="R10" s="40"/>
    </row>
    <row r="11" ht="161.25" customHeight="1">
      <c r="A11" s="22" t="s">
        <v>33</v>
      </c>
      <c r="B11" s="22" t="s">
        <v>34</v>
      </c>
      <c r="C11" s="42" t="s">
        <v>35</v>
      </c>
      <c r="D11" s="43" t="s">
        <v>36</v>
      </c>
      <c r="E11" s="43" t="s">
        <v>37</v>
      </c>
      <c r="F11" s="48">
        <v>25.0</v>
      </c>
      <c r="G11" s="45">
        <f t="shared" si="1"/>
        <v>30</v>
      </c>
      <c r="H11" s="53">
        <v>35.0</v>
      </c>
      <c r="I11" s="47"/>
      <c r="J11" s="47"/>
      <c r="K11" s="47"/>
      <c r="L11" s="47"/>
      <c r="M11" s="48"/>
      <c r="N11" s="49"/>
      <c r="O11" s="50"/>
      <c r="P11" s="51"/>
      <c r="Q11" s="51"/>
      <c r="R11" s="51"/>
    </row>
    <row r="12" ht="162.75" customHeight="1">
      <c r="A12" s="29" t="s">
        <v>38</v>
      </c>
      <c r="B12" s="29" t="s">
        <v>39</v>
      </c>
      <c r="C12" s="31" t="s">
        <v>40</v>
      </c>
      <c r="D12" s="36" t="s">
        <v>41</v>
      </c>
      <c r="E12" s="36" t="s">
        <v>42</v>
      </c>
      <c r="F12" s="37">
        <v>15.0</v>
      </c>
      <c r="G12" s="54">
        <f t="shared" si="1"/>
        <v>17.5</v>
      </c>
      <c r="H12" s="52">
        <v>20.0</v>
      </c>
      <c r="I12" s="36"/>
      <c r="J12" s="36"/>
      <c r="K12" s="36"/>
      <c r="L12" s="36"/>
      <c r="M12" s="37"/>
      <c r="N12" s="38"/>
      <c r="O12" s="39"/>
      <c r="P12" s="40"/>
      <c r="Q12" s="40"/>
      <c r="R12" s="40"/>
    </row>
    <row r="13" ht="159.0" customHeight="1">
      <c r="A13" s="22" t="s">
        <v>43</v>
      </c>
      <c r="B13" s="22" t="s">
        <v>44</v>
      </c>
      <c r="C13" s="42" t="s">
        <v>45</v>
      </c>
      <c r="D13" s="47" t="s">
        <v>46</v>
      </c>
      <c r="E13" s="47" t="s">
        <v>47</v>
      </c>
      <c r="F13" s="48">
        <v>8.0</v>
      </c>
      <c r="G13" s="55">
        <f t="shared" si="1"/>
        <v>10</v>
      </c>
      <c r="H13" s="53">
        <v>12.0</v>
      </c>
      <c r="I13" s="47"/>
      <c r="J13" s="47"/>
      <c r="K13" s="47"/>
      <c r="L13" s="47"/>
      <c r="M13" s="48"/>
      <c r="N13" s="49"/>
      <c r="O13" s="50"/>
      <c r="P13" s="51"/>
      <c r="Q13" s="51"/>
      <c r="R13" s="51"/>
    </row>
    <row r="14" ht="136.5" customHeight="1">
      <c r="A14" s="29" t="s">
        <v>48</v>
      </c>
      <c r="B14" s="29" t="s">
        <v>49</v>
      </c>
      <c r="C14" s="31" t="s">
        <v>50</v>
      </c>
      <c r="D14" s="36" t="s">
        <v>51</v>
      </c>
      <c r="E14" s="36" t="s">
        <v>52</v>
      </c>
      <c r="F14" s="37">
        <v>10.0</v>
      </c>
      <c r="G14" s="56">
        <f t="shared" si="1"/>
        <v>12.5</v>
      </c>
      <c r="H14" s="52">
        <v>15.0</v>
      </c>
      <c r="I14" s="36"/>
      <c r="J14" s="36"/>
      <c r="K14" s="36"/>
      <c r="L14" s="36"/>
      <c r="M14" s="37"/>
      <c r="N14" s="38"/>
      <c r="O14" s="39"/>
      <c r="P14" s="40"/>
      <c r="Q14" s="40"/>
      <c r="R14" s="40"/>
    </row>
    <row r="15" ht="126.75" customHeight="1">
      <c r="A15" s="22" t="s">
        <v>53</v>
      </c>
      <c r="B15" s="22" t="s">
        <v>54</v>
      </c>
      <c r="C15" s="42" t="s">
        <v>55</v>
      </c>
      <c r="D15" s="47" t="s">
        <v>56</v>
      </c>
      <c r="E15" s="47" t="s">
        <v>57</v>
      </c>
      <c r="F15" s="48">
        <v>12.0</v>
      </c>
      <c r="G15" s="55">
        <f t="shared" si="1"/>
        <v>16</v>
      </c>
      <c r="H15" s="53">
        <v>20.0</v>
      </c>
      <c r="I15" s="47"/>
      <c r="J15" s="47"/>
      <c r="K15" s="47"/>
      <c r="L15" s="47"/>
      <c r="M15" s="48"/>
      <c r="N15" s="49"/>
      <c r="O15" s="50"/>
      <c r="P15" s="51"/>
      <c r="Q15" s="51"/>
      <c r="R15" s="51"/>
    </row>
    <row r="16" ht="162.75" customHeight="1">
      <c r="A16" s="29" t="s">
        <v>58</v>
      </c>
      <c r="C16" s="31" t="s">
        <v>59</v>
      </c>
      <c r="D16" s="36" t="s">
        <v>60</v>
      </c>
      <c r="E16" s="36" t="s">
        <v>61</v>
      </c>
      <c r="F16" s="37">
        <v>8.0</v>
      </c>
      <c r="G16" s="57">
        <f t="shared" si="1"/>
        <v>10</v>
      </c>
      <c r="H16" s="52">
        <v>12.0</v>
      </c>
      <c r="I16" s="36"/>
      <c r="J16" s="36"/>
      <c r="K16" s="36"/>
      <c r="L16" s="36"/>
      <c r="M16" s="37"/>
      <c r="N16" s="38"/>
      <c r="O16" s="39"/>
      <c r="P16" s="40"/>
      <c r="Q16" s="40"/>
      <c r="R16" s="40"/>
    </row>
    <row r="17">
      <c r="A17" s="22"/>
      <c r="B17" s="22"/>
      <c r="C17" s="58"/>
      <c r="D17" s="47"/>
      <c r="E17" s="47"/>
      <c r="F17" s="59">
        <f t="shared" ref="F17:H17" si="2">SUM(F8:F16)</f>
        <v>106</v>
      </c>
      <c r="G17" s="60">
        <f t="shared" si="2"/>
        <v>131</v>
      </c>
      <c r="H17" s="61">
        <f t="shared" si="2"/>
        <v>156</v>
      </c>
      <c r="I17" s="47"/>
      <c r="J17" s="47"/>
      <c r="K17" s="47"/>
      <c r="L17" s="47"/>
      <c r="M17" s="48"/>
      <c r="N17" s="49"/>
      <c r="O17" s="50"/>
      <c r="P17" s="51"/>
      <c r="Q17" s="51"/>
      <c r="R17" s="51"/>
    </row>
    <row r="18">
      <c r="A18" s="29"/>
      <c r="B18" s="29"/>
      <c r="C18" s="62"/>
      <c r="D18" s="36"/>
      <c r="E18" s="36"/>
      <c r="F18" s="37"/>
      <c r="G18" s="37"/>
      <c r="H18" s="52"/>
      <c r="I18" s="36"/>
      <c r="J18" s="36"/>
      <c r="K18" s="36"/>
      <c r="L18" s="36"/>
      <c r="M18" s="37"/>
      <c r="N18" s="38"/>
      <c r="O18" s="39"/>
      <c r="P18" s="40"/>
      <c r="Q18" s="40"/>
      <c r="R18" s="40"/>
    </row>
    <row r="19">
      <c r="A19" s="22"/>
      <c r="B19" s="22"/>
      <c r="C19" s="58"/>
      <c r="D19" s="47"/>
      <c r="E19" s="47"/>
      <c r="F19" s="48"/>
      <c r="G19" s="48"/>
      <c r="H19" s="53"/>
      <c r="I19" s="47"/>
      <c r="J19" s="47"/>
      <c r="K19" s="47"/>
      <c r="L19" s="47"/>
      <c r="M19" s="48"/>
      <c r="N19" s="49"/>
      <c r="O19" s="50"/>
      <c r="P19" s="51"/>
      <c r="Q19" s="51"/>
      <c r="R19" s="51"/>
    </row>
    <row r="20">
      <c r="A20" s="26" t="s">
        <v>62</v>
      </c>
      <c r="B20" s="26"/>
      <c r="C20" s="26"/>
      <c r="D20" s="26"/>
      <c r="E20" s="26"/>
      <c r="F20" s="27"/>
      <c r="G20" s="27"/>
      <c r="H20" s="28"/>
      <c r="I20" s="26"/>
      <c r="J20" s="26"/>
      <c r="K20" s="26"/>
      <c r="L20" s="26"/>
      <c r="M20" s="26"/>
      <c r="N20" s="26"/>
      <c r="O20" s="26"/>
      <c r="P20" s="26"/>
      <c r="Q20" s="26"/>
      <c r="R20" s="26"/>
    </row>
    <row r="21">
      <c r="A21" s="22" t="s">
        <v>63</v>
      </c>
      <c r="B21" s="22" t="s">
        <v>64</v>
      </c>
      <c r="C21" s="42" t="s">
        <v>65</v>
      </c>
      <c r="D21" s="47" t="s">
        <v>66</v>
      </c>
      <c r="E21" s="47" t="s">
        <v>67</v>
      </c>
      <c r="F21" s="48">
        <v>12.0</v>
      </c>
      <c r="G21" s="55">
        <f t="shared" ref="G21:G23" si="3">AVERAGE(F21:H21)</f>
        <v>16</v>
      </c>
      <c r="H21" s="53">
        <v>20.0</v>
      </c>
      <c r="I21" s="47"/>
      <c r="J21" s="47"/>
      <c r="K21" s="47"/>
      <c r="L21" s="47"/>
      <c r="M21" s="48"/>
      <c r="N21" s="49"/>
      <c r="O21" s="50"/>
      <c r="P21" s="51"/>
      <c r="Q21" s="51"/>
      <c r="R21" s="51"/>
    </row>
    <row r="22" ht="157.5" customHeight="1">
      <c r="A22" s="29" t="s">
        <v>68</v>
      </c>
      <c r="B22" s="29" t="s">
        <v>69</v>
      </c>
      <c r="C22" s="31" t="s">
        <v>70</v>
      </c>
      <c r="D22" s="36" t="s">
        <v>71</v>
      </c>
      <c r="E22" s="36" t="s">
        <v>72</v>
      </c>
      <c r="F22" s="37">
        <v>50.0</v>
      </c>
      <c r="G22" s="56">
        <f t="shared" si="3"/>
        <v>57.5</v>
      </c>
      <c r="H22" s="52">
        <v>65.0</v>
      </c>
      <c r="I22" s="36"/>
      <c r="J22" s="36"/>
      <c r="K22" s="36"/>
      <c r="L22" s="36"/>
      <c r="M22" s="37"/>
      <c r="N22" s="38"/>
      <c r="O22" s="39"/>
      <c r="P22" s="40"/>
      <c r="Q22" s="40"/>
      <c r="R22" s="40"/>
    </row>
    <row r="23" ht="144.75" customHeight="1">
      <c r="A23" s="22" t="s">
        <v>73</v>
      </c>
      <c r="B23" s="22" t="s">
        <v>74</v>
      </c>
      <c r="C23" s="42" t="s">
        <v>75</v>
      </c>
      <c r="D23" s="43" t="s">
        <v>76</v>
      </c>
      <c r="E23" s="43" t="s">
        <v>77</v>
      </c>
      <c r="F23" s="48">
        <v>15.0</v>
      </c>
      <c r="G23" s="63">
        <f t="shared" si="3"/>
        <v>17.5</v>
      </c>
      <c r="H23" s="53">
        <v>20.0</v>
      </c>
      <c r="I23" s="47"/>
      <c r="J23" s="47"/>
      <c r="K23" s="47"/>
      <c r="L23" s="47"/>
      <c r="M23" s="48"/>
      <c r="N23" s="49"/>
      <c r="O23" s="50"/>
      <c r="P23" s="51"/>
      <c r="Q23" s="51"/>
      <c r="R23" s="51"/>
    </row>
    <row r="24">
      <c r="A24" s="29"/>
      <c r="B24" s="29"/>
      <c r="C24" s="62"/>
      <c r="D24" s="32"/>
      <c r="E24" s="32"/>
      <c r="F24" s="59">
        <f t="shared" ref="F24:H24" si="4">SUM(F21:F23)</f>
        <v>77</v>
      </c>
      <c r="G24" s="64">
        <f t="shared" si="4"/>
        <v>91</v>
      </c>
      <c r="H24" s="61">
        <f t="shared" si="4"/>
        <v>105</v>
      </c>
      <c r="I24" s="36"/>
      <c r="J24" s="36"/>
      <c r="K24" s="36"/>
      <c r="L24" s="36"/>
      <c r="M24" s="37"/>
      <c r="N24" s="38"/>
      <c r="O24" s="39"/>
      <c r="P24" s="40"/>
      <c r="Q24" s="40"/>
      <c r="R24" s="40"/>
    </row>
    <row r="25">
      <c r="A25" s="22"/>
      <c r="B25" s="22"/>
      <c r="C25" s="58"/>
      <c r="D25" s="43"/>
      <c r="E25" s="43"/>
      <c r="F25" s="48"/>
      <c r="G25" s="48"/>
      <c r="H25" s="53"/>
      <c r="I25" s="47"/>
      <c r="J25" s="47"/>
      <c r="K25" s="47"/>
      <c r="L25" s="47"/>
      <c r="M25" s="48"/>
      <c r="N25" s="49"/>
      <c r="O25" s="50"/>
      <c r="P25" s="51"/>
      <c r="Q25" s="51"/>
      <c r="R25" s="51"/>
    </row>
    <row r="26">
      <c r="A26" s="29"/>
      <c r="B26" s="29"/>
      <c r="C26" s="62"/>
      <c r="D26" s="32"/>
      <c r="E26" s="32"/>
      <c r="F26" s="37"/>
      <c r="G26" s="37"/>
      <c r="H26" s="52"/>
      <c r="I26" s="36"/>
      <c r="J26" s="36"/>
      <c r="K26" s="36"/>
      <c r="L26" s="36"/>
      <c r="M26" s="37"/>
      <c r="N26" s="38"/>
      <c r="O26" s="39"/>
      <c r="P26" s="40"/>
      <c r="Q26" s="40"/>
      <c r="R26" s="40"/>
    </row>
    <row r="27">
      <c r="A27" s="26" t="s">
        <v>78</v>
      </c>
      <c r="B27" s="26"/>
      <c r="C27" s="26"/>
      <c r="D27" s="26"/>
      <c r="E27" s="26"/>
      <c r="F27" s="27"/>
      <c r="G27" s="27"/>
      <c r="H27" s="28"/>
      <c r="I27" s="26"/>
      <c r="J27" s="26"/>
      <c r="K27" s="26"/>
      <c r="L27" s="26"/>
      <c r="M27" s="26"/>
      <c r="N27" s="26"/>
      <c r="O27" s="26"/>
      <c r="P27" s="26"/>
      <c r="Q27" s="26"/>
      <c r="R27" s="26"/>
    </row>
    <row r="28" ht="150.75" customHeight="1">
      <c r="A28" s="29" t="s">
        <v>79</v>
      </c>
      <c r="B28" s="29" t="s">
        <v>80</v>
      </c>
      <c r="C28" s="31" t="s">
        <v>81</v>
      </c>
      <c r="D28" s="32" t="s">
        <v>82</v>
      </c>
      <c r="E28" s="32" t="s">
        <v>83</v>
      </c>
      <c r="F28" s="37">
        <v>20.0</v>
      </c>
      <c r="G28" s="57">
        <f t="shared" ref="G28:G29" si="5">AVERAGE(F28:H28)</f>
        <v>25</v>
      </c>
      <c r="H28" s="52">
        <v>30.0</v>
      </c>
      <c r="I28" s="36"/>
      <c r="J28" s="36"/>
      <c r="K28" s="36"/>
      <c r="L28" s="36"/>
      <c r="M28" s="37"/>
      <c r="N28" s="38"/>
      <c r="O28" s="39"/>
      <c r="P28" s="40"/>
      <c r="Q28" s="40"/>
      <c r="R28" s="40"/>
    </row>
    <row r="29" ht="138.75" customHeight="1">
      <c r="A29" s="22" t="s">
        <v>84</v>
      </c>
      <c r="C29" s="42" t="s">
        <v>85</v>
      </c>
      <c r="D29" s="43" t="s">
        <v>86</v>
      </c>
      <c r="E29" s="43" t="s">
        <v>87</v>
      </c>
      <c r="F29" s="48">
        <v>15.0</v>
      </c>
      <c r="G29" s="55">
        <f t="shared" si="5"/>
        <v>20</v>
      </c>
      <c r="H29" s="53">
        <v>25.0</v>
      </c>
      <c r="I29" s="47"/>
      <c r="J29" s="47"/>
      <c r="K29" s="47"/>
      <c r="L29" s="47"/>
      <c r="M29" s="48"/>
      <c r="N29" s="49"/>
      <c r="O29" s="50"/>
      <c r="P29" s="51"/>
      <c r="Q29" s="51"/>
      <c r="R29" s="51"/>
    </row>
    <row r="30">
      <c r="A30" s="29"/>
      <c r="B30" s="29"/>
      <c r="C30" s="62"/>
      <c r="D30" s="32"/>
      <c r="E30" s="32"/>
      <c r="F30" s="59">
        <f t="shared" ref="F30:H30" si="6">SUM(F28:F29)</f>
        <v>35</v>
      </c>
      <c r="G30" s="64">
        <f t="shared" si="6"/>
        <v>45</v>
      </c>
      <c r="H30" s="61">
        <f t="shared" si="6"/>
        <v>55</v>
      </c>
      <c r="I30" s="36"/>
      <c r="J30" s="36"/>
      <c r="K30" s="36"/>
      <c r="L30" s="36"/>
      <c r="M30" s="37"/>
      <c r="N30" s="38"/>
      <c r="O30" s="39"/>
      <c r="P30" s="40"/>
      <c r="Q30" s="40"/>
      <c r="R30" s="40"/>
    </row>
    <row r="31">
      <c r="A31" s="22"/>
      <c r="B31" s="22"/>
      <c r="C31" s="58"/>
      <c r="D31" s="43"/>
      <c r="E31" s="43"/>
      <c r="F31" s="48"/>
      <c r="G31" s="48"/>
      <c r="H31" s="53"/>
      <c r="I31" s="47"/>
      <c r="J31" s="47"/>
      <c r="K31" s="47"/>
      <c r="L31" s="47"/>
      <c r="M31" s="48"/>
      <c r="N31" s="49"/>
      <c r="O31" s="50"/>
      <c r="P31" s="51"/>
      <c r="Q31" s="51"/>
      <c r="R31" s="51"/>
    </row>
    <row r="32">
      <c r="A32" s="29"/>
      <c r="B32" s="29"/>
      <c r="C32" s="62"/>
      <c r="D32" s="32"/>
      <c r="E32" s="32"/>
      <c r="F32" s="37"/>
      <c r="G32" s="37"/>
      <c r="H32" s="52"/>
      <c r="I32" s="26"/>
      <c r="J32" s="26"/>
      <c r="K32" s="36"/>
      <c r="L32" s="36"/>
      <c r="M32" s="37"/>
      <c r="N32" s="38"/>
      <c r="O32" s="39"/>
      <c r="P32" s="40"/>
      <c r="Q32" s="40"/>
      <c r="R32" s="40"/>
    </row>
    <row r="33">
      <c r="A33" s="26" t="s">
        <v>88</v>
      </c>
      <c r="B33" s="26"/>
      <c r="C33" s="26"/>
      <c r="D33" s="26"/>
      <c r="E33" s="26"/>
      <c r="F33" s="27"/>
      <c r="G33" s="27"/>
      <c r="H33" s="28"/>
      <c r="I33" s="47"/>
      <c r="J33" s="47"/>
      <c r="K33" s="26"/>
      <c r="L33" s="26"/>
      <c r="M33" s="26"/>
      <c r="N33" s="26"/>
      <c r="O33" s="26"/>
      <c r="P33" s="26"/>
      <c r="Q33" s="26"/>
      <c r="R33" s="26"/>
    </row>
    <row r="34" ht="150.0" customHeight="1">
      <c r="A34" s="29" t="s">
        <v>89</v>
      </c>
      <c r="B34" s="29" t="s">
        <v>90</v>
      </c>
      <c r="C34" s="31" t="s">
        <v>91</v>
      </c>
      <c r="D34" s="36" t="s">
        <v>92</v>
      </c>
      <c r="E34" s="36" t="s">
        <v>93</v>
      </c>
      <c r="F34" s="37">
        <v>8.0</v>
      </c>
      <c r="G34" s="37">
        <f>AVERAGE(F34,H34)</f>
        <v>10</v>
      </c>
      <c r="H34" s="52">
        <v>12.0</v>
      </c>
      <c r="I34" s="36"/>
      <c r="J34" s="36"/>
      <c r="K34" s="36"/>
      <c r="L34" s="36"/>
      <c r="M34" s="37"/>
      <c r="N34" s="38"/>
      <c r="O34" s="39"/>
      <c r="P34" s="40"/>
      <c r="Q34" s="40"/>
      <c r="R34" s="40"/>
    </row>
    <row r="35">
      <c r="A35" s="22"/>
      <c r="B35" s="22"/>
      <c r="C35" s="58"/>
      <c r="D35" s="43"/>
      <c r="E35" s="43"/>
      <c r="F35" s="59">
        <f t="shared" ref="F35:H35" si="7">SUM(F34)</f>
        <v>8</v>
      </c>
      <c r="G35" s="65">
        <f t="shared" si="7"/>
        <v>10</v>
      </c>
      <c r="H35" s="61">
        <f t="shared" si="7"/>
        <v>12</v>
      </c>
      <c r="I35" s="47"/>
      <c r="J35" s="47"/>
      <c r="K35" s="47"/>
      <c r="L35" s="47"/>
      <c r="M35" s="48"/>
      <c r="N35" s="49"/>
      <c r="O35" s="50"/>
      <c r="P35" s="51"/>
      <c r="Q35" s="51"/>
      <c r="R35" s="51"/>
    </row>
    <row r="36">
      <c r="A36" s="29"/>
      <c r="B36" s="29"/>
      <c r="C36" s="62"/>
      <c r="D36" s="66"/>
      <c r="E36" s="32"/>
      <c r="F36" s="37"/>
      <c r="G36" s="37"/>
      <c r="H36" s="52"/>
      <c r="I36" s="36"/>
      <c r="J36" s="36"/>
      <c r="K36" s="36"/>
      <c r="L36" s="36"/>
      <c r="M36" s="37"/>
      <c r="N36" s="38"/>
      <c r="O36" s="39"/>
      <c r="P36" s="40"/>
      <c r="Q36" s="40"/>
      <c r="R36" s="40"/>
    </row>
    <row r="37">
      <c r="A37" s="22"/>
      <c r="B37" s="22"/>
      <c r="C37" s="58"/>
      <c r="D37" s="43"/>
      <c r="E37" s="43"/>
      <c r="F37" s="48"/>
      <c r="G37" s="48"/>
      <c r="H37" s="53"/>
      <c r="I37" s="47"/>
      <c r="J37" s="47"/>
      <c r="K37" s="47"/>
      <c r="L37" s="47"/>
      <c r="M37" s="48"/>
      <c r="N37" s="49"/>
      <c r="O37" s="50"/>
      <c r="P37" s="51"/>
      <c r="Q37" s="51"/>
      <c r="R37" s="51"/>
    </row>
    <row r="38">
      <c r="A38" s="26" t="s">
        <v>94</v>
      </c>
      <c r="B38" s="26"/>
      <c r="C38" s="26"/>
      <c r="D38" s="26"/>
      <c r="E38" s="26"/>
      <c r="F38" s="27"/>
      <c r="G38" s="27"/>
      <c r="H38" s="28"/>
      <c r="I38" s="36"/>
      <c r="J38" s="36"/>
      <c r="K38" s="26"/>
      <c r="L38" s="26"/>
      <c r="M38" s="26"/>
      <c r="N38" s="26"/>
      <c r="O38" s="26"/>
      <c r="P38" s="26"/>
      <c r="Q38" s="26"/>
      <c r="R38" s="26"/>
    </row>
    <row r="39">
      <c r="A39" s="22" t="s">
        <v>95</v>
      </c>
      <c r="B39" s="22" t="s">
        <v>96</v>
      </c>
      <c r="C39" s="47" t="s">
        <v>97</v>
      </c>
      <c r="D39" s="47" t="s">
        <v>98</v>
      </c>
      <c r="E39" s="47" t="s">
        <v>99</v>
      </c>
      <c r="F39" s="48">
        <v>15.0</v>
      </c>
      <c r="G39" s="55">
        <f t="shared" ref="G39:G41" si="8">AVERAGE(F39:H39)</f>
        <v>20</v>
      </c>
      <c r="H39" s="53">
        <v>25.0</v>
      </c>
      <c r="I39" s="47"/>
      <c r="J39" s="47"/>
      <c r="K39" s="47"/>
      <c r="L39" s="47"/>
      <c r="M39" s="48"/>
      <c r="N39" s="49"/>
      <c r="O39" s="50"/>
      <c r="P39" s="51"/>
      <c r="Q39" s="51"/>
      <c r="R39" s="51"/>
    </row>
    <row r="40">
      <c r="A40" s="29" t="s">
        <v>100</v>
      </c>
      <c r="B40" s="29" t="s">
        <v>101</v>
      </c>
      <c r="C40" s="31" t="s">
        <v>102</v>
      </c>
      <c r="D40" s="36" t="s">
        <v>103</v>
      </c>
      <c r="E40" s="36" t="s">
        <v>104</v>
      </c>
      <c r="F40" s="37">
        <v>8.0</v>
      </c>
      <c r="G40" s="57">
        <f t="shared" si="8"/>
        <v>10</v>
      </c>
      <c r="H40" s="52">
        <v>12.0</v>
      </c>
      <c r="I40" s="67"/>
      <c r="J40" s="67"/>
      <c r="K40" s="36"/>
      <c r="L40" s="36"/>
      <c r="M40" s="37"/>
      <c r="N40" s="38"/>
      <c r="O40" s="39"/>
      <c r="P40" s="40"/>
      <c r="Q40" s="40"/>
      <c r="R40" s="40"/>
    </row>
    <row r="41" ht="169.5" customHeight="1">
      <c r="A41" s="22" t="s">
        <v>105</v>
      </c>
      <c r="C41" s="42" t="s">
        <v>106</v>
      </c>
      <c r="D41" s="47" t="s">
        <v>107</v>
      </c>
      <c r="E41" s="47" t="s">
        <v>108</v>
      </c>
      <c r="F41" s="48">
        <v>8.0</v>
      </c>
      <c r="G41" s="55">
        <f t="shared" si="8"/>
        <v>10</v>
      </c>
      <c r="H41" s="53">
        <v>12.0</v>
      </c>
      <c r="I41" s="67"/>
      <c r="J41" s="67"/>
      <c r="K41" s="47"/>
      <c r="L41" s="47"/>
      <c r="M41" s="48"/>
      <c r="N41" s="49"/>
      <c r="O41" s="50"/>
      <c r="P41" s="51"/>
      <c r="Q41" s="51"/>
      <c r="R41" s="51"/>
    </row>
    <row r="42">
      <c r="A42" s="29"/>
      <c r="B42" s="29"/>
      <c r="C42" s="62"/>
      <c r="D42" s="32"/>
      <c r="E42" s="32"/>
      <c r="F42" s="68">
        <f t="shared" ref="F42:H42" si="9">SUM(F39:F41)</f>
        <v>31</v>
      </c>
      <c r="G42" s="69">
        <f t="shared" si="9"/>
        <v>40</v>
      </c>
      <c r="H42" s="70">
        <f t="shared" si="9"/>
        <v>49</v>
      </c>
      <c r="I42" s="36"/>
      <c r="J42" s="36"/>
      <c r="K42" s="36"/>
      <c r="L42" s="36"/>
      <c r="M42" s="37"/>
      <c r="N42" s="38"/>
      <c r="O42" s="39"/>
      <c r="P42" s="40"/>
      <c r="Q42" s="40"/>
      <c r="R42" s="40"/>
    </row>
    <row r="43">
      <c r="A43" s="22"/>
      <c r="B43" s="22"/>
      <c r="C43" s="58"/>
      <c r="D43" s="43"/>
      <c r="E43" s="43"/>
      <c r="F43" s="48"/>
      <c r="G43" s="48"/>
      <c r="H43" s="53"/>
      <c r="I43" s="47"/>
      <c r="J43" s="47"/>
      <c r="K43" s="47"/>
      <c r="L43" s="47"/>
      <c r="M43" s="48"/>
      <c r="N43" s="49"/>
      <c r="O43" s="50"/>
      <c r="P43" s="51"/>
      <c r="Q43" s="51"/>
      <c r="R43" s="51"/>
    </row>
    <row r="44">
      <c r="A44" s="29"/>
      <c r="B44" s="29"/>
      <c r="C44" s="62"/>
      <c r="D44" s="32"/>
      <c r="E44" s="32"/>
      <c r="F44" s="37"/>
      <c r="G44" s="37"/>
      <c r="H44" s="52"/>
      <c r="I44" s="36"/>
      <c r="J44" s="36"/>
      <c r="K44" s="36"/>
      <c r="L44" s="36"/>
      <c r="M44" s="37"/>
      <c r="N44" s="38"/>
      <c r="O44" s="39"/>
      <c r="P44" s="40"/>
      <c r="Q44" s="40"/>
      <c r="R44" s="40"/>
    </row>
    <row r="45">
      <c r="A45" s="67" t="s">
        <v>109</v>
      </c>
      <c r="B45" s="67"/>
      <c r="C45" s="67"/>
      <c r="D45" s="67"/>
      <c r="E45" s="67"/>
      <c r="F45" s="71"/>
      <c r="G45" s="71"/>
      <c r="H45" s="72"/>
      <c r="I45" s="47"/>
      <c r="J45" s="47"/>
      <c r="K45" s="67"/>
      <c r="L45" s="67"/>
      <c r="M45" s="67"/>
      <c r="N45" s="67"/>
      <c r="O45" s="67"/>
      <c r="P45" s="67"/>
      <c r="Q45" s="67"/>
      <c r="R45" s="67"/>
    </row>
    <row r="46">
      <c r="A46" s="67" t="s">
        <v>110</v>
      </c>
      <c r="B46" s="67"/>
      <c r="C46" s="67"/>
      <c r="D46" s="67"/>
      <c r="E46" s="67"/>
      <c r="F46" s="71"/>
      <c r="G46" s="71"/>
      <c r="H46" s="72"/>
      <c r="I46" s="36"/>
      <c r="J46" s="36"/>
      <c r="K46" s="67"/>
      <c r="L46" s="67"/>
      <c r="M46" s="67"/>
      <c r="N46" s="67"/>
      <c r="O46" s="67"/>
      <c r="P46" s="67"/>
      <c r="Q46" s="67"/>
      <c r="R46" s="67"/>
    </row>
    <row r="47" ht="132.75" customHeight="1">
      <c r="A47" s="22" t="s">
        <v>111</v>
      </c>
      <c r="B47" s="73" t="s">
        <v>112</v>
      </c>
      <c r="C47" s="42" t="s">
        <v>113</v>
      </c>
      <c r="D47" s="43" t="s">
        <v>114</v>
      </c>
      <c r="E47" s="43" t="s">
        <v>115</v>
      </c>
      <c r="F47" s="48">
        <v>8.0</v>
      </c>
      <c r="G47" s="55">
        <f>AVERAGE(F47:H47)</f>
        <v>10</v>
      </c>
      <c r="H47" s="53">
        <v>12.0</v>
      </c>
      <c r="I47" s="67"/>
      <c r="J47" s="67"/>
      <c r="K47" s="47"/>
      <c r="L47" s="47"/>
      <c r="M47" s="48"/>
      <c r="N47" s="49"/>
      <c r="O47" s="50"/>
      <c r="P47" s="51"/>
      <c r="Q47" s="51"/>
      <c r="R47" s="51"/>
    </row>
    <row r="48">
      <c r="A48" s="29"/>
      <c r="B48" s="29"/>
      <c r="C48" s="62"/>
      <c r="D48" s="32"/>
      <c r="E48" s="32"/>
      <c r="F48" s="59">
        <f t="shared" ref="F48:H48" si="10">SUM(F47)</f>
        <v>8</v>
      </c>
      <c r="G48" s="64">
        <f t="shared" si="10"/>
        <v>10</v>
      </c>
      <c r="H48" s="61">
        <f t="shared" si="10"/>
        <v>12</v>
      </c>
      <c r="I48" s="36"/>
      <c r="J48" s="36"/>
      <c r="K48" s="36"/>
      <c r="L48" s="36"/>
      <c r="M48" s="37"/>
      <c r="N48" s="38"/>
      <c r="O48" s="39"/>
      <c r="P48" s="40"/>
      <c r="Q48" s="40"/>
      <c r="R48" s="40"/>
    </row>
    <row r="49">
      <c r="A49" s="22"/>
      <c r="B49" s="22"/>
      <c r="C49" s="58"/>
      <c r="D49" s="43"/>
      <c r="E49" s="43"/>
      <c r="F49" s="48"/>
      <c r="G49" s="48"/>
      <c r="H49" s="53"/>
      <c r="I49" s="47"/>
      <c r="J49" s="47"/>
      <c r="K49" s="47"/>
      <c r="L49" s="47"/>
      <c r="M49" s="48"/>
      <c r="N49" s="49"/>
      <c r="O49" s="50"/>
      <c r="P49" s="51"/>
      <c r="Q49" s="51"/>
      <c r="R49" s="51"/>
    </row>
    <row r="50">
      <c r="A50" s="29"/>
      <c r="B50" s="29"/>
      <c r="C50" s="62"/>
      <c r="D50" s="32"/>
      <c r="E50" s="32"/>
      <c r="F50" s="37"/>
      <c r="G50" s="37"/>
      <c r="H50" s="52"/>
      <c r="I50" s="36"/>
      <c r="J50" s="36"/>
      <c r="K50" s="36"/>
      <c r="L50" s="36"/>
      <c r="M50" s="37"/>
      <c r="N50" s="38"/>
      <c r="O50" s="39"/>
      <c r="P50" s="40"/>
      <c r="Q50" s="40"/>
      <c r="R50" s="40"/>
    </row>
    <row r="51">
      <c r="A51" s="67" t="s">
        <v>116</v>
      </c>
      <c r="B51" s="67"/>
      <c r="C51" s="67"/>
      <c r="D51" s="67"/>
      <c r="E51" s="67"/>
      <c r="F51" s="71"/>
      <c r="G51" s="71"/>
      <c r="H51" s="72"/>
      <c r="I51" s="67"/>
      <c r="J51" s="67"/>
      <c r="K51" s="67"/>
      <c r="L51" s="67"/>
      <c r="M51" s="67"/>
      <c r="N51" s="67"/>
      <c r="O51" s="67"/>
      <c r="P51" s="67"/>
      <c r="Q51" s="67"/>
      <c r="R51" s="67"/>
    </row>
    <row r="52">
      <c r="A52" s="29" t="s">
        <v>117</v>
      </c>
      <c r="B52" s="30" t="s">
        <v>118</v>
      </c>
      <c r="C52" s="31" t="s">
        <v>119</v>
      </c>
      <c r="D52" s="31" t="s">
        <v>120</v>
      </c>
      <c r="E52" s="32" t="s">
        <v>121</v>
      </c>
      <c r="F52" s="37">
        <v>15.0</v>
      </c>
      <c r="G52" s="74">
        <f t="shared" ref="G52:G53" si="11">AVERAGE(F52:H52)</f>
        <v>20</v>
      </c>
      <c r="H52" s="52">
        <v>25.0</v>
      </c>
      <c r="I52" s="36"/>
      <c r="J52" s="36"/>
      <c r="K52" s="36"/>
      <c r="L52" s="36"/>
      <c r="M52" s="37"/>
      <c r="N52" s="38"/>
      <c r="O52" s="39"/>
      <c r="P52" s="40"/>
      <c r="Q52" s="40"/>
      <c r="R52" s="40"/>
    </row>
    <row r="53">
      <c r="A53" s="22" t="s">
        <v>122</v>
      </c>
      <c r="C53" s="42" t="s">
        <v>123</v>
      </c>
      <c r="D53" s="43" t="s">
        <v>124</v>
      </c>
      <c r="E53" s="43" t="s">
        <v>125</v>
      </c>
      <c r="F53" s="48">
        <v>2.0</v>
      </c>
      <c r="G53" s="75">
        <f t="shared" si="11"/>
        <v>4</v>
      </c>
      <c r="H53" s="53">
        <v>6.0</v>
      </c>
      <c r="I53" s="47"/>
      <c r="J53" s="47"/>
      <c r="K53" s="47"/>
      <c r="L53" s="47"/>
      <c r="M53" s="48"/>
      <c r="N53" s="49"/>
      <c r="O53" s="50"/>
      <c r="P53" s="51"/>
      <c r="Q53" s="51"/>
      <c r="R53" s="51"/>
    </row>
    <row r="54">
      <c r="A54" s="29"/>
      <c r="B54" s="29"/>
      <c r="C54" s="62"/>
      <c r="D54" s="32"/>
      <c r="E54" s="32"/>
      <c r="F54" s="59">
        <f t="shared" ref="F54:H54" si="12">SUM(F52:F53)</f>
        <v>17</v>
      </c>
      <c r="G54" s="64">
        <f t="shared" si="12"/>
        <v>24</v>
      </c>
      <c r="H54" s="61">
        <f t="shared" si="12"/>
        <v>31</v>
      </c>
      <c r="I54" s="36"/>
      <c r="J54" s="36"/>
      <c r="K54" s="36"/>
      <c r="L54" s="36"/>
      <c r="M54" s="37"/>
      <c r="N54" s="38"/>
      <c r="O54" s="39"/>
      <c r="P54" s="40"/>
      <c r="Q54" s="40"/>
      <c r="R54" s="40"/>
    </row>
    <row r="55">
      <c r="A55" s="22"/>
      <c r="B55" s="22"/>
      <c r="C55" s="58"/>
      <c r="D55" s="43"/>
      <c r="E55" s="43"/>
      <c r="F55" s="48"/>
      <c r="G55" s="48"/>
      <c r="H55" s="53"/>
      <c r="I55" s="47"/>
      <c r="J55" s="47"/>
      <c r="K55" s="47"/>
      <c r="L55" s="47"/>
      <c r="M55" s="48"/>
      <c r="N55" s="49"/>
      <c r="O55" s="50"/>
      <c r="P55" s="51"/>
      <c r="Q55" s="51"/>
      <c r="R55" s="51"/>
    </row>
    <row r="56">
      <c r="A56" s="29"/>
      <c r="B56" s="30"/>
      <c r="C56" s="62"/>
      <c r="D56" s="76"/>
      <c r="E56" s="76"/>
      <c r="F56" s="37"/>
      <c r="G56" s="37"/>
      <c r="H56" s="52"/>
      <c r="I56" s="36"/>
      <c r="J56" s="36"/>
      <c r="K56" s="36"/>
      <c r="L56" s="36"/>
      <c r="M56" s="37"/>
      <c r="N56" s="38"/>
      <c r="O56" s="39"/>
      <c r="P56" s="40"/>
      <c r="Q56" s="40"/>
      <c r="R56" s="40"/>
    </row>
    <row r="57">
      <c r="A57" s="77" t="s">
        <v>126</v>
      </c>
      <c r="B57" s="77"/>
      <c r="C57" s="77"/>
      <c r="D57" s="77"/>
      <c r="E57" s="77"/>
      <c r="F57" s="78"/>
      <c r="G57" s="78"/>
      <c r="H57" s="79"/>
      <c r="I57" s="77"/>
      <c r="J57" s="77"/>
      <c r="K57" s="77"/>
      <c r="L57" s="77"/>
      <c r="M57" s="77"/>
      <c r="N57" s="77"/>
      <c r="O57" s="77"/>
      <c r="P57" s="77"/>
      <c r="Q57" s="77"/>
      <c r="R57" s="77"/>
    </row>
    <row r="58">
      <c r="A58" s="77" t="s">
        <v>127</v>
      </c>
      <c r="B58" s="77"/>
      <c r="C58" s="77"/>
      <c r="D58" s="77"/>
      <c r="E58" s="77"/>
      <c r="F58" s="78"/>
      <c r="G58" s="78"/>
      <c r="H58" s="79"/>
      <c r="I58" s="77"/>
      <c r="J58" s="77"/>
      <c r="K58" s="77"/>
      <c r="L58" s="77"/>
      <c r="M58" s="77"/>
      <c r="N58" s="77"/>
      <c r="O58" s="77"/>
      <c r="P58" s="77"/>
      <c r="Q58" s="77"/>
      <c r="R58" s="77"/>
    </row>
    <row r="59" ht="141.75" customHeight="1">
      <c r="A59" s="22" t="s">
        <v>128</v>
      </c>
      <c r="B59" s="73" t="s">
        <v>129</v>
      </c>
      <c r="C59" s="42" t="s">
        <v>130</v>
      </c>
      <c r="D59" s="43" t="s">
        <v>131</v>
      </c>
      <c r="E59" s="43" t="s">
        <v>132</v>
      </c>
      <c r="F59" s="48">
        <v>15.0</v>
      </c>
      <c r="G59" s="44">
        <f t="shared" ref="G59:G60" si="13">AVERAGE(F59,H59)</f>
        <v>17.5</v>
      </c>
      <c r="H59" s="53">
        <v>20.0</v>
      </c>
      <c r="I59" s="47"/>
      <c r="J59" s="47"/>
      <c r="K59" s="47"/>
      <c r="L59" s="47"/>
      <c r="M59" s="48"/>
      <c r="N59" s="49"/>
      <c r="O59" s="50"/>
      <c r="P59" s="51"/>
      <c r="Q59" s="51"/>
      <c r="R59" s="51"/>
    </row>
    <row r="60">
      <c r="A60" s="29" t="s">
        <v>133</v>
      </c>
      <c r="B60" s="30" t="s">
        <v>134</v>
      </c>
      <c r="C60" s="31" t="s">
        <v>135</v>
      </c>
      <c r="D60" s="80" t="s">
        <v>103</v>
      </c>
      <c r="E60" s="81" t="s">
        <v>136</v>
      </c>
      <c r="F60" s="37">
        <v>10.0</v>
      </c>
      <c r="G60" s="33">
        <f t="shared" si="13"/>
        <v>12</v>
      </c>
      <c r="H60" s="52">
        <v>14.0</v>
      </c>
      <c r="I60" s="36"/>
      <c r="J60" s="36"/>
      <c r="K60" s="36"/>
      <c r="L60" s="36"/>
      <c r="M60" s="37"/>
      <c r="N60" s="38"/>
      <c r="O60" s="39"/>
      <c r="P60" s="40"/>
      <c r="Q60" s="40"/>
      <c r="R60" s="40"/>
    </row>
    <row r="61">
      <c r="A61" s="22"/>
      <c r="B61" s="73"/>
      <c r="C61" s="58"/>
      <c r="D61" s="43"/>
      <c r="E61" s="43"/>
      <c r="F61" s="59">
        <f t="shared" ref="F61:H61" si="14">SUM(F59:F60)</f>
        <v>25</v>
      </c>
      <c r="G61" s="65">
        <f t="shared" si="14"/>
        <v>29.5</v>
      </c>
      <c r="H61" s="61">
        <f t="shared" si="14"/>
        <v>34</v>
      </c>
      <c r="I61" s="47"/>
      <c r="J61" s="47"/>
      <c r="K61" s="47"/>
      <c r="L61" s="47"/>
      <c r="M61" s="48"/>
      <c r="N61" s="49"/>
      <c r="O61" s="50"/>
      <c r="P61" s="51"/>
      <c r="Q61" s="51"/>
      <c r="R61" s="51"/>
    </row>
    <row r="62">
      <c r="A62" s="29"/>
      <c r="B62" s="30"/>
      <c r="C62" s="62"/>
      <c r="D62" s="32"/>
      <c r="E62" s="32"/>
      <c r="F62" s="37"/>
      <c r="G62" s="33"/>
      <c r="H62" s="52"/>
      <c r="I62" s="36"/>
      <c r="J62" s="36"/>
      <c r="K62" s="36"/>
      <c r="L62" s="36"/>
      <c r="M62" s="37"/>
      <c r="N62" s="38"/>
      <c r="O62" s="39"/>
      <c r="P62" s="40"/>
      <c r="Q62" s="40"/>
      <c r="R62" s="40"/>
    </row>
    <row r="63">
      <c r="A63" s="22"/>
      <c r="B63" s="73"/>
      <c r="C63" s="58"/>
      <c r="D63" s="43"/>
      <c r="E63" s="43"/>
      <c r="F63" s="48"/>
      <c r="G63" s="44"/>
      <c r="H63" s="53"/>
      <c r="I63" s="47"/>
      <c r="J63" s="47"/>
      <c r="K63" s="47"/>
      <c r="L63" s="47"/>
      <c r="M63" s="48"/>
      <c r="N63" s="49"/>
      <c r="O63" s="50"/>
      <c r="P63" s="51"/>
      <c r="Q63" s="51"/>
      <c r="R63" s="51"/>
    </row>
    <row r="64">
      <c r="A64" s="82" t="s">
        <v>137</v>
      </c>
      <c r="B64" s="82"/>
      <c r="C64" s="82"/>
      <c r="D64" s="82"/>
      <c r="E64" s="82"/>
      <c r="F64" s="83"/>
      <c r="G64" s="83"/>
      <c r="H64" s="84"/>
      <c r="I64" s="82"/>
      <c r="J64" s="82"/>
      <c r="K64" s="82"/>
      <c r="L64" s="82"/>
      <c r="M64" s="82"/>
      <c r="N64" s="82"/>
      <c r="O64" s="82"/>
      <c r="P64" s="82"/>
      <c r="Q64" s="82"/>
      <c r="R64" s="82"/>
    </row>
    <row r="65">
      <c r="A65" s="82" t="s">
        <v>138</v>
      </c>
      <c r="B65" s="82"/>
      <c r="C65" s="82"/>
      <c r="D65" s="82"/>
      <c r="E65" s="82"/>
      <c r="F65" s="83"/>
      <c r="G65" s="83"/>
      <c r="H65" s="84"/>
      <c r="I65" s="82"/>
      <c r="J65" s="82"/>
      <c r="K65" s="82"/>
      <c r="L65" s="82"/>
      <c r="M65" s="82"/>
      <c r="N65" s="82"/>
      <c r="O65" s="82"/>
      <c r="P65" s="82"/>
      <c r="Q65" s="82"/>
      <c r="R65" s="82"/>
    </row>
    <row r="66" ht="162.0" customHeight="1">
      <c r="A66" s="29" t="s">
        <v>139</v>
      </c>
      <c r="B66" s="30" t="s">
        <v>140</v>
      </c>
      <c r="C66" s="31" t="s">
        <v>141</v>
      </c>
      <c r="D66" s="81" t="s">
        <v>142</v>
      </c>
      <c r="E66" s="81" t="s">
        <v>143</v>
      </c>
      <c r="F66" s="37">
        <v>10.0</v>
      </c>
      <c r="G66" s="33">
        <f t="shared" ref="G66:G67" si="15">AVERAGE(F66,H66)</f>
        <v>12</v>
      </c>
      <c r="H66" s="52">
        <v>14.0</v>
      </c>
      <c r="I66" s="36"/>
      <c r="J66" s="36"/>
      <c r="K66" s="36"/>
      <c r="L66" s="36"/>
      <c r="M66" s="37"/>
      <c r="N66" s="38"/>
      <c r="O66" s="39"/>
      <c r="P66" s="40"/>
      <c r="Q66" s="40"/>
      <c r="R66" s="40"/>
    </row>
    <row r="67" ht="129.75" customHeight="1">
      <c r="A67" s="22" t="s">
        <v>144</v>
      </c>
      <c r="B67" s="73" t="s">
        <v>145</v>
      </c>
      <c r="C67" s="42" t="s">
        <v>146</v>
      </c>
      <c r="D67" s="43" t="s">
        <v>147</v>
      </c>
      <c r="E67" s="43" t="s">
        <v>148</v>
      </c>
      <c r="F67" s="48">
        <v>12.0</v>
      </c>
      <c r="G67" s="44">
        <f t="shared" si="15"/>
        <v>14</v>
      </c>
      <c r="H67" s="53">
        <v>16.0</v>
      </c>
      <c r="I67" s="47"/>
      <c r="J67" s="47"/>
      <c r="K67" s="47"/>
      <c r="L67" s="47"/>
      <c r="M67" s="48"/>
      <c r="N67" s="49"/>
      <c r="O67" s="50"/>
      <c r="P67" s="51"/>
      <c r="Q67" s="51"/>
      <c r="R67" s="51"/>
    </row>
    <row r="68">
      <c r="A68" s="29"/>
      <c r="B68" s="30"/>
      <c r="C68" s="62"/>
      <c r="D68" s="32"/>
      <c r="E68" s="32"/>
      <c r="F68" s="59">
        <f t="shared" ref="F68:H68" si="16">SUM(F66:F67)</f>
        <v>22</v>
      </c>
      <c r="G68" s="65">
        <f t="shared" si="16"/>
        <v>26</v>
      </c>
      <c r="H68" s="61">
        <f t="shared" si="16"/>
        <v>30</v>
      </c>
      <c r="I68" s="36"/>
      <c r="J68" s="36"/>
      <c r="K68" s="36"/>
      <c r="L68" s="36"/>
      <c r="M68" s="37"/>
      <c r="N68" s="38"/>
      <c r="O68" s="39"/>
      <c r="P68" s="40"/>
      <c r="Q68" s="40"/>
      <c r="R68" s="40"/>
    </row>
    <row r="69">
      <c r="A69" s="22"/>
      <c r="B69" s="73"/>
      <c r="C69" s="58"/>
      <c r="D69" s="43"/>
      <c r="E69" s="43"/>
      <c r="F69" s="48"/>
      <c r="G69" s="44"/>
      <c r="H69" s="53"/>
      <c r="I69" s="47"/>
      <c r="J69" s="47"/>
      <c r="K69" s="47"/>
      <c r="L69" s="47"/>
      <c r="M69" s="48"/>
      <c r="N69" s="49"/>
      <c r="O69" s="50"/>
      <c r="P69" s="51"/>
      <c r="Q69" s="51"/>
      <c r="R69" s="51"/>
    </row>
    <row r="70">
      <c r="A70" s="29"/>
      <c r="B70" s="30"/>
      <c r="C70" s="62"/>
      <c r="D70" s="32"/>
      <c r="E70" s="32"/>
      <c r="F70" s="37"/>
      <c r="G70" s="33"/>
      <c r="H70" s="52"/>
      <c r="I70" s="36"/>
      <c r="J70" s="36"/>
      <c r="K70" s="36"/>
      <c r="L70" s="36"/>
      <c r="M70" s="37"/>
      <c r="N70" s="38"/>
      <c r="O70" s="39"/>
      <c r="P70" s="40"/>
      <c r="Q70" s="40"/>
      <c r="R70" s="40"/>
    </row>
    <row r="71">
      <c r="A71" s="82" t="s">
        <v>149</v>
      </c>
      <c r="B71" s="82"/>
      <c r="C71" s="82"/>
      <c r="D71" s="82"/>
      <c r="E71" s="82"/>
      <c r="F71" s="83"/>
      <c r="G71" s="83"/>
      <c r="H71" s="84"/>
      <c r="I71" s="82"/>
      <c r="J71" s="82"/>
      <c r="K71" s="82"/>
      <c r="L71" s="82"/>
      <c r="M71" s="82"/>
      <c r="N71" s="82"/>
      <c r="O71" s="82"/>
      <c r="P71" s="82"/>
      <c r="Q71" s="82"/>
      <c r="R71" s="82"/>
    </row>
    <row r="72" ht="180.0" customHeight="1">
      <c r="A72" s="29" t="s">
        <v>150</v>
      </c>
      <c r="B72" s="73" t="s">
        <v>151</v>
      </c>
      <c r="C72" s="31" t="s">
        <v>152</v>
      </c>
      <c r="D72" s="31" t="s">
        <v>153</v>
      </c>
      <c r="E72" s="32" t="s">
        <v>154</v>
      </c>
      <c r="F72" s="37">
        <v>10.0</v>
      </c>
      <c r="G72" s="57">
        <f t="shared" ref="G72:G74" si="17">AVERAGE(F72:H72)</f>
        <v>15</v>
      </c>
      <c r="H72" s="52">
        <v>20.0</v>
      </c>
      <c r="I72" s="36"/>
      <c r="J72" s="36"/>
      <c r="K72" s="36"/>
      <c r="L72" s="36"/>
      <c r="M72" s="37"/>
      <c r="N72" s="38"/>
      <c r="O72" s="39"/>
      <c r="P72" s="40"/>
      <c r="Q72" s="40"/>
      <c r="R72" s="40"/>
    </row>
    <row r="73" ht="120.0" customHeight="1">
      <c r="A73" s="22" t="s">
        <v>155</v>
      </c>
      <c r="C73" s="42" t="s">
        <v>156</v>
      </c>
      <c r="D73" s="43" t="s">
        <v>157</v>
      </c>
      <c r="E73" s="43" t="s">
        <v>158</v>
      </c>
      <c r="F73" s="48">
        <v>15.0</v>
      </c>
      <c r="G73" s="55">
        <f t="shared" si="17"/>
        <v>20</v>
      </c>
      <c r="H73" s="53">
        <v>25.0</v>
      </c>
      <c r="I73" s="47"/>
      <c r="J73" s="47"/>
      <c r="K73" s="47"/>
      <c r="L73" s="47"/>
      <c r="M73" s="47"/>
      <c r="N73" s="47"/>
      <c r="O73" s="47"/>
      <c r="P73" s="47"/>
      <c r="Q73" s="47"/>
      <c r="R73" s="51"/>
    </row>
    <row r="74" ht="167.25" customHeight="1">
      <c r="A74" s="29" t="s">
        <v>159</v>
      </c>
      <c r="B74" s="30" t="s">
        <v>160</v>
      </c>
      <c r="C74" s="31" t="s">
        <v>161</v>
      </c>
      <c r="D74" s="32" t="s">
        <v>162</v>
      </c>
      <c r="E74" s="32" t="s">
        <v>163</v>
      </c>
      <c r="F74" s="37">
        <v>25.0</v>
      </c>
      <c r="G74" s="57">
        <f t="shared" si="17"/>
        <v>30</v>
      </c>
      <c r="H74" s="52">
        <v>35.0</v>
      </c>
      <c r="I74" s="36"/>
      <c r="J74" s="36"/>
      <c r="K74" s="36"/>
      <c r="L74" s="36"/>
      <c r="M74" s="37"/>
      <c r="N74" s="38"/>
      <c r="O74" s="39"/>
      <c r="P74" s="40"/>
      <c r="Q74" s="40"/>
      <c r="R74" s="40"/>
    </row>
    <row r="75">
      <c r="A75" s="22"/>
      <c r="B75" s="73"/>
      <c r="C75" s="58"/>
      <c r="D75" s="43"/>
      <c r="E75" s="43"/>
      <c r="F75" s="59">
        <f t="shared" ref="F75:H75" si="18">SUM(F72:F74)</f>
        <v>50</v>
      </c>
      <c r="G75" s="64">
        <f t="shared" si="18"/>
        <v>65</v>
      </c>
      <c r="H75" s="61">
        <f t="shared" si="18"/>
        <v>80</v>
      </c>
      <c r="I75" s="47"/>
      <c r="J75" s="47"/>
      <c r="K75" s="47"/>
      <c r="L75" s="47"/>
      <c r="M75" s="48"/>
      <c r="N75" s="49"/>
      <c r="O75" s="50"/>
      <c r="P75" s="51"/>
      <c r="Q75" s="51"/>
      <c r="R75" s="51"/>
    </row>
    <row r="76">
      <c r="A76" s="29"/>
      <c r="B76" s="30"/>
      <c r="C76" s="62"/>
      <c r="D76" s="32"/>
      <c r="E76" s="32"/>
      <c r="F76" s="37"/>
      <c r="G76" s="33"/>
      <c r="H76" s="52"/>
      <c r="I76" s="36"/>
      <c r="J76" s="36"/>
      <c r="K76" s="36"/>
      <c r="L76" s="36"/>
      <c r="M76" s="37"/>
      <c r="N76" s="38"/>
      <c r="O76" s="39"/>
      <c r="P76" s="40"/>
      <c r="Q76" s="40"/>
      <c r="R76" s="40"/>
    </row>
    <row r="77">
      <c r="A77" s="22"/>
      <c r="B77" s="73"/>
      <c r="C77" s="58"/>
      <c r="D77" s="43"/>
      <c r="E77" s="43"/>
      <c r="F77" s="48"/>
      <c r="G77" s="44"/>
      <c r="H77" s="53"/>
      <c r="I77" s="47"/>
      <c r="J77" s="47"/>
      <c r="K77" s="47"/>
      <c r="L77" s="47"/>
      <c r="M77" s="48"/>
      <c r="N77" s="49"/>
      <c r="O77" s="50"/>
      <c r="P77" s="51"/>
      <c r="Q77" s="51"/>
      <c r="R77" s="51"/>
    </row>
    <row r="78">
      <c r="A78" s="82" t="s">
        <v>164</v>
      </c>
      <c r="B78" s="82"/>
      <c r="C78" s="82"/>
      <c r="D78" s="82"/>
      <c r="E78" s="82"/>
      <c r="F78" s="83"/>
      <c r="G78" s="83"/>
      <c r="H78" s="84"/>
      <c r="I78" s="82"/>
      <c r="J78" s="82"/>
      <c r="K78" s="82"/>
      <c r="L78" s="82"/>
      <c r="M78" s="82"/>
      <c r="N78" s="82"/>
      <c r="O78" s="82"/>
      <c r="P78" s="82"/>
      <c r="Q78" s="82"/>
      <c r="R78" s="82"/>
    </row>
    <row r="79">
      <c r="A79" s="22" t="s">
        <v>165</v>
      </c>
      <c r="B79" s="73" t="s">
        <v>166</v>
      </c>
      <c r="C79" s="42" t="s">
        <v>167</v>
      </c>
      <c r="D79" s="43" t="s">
        <v>168</v>
      </c>
      <c r="E79" s="43" t="s">
        <v>169</v>
      </c>
      <c r="F79" s="48">
        <v>80.0</v>
      </c>
      <c r="G79" s="44">
        <f>AVERAGE(F79,H79)</f>
        <v>90</v>
      </c>
      <c r="H79" s="53">
        <v>100.0</v>
      </c>
      <c r="I79" s="47"/>
      <c r="J79" s="47"/>
      <c r="K79" s="47"/>
      <c r="L79" s="47"/>
      <c r="M79" s="48"/>
      <c r="N79" s="49"/>
      <c r="O79" s="50"/>
      <c r="P79" s="51"/>
      <c r="Q79" s="51"/>
      <c r="R79" s="51"/>
    </row>
    <row r="80">
      <c r="A80" s="29"/>
      <c r="B80" s="30"/>
      <c r="C80" s="62"/>
      <c r="D80" s="32"/>
      <c r="E80" s="32"/>
      <c r="F80" s="59">
        <f t="shared" ref="F80:H80" si="19">SUM(F79)</f>
        <v>80</v>
      </c>
      <c r="G80" s="65">
        <f t="shared" si="19"/>
        <v>90</v>
      </c>
      <c r="H80" s="61">
        <f t="shared" si="19"/>
        <v>100</v>
      </c>
      <c r="I80" s="36"/>
      <c r="J80" s="36"/>
      <c r="K80" s="36"/>
      <c r="L80" s="36"/>
      <c r="M80" s="37"/>
      <c r="N80" s="38"/>
      <c r="O80" s="39"/>
      <c r="P80" s="40"/>
      <c r="Q80" s="40"/>
      <c r="R80" s="40"/>
    </row>
    <row r="81">
      <c r="A81" s="22"/>
      <c r="B81" s="73"/>
      <c r="C81" s="58"/>
      <c r="D81" s="43"/>
      <c r="E81" s="43"/>
      <c r="F81" s="48"/>
      <c r="G81" s="44"/>
      <c r="H81" s="53"/>
      <c r="I81" s="47"/>
      <c r="J81" s="47"/>
      <c r="K81" s="47"/>
      <c r="L81" s="47"/>
      <c r="M81" s="48"/>
      <c r="N81" s="49"/>
      <c r="O81" s="50"/>
      <c r="P81" s="51"/>
      <c r="Q81" s="51"/>
      <c r="R81" s="51"/>
    </row>
    <row r="82">
      <c r="A82" s="29"/>
      <c r="B82" s="30"/>
      <c r="C82" s="62"/>
      <c r="D82" s="32"/>
      <c r="E82" s="32"/>
      <c r="F82" s="37"/>
      <c r="G82" s="33"/>
      <c r="H82" s="52"/>
      <c r="I82" s="36"/>
      <c r="J82" s="36"/>
      <c r="K82" s="36"/>
      <c r="L82" s="36"/>
      <c r="M82" s="37"/>
      <c r="N82" s="38"/>
      <c r="O82" s="39"/>
      <c r="P82" s="40"/>
      <c r="Q82" s="40"/>
      <c r="R82" s="40"/>
    </row>
    <row r="83">
      <c r="A83" s="85" t="s">
        <v>170</v>
      </c>
      <c r="B83" s="85"/>
      <c r="C83" s="85"/>
      <c r="D83" s="85"/>
      <c r="E83" s="85"/>
      <c r="F83" s="86"/>
      <c r="G83" s="86"/>
      <c r="H83" s="87"/>
      <c r="I83" s="85"/>
      <c r="J83" s="88"/>
      <c r="K83" s="85"/>
      <c r="L83" s="85"/>
      <c r="M83" s="85"/>
      <c r="N83" s="85"/>
      <c r="O83" s="85"/>
      <c r="P83" s="85"/>
      <c r="Q83" s="85"/>
      <c r="R83" s="85"/>
    </row>
    <row r="84">
      <c r="A84" s="85" t="s">
        <v>171</v>
      </c>
      <c r="B84" s="85"/>
      <c r="C84" s="85"/>
      <c r="D84" s="85"/>
      <c r="E84" s="85"/>
      <c r="F84" s="86"/>
      <c r="G84" s="86"/>
      <c r="H84" s="87"/>
      <c r="I84" s="85"/>
      <c r="J84" s="88"/>
      <c r="K84" s="85"/>
      <c r="L84" s="85"/>
      <c r="M84" s="85"/>
      <c r="N84" s="85"/>
      <c r="O84" s="85"/>
      <c r="P84" s="85"/>
      <c r="Q84" s="85"/>
      <c r="R84" s="85"/>
    </row>
    <row r="85" ht="201.0" customHeight="1">
      <c r="A85" s="22" t="s">
        <v>172</v>
      </c>
      <c r="B85" s="73" t="s">
        <v>173</v>
      </c>
      <c r="C85" s="42" t="s">
        <v>174</v>
      </c>
      <c r="D85" s="43" t="s">
        <v>175</v>
      </c>
      <c r="E85" s="43" t="s">
        <v>176</v>
      </c>
      <c r="F85" s="51">
        <v>40.0</v>
      </c>
      <c r="G85" s="44">
        <f t="shared" ref="G85:G86" si="20">AVERAGE(F85,H85)</f>
        <v>45</v>
      </c>
      <c r="H85" s="89">
        <v>50.0</v>
      </c>
      <c r="I85" s="47"/>
      <c r="J85" s="47"/>
      <c r="K85" s="47"/>
      <c r="L85" s="47"/>
      <c r="M85" s="48"/>
      <c r="N85" s="49"/>
      <c r="O85" s="50"/>
      <c r="P85" s="51"/>
      <c r="Q85" s="51"/>
      <c r="R85" s="51"/>
    </row>
    <row r="86" ht="221.25" customHeight="1">
      <c r="A86" s="29" t="s">
        <v>177</v>
      </c>
      <c r="B86" s="30" t="s">
        <v>178</v>
      </c>
      <c r="C86" s="31" t="s">
        <v>179</v>
      </c>
      <c r="D86" s="32" t="s">
        <v>180</v>
      </c>
      <c r="E86" s="32" t="s">
        <v>181</v>
      </c>
      <c r="F86" s="37">
        <v>35.0</v>
      </c>
      <c r="G86" s="33">
        <f t="shared" si="20"/>
        <v>40</v>
      </c>
      <c r="H86" s="52">
        <v>45.0</v>
      </c>
      <c r="I86" s="36"/>
      <c r="J86" s="36"/>
      <c r="K86" s="36"/>
      <c r="L86" s="36"/>
      <c r="M86" s="37"/>
      <c r="N86" s="38"/>
      <c r="O86" s="39"/>
      <c r="P86" s="40"/>
      <c r="Q86" s="40"/>
      <c r="R86" s="40"/>
    </row>
    <row r="87">
      <c r="A87" s="22"/>
      <c r="B87" s="22"/>
      <c r="C87" s="47"/>
      <c r="D87" s="47"/>
      <c r="E87" s="47"/>
      <c r="F87" s="59">
        <f>SUM(F86)</f>
        <v>35</v>
      </c>
      <c r="G87" s="65">
        <f>SUM(G85:G86)</f>
        <v>85</v>
      </c>
      <c r="H87" s="61">
        <f>SUM(H86)</f>
        <v>45</v>
      </c>
      <c r="I87" s="47"/>
      <c r="J87" s="47"/>
      <c r="K87" s="47"/>
      <c r="L87" s="47"/>
      <c r="M87" s="48"/>
      <c r="N87" s="49"/>
      <c r="O87" s="50"/>
      <c r="P87" s="51"/>
      <c r="Q87" s="51"/>
      <c r="R87" s="51"/>
    </row>
    <row r="88">
      <c r="A88" s="29"/>
      <c r="B88" s="29"/>
      <c r="C88" s="36"/>
      <c r="D88" s="36"/>
      <c r="E88" s="36"/>
      <c r="F88" s="37"/>
      <c r="G88" s="37"/>
      <c r="H88" s="52"/>
      <c r="I88" s="36"/>
      <c r="J88" s="36"/>
      <c r="K88" s="36"/>
      <c r="L88" s="36"/>
      <c r="M88" s="37"/>
      <c r="N88" s="38"/>
      <c r="O88" s="39"/>
      <c r="P88" s="40"/>
      <c r="Q88" s="40"/>
      <c r="R88" s="40"/>
    </row>
    <row r="89">
      <c r="A89" s="22"/>
      <c r="B89" s="22"/>
      <c r="C89" s="47"/>
      <c r="D89" s="47"/>
      <c r="E89" s="47"/>
      <c r="F89" s="48"/>
      <c r="G89" s="48"/>
      <c r="H89" s="53"/>
      <c r="I89" s="47"/>
      <c r="J89" s="47"/>
      <c r="K89" s="47"/>
      <c r="L89" s="47"/>
      <c r="M89" s="48"/>
      <c r="N89" s="49"/>
      <c r="O89" s="50"/>
      <c r="P89" s="51"/>
      <c r="Q89" s="51"/>
      <c r="R89" s="51"/>
    </row>
    <row r="90">
      <c r="A90" s="12" t="s">
        <v>182</v>
      </c>
      <c r="B90" s="12"/>
      <c r="C90" s="13"/>
      <c r="D90" s="13"/>
      <c r="E90" s="13"/>
      <c r="F90" s="14"/>
      <c r="G90" s="14"/>
      <c r="H90" s="15"/>
      <c r="I90" s="13"/>
      <c r="J90" s="13"/>
      <c r="K90" s="16"/>
      <c r="L90" s="16"/>
      <c r="M90" s="13"/>
      <c r="N90" s="17"/>
      <c r="O90" s="17"/>
      <c r="P90" s="17"/>
      <c r="Q90" s="17"/>
      <c r="R90" s="17"/>
    </row>
    <row r="91">
      <c r="A91" s="22" t="s">
        <v>183</v>
      </c>
      <c r="B91" s="90" t="s">
        <v>184</v>
      </c>
      <c r="C91" s="47"/>
      <c r="D91" s="47"/>
      <c r="E91" s="47"/>
      <c r="F91" s="91">
        <f t="shared" ref="F91:H91" si="21">F114*0.25</f>
        <v>283.5</v>
      </c>
      <c r="G91" s="91">
        <f t="shared" si="21"/>
        <v>389.75</v>
      </c>
      <c r="H91" s="92">
        <f t="shared" si="21"/>
        <v>473.5</v>
      </c>
      <c r="I91" s="47"/>
      <c r="J91" s="47"/>
      <c r="K91" s="47"/>
      <c r="L91" s="47"/>
      <c r="M91" s="48"/>
      <c r="N91" s="49"/>
      <c r="O91" s="50"/>
      <c r="P91" s="51"/>
      <c r="Q91" s="51"/>
      <c r="R91" s="51"/>
    </row>
    <row r="92">
      <c r="A92" s="29" t="s">
        <v>185</v>
      </c>
      <c r="B92" s="93" t="s">
        <v>186</v>
      </c>
      <c r="C92" s="36"/>
      <c r="D92" s="36"/>
      <c r="E92" s="36"/>
      <c r="F92" s="94"/>
      <c r="G92" s="94"/>
      <c r="H92" s="95"/>
      <c r="I92" s="36"/>
      <c r="J92" s="36"/>
      <c r="K92" s="36"/>
      <c r="L92" s="36"/>
      <c r="M92" s="37"/>
      <c r="N92" s="38"/>
      <c r="O92" s="39"/>
      <c r="P92" s="40"/>
      <c r="Q92" s="40"/>
      <c r="R92" s="40"/>
    </row>
    <row r="93">
      <c r="A93" s="22" t="s">
        <v>187</v>
      </c>
      <c r="B93" s="96" t="s">
        <v>188</v>
      </c>
      <c r="C93" s="47"/>
      <c r="D93" s="47"/>
      <c r="E93" s="47"/>
      <c r="F93" s="97"/>
      <c r="G93" s="97"/>
      <c r="H93" s="98"/>
      <c r="I93" s="47"/>
      <c r="J93" s="47"/>
      <c r="K93" s="47"/>
      <c r="L93" s="47"/>
      <c r="M93" s="48"/>
      <c r="N93" s="49"/>
      <c r="O93" s="50"/>
      <c r="P93" s="51"/>
      <c r="Q93" s="51"/>
      <c r="R93" s="51"/>
    </row>
    <row r="94">
      <c r="A94" s="29"/>
      <c r="B94" s="29"/>
      <c r="C94" s="36"/>
      <c r="D94" s="36"/>
      <c r="E94" s="36"/>
      <c r="F94" s="37"/>
      <c r="G94" s="37"/>
      <c r="H94" s="52"/>
      <c r="I94" s="36"/>
      <c r="J94" s="36"/>
      <c r="K94" s="36"/>
      <c r="L94" s="36"/>
      <c r="M94" s="37"/>
      <c r="N94" s="38"/>
      <c r="O94" s="39"/>
      <c r="P94" s="40"/>
      <c r="Q94" s="40"/>
      <c r="R94" s="40"/>
    </row>
    <row r="95">
      <c r="A95" s="22"/>
      <c r="B95" s="22"/>
      <c r="C95" s="47"/>
      <c r="D95" s="47"/>
      <c r="E95" s="47"/>
      <c r="F95" s="48"/>
      <c r="G95" s="48"/>
      <c r="H95" s="53"/>
      <c r="I95" s="47"/>
      <c r="J95" s="47"/>
      <c r="K95" s="47"/>
      <c r="L95" s="47"/>
      <c r="M95" s="48"/>
      <c r="N95" s="49"/>
      <c r="O95" s="50"/>
      <c r="P95" s="51"/>
      <c r="Q95" s="51"/>
      <c r="R95" s="51"/>
    </row>
    <row r="96">
      <c r="A96" s="29"/>
      <c r="B96" s="29"/>
      <c r="C96" s="36"/>
      <c r="D96" s="36"/>
      <c r="E96" s="36"/>
      <c r="F96" s="37"/>
      <c r="G96" s="37"/>
      <c r="H96" s="52"/>
      <c r="I96" s="36"/>
      <c r="J96" s="36"/>
      <c r="K96" s="36"/>
      <c r="L96" s="36"/>
      <c r="M96" s="37"/>
      <c r="N96" s="38"/>
      <c r="O96" s="39"/>
      <c r="P96" s="40"/>
      <c r="Q96" s="40"/>
      <c r="R96" s="40"/>
    </row>
    <row r="97">
      <c r="A97" s="12" t="s">
        <v>189</v>
      </c>
      <c r="B97" s="12"/>
      <c r="C97" s="13"/>
      <c r="D97" s="13"/>
      <c r="E97" s="13"/>
      <c r="F97" s="14"/>
      <c r="G97" s="14"/>
      <c r="H97" s="15"/>
      <c r="I97" s="13"/>
      <c r="J97" s="13"/>
      <c r="K97" s="16"/>
      <c r="L97" s="16"/>
      <c r="M97" s="13"/>
      <c r="N97" s="17"/>
      <c r="O97" s="17"/>
      <c r="P97" s="17"/>
      <c r="Q97" s="17"/>
      <c r="R97" s="17"/>
    </row>
    <row r="98" ht="135.75" customHeight="1">
      <c r="A98" s="29" t="s">
        <v>190</v>
      </c>
      <c r="B98" s="29" t="s">
        <v>191</v>
      </c>
      <c r="C98" s="36" t="s">
        <v>192</v>
      </c>
      <c r="D98" s="36" t="s">
        <v>193</v>
      </c>
      <c r="E98" s="36" t="s">
        <v>194</v>
      </c>
      <c r="F98" s="37">
        <v>440.0</v>
      </c>
      <c r="G98" s="57">
        <f t="shared" ref="G98:G100" si="22">AVERAGE(F98:H98)</f>
        <v>672.5</v>
      </c>
      <c r="H98" s="52">
        <v>905.0</v>
      </c>
      <c r="I98" s="36"/>
      <c r="J98" s="36"/>
      <c r="K98" s="36"/>
      <c r="L98" s="36"/>
      <c r="M98" s="37"/>
      <c r="N98" s="38"/>
      <c r="O98" s="39"/>
      <c r="P98" s="40"/>
      <c r="Q98" s="40"/>
      <c r="R98" s="40"/>
    </row>
    <row r="99" ht="210.0" customHeight="1">
      <c r="A99" s="22" t="s">
        <v>195</v>
      </c>
      <c r="B99" s="22" t="s">
        <v>196</v>
      </c>
      <c r="C99" s="47" t="s">
        <v>197</v>
      </c>
      <c r="D99" s="47" t="s">
        <v>198</v>
      </c>
      <c r="E99" s="47" t="s">
        <v>199</v>
      </c>
      <c r="F99" s="48">
        <v>90.0</v>
      </c>
      <c r="G99" s="55">
        <f t="shared" si="22"/>
        <v>105</v>
      </c>
      <c r="H99" s="53">
        <v>120.0</v>
      </c>
      <c r="I99" s="47"/>
      <c r="J99" s="47"/>
      <c r="K99" s="47"/>
      <c r="L99" s="47"/>
      <c r="M99" s="48"/>
      <c r="N99" s="49"/>
      <c r="O99" s="50"/>
      <c r="P99" s="51"/>
      <c r="Q99" s="51"/>
      <c r="R99" s="51"/>
    </row>
    <row r="100" ht="161.25" customHeight="1">
      <c r="A100" s="29" t="s">
        <v>200</v>
      </c>
      <c r="B100" s="29" t="s">
        <v>201</v>
      </c>
      <c r="C100" s="36" t="s">
        <v>202</v>
      </c>
      <c r="D100" s="36" t="s">
        <v>203</v>
      </c>
      <c r="E100" s="36" t="s">
        <v>204</v>
      </c>
      <c r="F100" s="37">
        <v>20.0</v>
      </c>
      <c r="G100" s="57">
        <f t="shared" si="22"/>
        <v>30</v>
      </c>
      <c r="H100" s="52">
        <v>40.0</v>
      </c>
      <c r="I100" s="36"/>
      <c r="J100" s="36"/>
      <c r="K100" s="36"/>
      <c r="L100" s="36"/>
      <c r="M100" s="37"/>
      <c r="N100" s="38"/>
      <c r="O100" s="39"/>
      <c r="P100" s="40"/>
      <c r="Q100" s="40"/>
      <c r="R100" s="40"/>
    </row>
    <row r="101">
      <c r="A101" s="22"/>
      <c r="B101" s="22"/>
      <c r="C101" s="47"/>
      <c r="D101" s="47"/>
      <c r="E101" s="47"/>
      <c r="F101" s="59">
        <f t="shared" ref="F101:H101" si="23">SUM(F98:F100)</f>
        <v>550</v>
      </c>
      <c r="G101" s="64">
        <f t="shared" si="23"/>
        <v>807.5</v>
      </c>
      <c r="H101" s="61">
        <f t="shared" si="23"/>
        <v>1065</v>
      </c>
      <c r="I101" s="47"/>
      <c r="J101" s="47"/>
      <c r="K101" s="47"/>
      <c r="L101" s="47"/>
      <c r="M101" s="48"/>
      <c r="N101" s="49"/>
      <c r="O101" s="50"/>
      <c r="P101" s="51"/>
      <c r="Q101" s="51"/>
      <c r="R101" s="51"/>
    </row>
    <row r="102">
      <c r="A102" s="29"/>
      <c r="B102" s="29"/>
      <c r="C102" s="36"/>
      <c r="D102" s="36"/>
      <c r="E102" s="36"/>
      <c r="F102" s="37"/>
      <c r="G102" s="37"/>
      <c r="H102" s="52"/>
      <c r="I102" s="36"/>
      <c r="J102" s="36"/>
      <c r="K102" s="36"/>
      <c r="L102" s="36"/>
      <c r="M102" s="37"/>
      <c r="N102" s="38"/>
      <c r="O102" s="39"/>
      <c r="P102" s="40"/>
      <c r="Q102" s="40"/>
      <c r="R102" s="40"/>
    </row>
    <row r="103">
      <c r="A103" s="22"/>
      <c r="B103" s="22"/>
      <c r="C103" s="47"/>
      <c r="D103" s="47"/>
      <c r="E103" s="47"/>
      <c r="F103" s="48"/>
      <c r="G103" s="48"/>
      <c r="H103" s="53"/>
      <c r="I103" s="47"/>
      <c r="J103" s="47"/>
      <c r="K103" s="47"/>
      <c r="L103" s="47"/>
      <c r="M103" s="48"/>
      <c r="N103" s="49"/>
      <c r="O103" s="50"/>
      <c r="P103" s="51"/>
      <c r="Q103" s="51"/>
      <c r="R103" s="51"/>
    </row>
    <row r="104">
      <c r="A104" s="12" t="s">
        <v>205</v>
      </c>
      <c r="B104" s="12"/>
      <c r="C104" s="13"/>
      <c r="D104" s="13"/>
      <c r="E104" s="13"/>
      <c r="F104" s="14"/>
      <c r="G104" s="14"/>
      <c r="H104" s="15"/>
      <c r="I104" s="13"/>
      <c r="J104" s="13"/>
      <c r="K104" s="16"/>
      <c r="L104" s="16"/>
      <c r="M104" s="13"/>
      <c r="N104" s="17"/>
      <c r="O104" s="17"/>
      <c r="P104" s="17"/>
      <c r="Q104" s="17"/>
      <c r="R104" s="17"/>
    </row>
    <row r="105">
      <c r="A105" s="22" t="s">
        <v>206</v>
      </c>
      <c r="B105" s="22" t="s">
        <v>207</v>
      </c>
      <c r="C105" s="42" t="s">
        <v>208</v>
      </c>
      <c r="D105" s="47" t="s">
        <v>209</v>
      </c>
      <c r="E105" s="47" t="s">
        <v>210</v>
      </c>
      <c r="F105" s="48">
        <v>30.0</v>
      </c>
      <c r="G105" s="55">
        <f t="shared" ref="G105:G106" si="24">AVERAGE(F105:H105)</f>
        <v>35</v>
      </c>
      <c r="H105" s="53">
        <v>40.0</v>
      </c>
      <c r="I105" s="47"/>
      <c r="J105" s="47"/>
      <c r="K105" s="47"/>
      <c r="L105" s="47"/>
      <c r="M105" s="48"/>
      <c r="N105" s="49"/>
      <c r="O105" s="50"/>
      <c r="P105" s="51"/>
      <c r="Q105" s="51"/>
      <c r="R105" s="51"/>
    </row>
    <row r="106">
      <c r="A106" s="29" t="s">
        <v>211</v>
      </c>
      <c r="B106" s="29" t="s">
        <v>212</v>
      </c>
      <c r="C106" s="36" t="s">
        <v>213</v>
      </c>
      <c r="D106" s="36" t="s">
        <v>214</v>
      </c>
      <c r="E106" s="36" t="s">
        <v>215</v>
      </c>
      <c r="F106" s="37">
        <v>20.0</v>
      </c>
      <c r="G106" s="57">
        <f t="shared" si="24"/>
        <v>25</v>
      </c>
      <c r="H106" s="52">
        <v>30.0</v>
      </c>
      <c r="I106" s="36"/>
      <c r="J106" s="36"/>
      <c r="K106" s="36"/>
      <c r="L106" s="36"/>
      <c r="M106" s="37"/>
      <c r="N106" s="38"/>
      <c r="O106" s="39"/>
      <c r="P106" s="40"/>
      <c r="Q106" s="40"/>
      <c r="R106" s="40"/>
    </row>
    <row r="107">
      <c r="A107" s="22"/>
      <c r="B107" s="22"/>
      <c r="C107" s="47"/>
      <c r="D107" s="47"/>
      <c r="E107" s="47"/>
      <c r="F107" s="59">
        <f t="shared" ref="F107:H107" si="25">SUM(F105:F106)</f>
        <v>50</v>
      </c>
      <c r="G107" s="64">
        <f t="shared" si="25"/>
        <v>60</v>
      </c>
      <c r="H107" s="61">
        <f t="shared" si="25"/>
        <v>70</v>
      </c>
      <c r="I107" s="47"/>
      <c r="J107" s="47"/>
      <c r="K107" s="47"/>
      <c r="L107" s="47"/>
      <c r="M107" s="48"/>
      <c r="N107" s="49"/>
      <c r="O107" s="50"/>
      <c r="P107" s="51"/>
      <c r="Q107" s="51"/>
      <c r="R107" s="51"/>
    </row>
    <row r="108">
      <c r="A108" s="29"/>
      <c r="B108" s="29"/>
      <c r="C108" s="36"/>
      <c r="D108" s="36"/>
      <c r="E108" s="36"/>
      <c r="F108" s="37"/>
      <c r="G108" s="37"/>
      <c r="H108" s="52"/>
      <c r="I108" s="36"/>
      <c r="J108" s="36"/>
      <c r="K108" s="36"/>
      <c r="L108" s="36"/>
      <c r="M108" s="37"/>
      <c r="N108" s="38"/>
      <c r="O108" s="39"/>
      <c r="P108" s="40"/>
      <c r="Q108" s="40"/>
      <c r="R108" s="40"/>
    </row>
    <row r="109">
      <c r="A109" s="22"/>
      <c r="B109" s="22"/>
      <c r="C109" s="47"/>
      <c r="D109" s="47"/>
      <c r="E109" s="47"/>
      <c r="F109" s="48"/>
      <c r="G109" s="48"/>
      <c r="H109" s="53"/>
      <c r="I109" s="47"/>
      <c r="J109" s="47"/>
      <c r="K109" s="47"/>
      <c r="L109" s="47"/>
      <c r="M109" s="48"/>
      <c r="N109" s="49"/>
      <c r="O109" s="50"/>
      <c r="P109" s="51"/>
      <c r="Q109" s="51"/>
      <c r="R109" s="51"/>
    </row>
    <row r="110">
      <c r="A110" s="12" t="s">
        <v>216</v>
      </c>
      <c r="B110" s="12"/>
      <c r="C110" s="13"/>
      <c r="D110" s="13"/>
      <c r="E110" s="13"/>
      <c r="F110" s="14"/>
      <c r="G110" s="14"/>
      <c r="H110" s="15"/>
      <c r="I110" s="13"/>
      <c r="J110" s="13"/>
      <c r="K110" s="16"/>
      <c r="L110" s="16"/>
      <c r="M110" s="13"/>
      <c r="N110" s="17"/>
      <c r="O110" s="17"/>
      <c r="P110" s="17"/>
      <c r="Q110" s="17"/>
      <c r="R110" s="17"/>
    </row>
    <row r="111">
      <c r="A111" s="22" t="s">
        <v>217</v>
      </c>
      <c r="B111" s="22" t="s">
        <v>218</v>
      </c>
      <c r="C111" s="47" t="s">
        <v>219</v>
      </c>
      <c r="D111" s="47" t="s">
        <v>220</v>
      </c>
      <c r="E111" s="47" t="s">
        <v>221</v>
      </c>
      <c r="F111" s="48">
        <v>40.0</v>
      </c>
      <c r="G111" s="55">
        <f>AVERAGE(F111:H111)</f>
        <v>45</v>
      </c>
      <c r="H111" s="53">
        <v>50.0</v>
      </c>
      <c r="I111" s="47"/>
      <c r="J111" s="47"/>
      <c r="K111" s="47"/>
      <c r="L111" s="47"/>
      <c r="M111" s="48"/>
      <c r="N111" s="49"/>
      <c r="O111" s="50"/>
      <c r="P111" s="51"/>
      <c r="Q111" s="51"/>
      <c r="R111" s="51"/>
    </row>
    <row r="112">
      <c r="A112" s="29"/>
      <c r="B112" s="29"/>
      <c r="C112" s="36"/>
      <c r="D112" s="36"/>
      <c r="E112" s="36"/>
      <c r="F112" s="59">
        <f t="shared" ref="F112:H112" si="26">SUM(F110:F111)</f>
        <v>40</v>
      </c>
      <c r="G112" s="65">
        <f t="shared" si="26"/>
        <v>45</v>
      </c>
      <c r="H112" s="61">
        <f t="shared" si="26"/>
        <v>50</v>
      </c>
      <c r="I112" s="36"/>
      <c r="J112" s="36"/>
      <c r="K112" s="36"/>
      <c r="L112" s="36"/>
      <c r="M112" s="37"/>
      <c r="N112" s="38"/>
      <c r="O112" s="39"/>
      <c r="P112" s="40"/>
      <c r="Q112" s="40"/>
      <c r="R112" s="40"/>
    </row>
    <row r="113">
      <c r="A113" s="22"/>
      <c r="B113" s="22"/>
      <c r="C113" s="47"/>
      <c r="D113" s="47"/>
      <c r="E113" s="47"/>
      <c r="F113" s="48"/>
      <c r="G113" s="48"/>
      <c r="H113" s="53"/>
      <c r="I113" s="47"/>
      <c r="J113" s="47"/>
      <c r="K113" s="47"/>
      <c r="L113" s="47"/>
      <c r="M113" s="48"/>
      <c r="N113" s="49"/>
      <c r="O113" s="50"/>
      <c r="P113" s="51"/>
      <c r="Q113" s="51"/>
      <c r="R113" s="51"/>
    </row>
    <row r="114" hidden="1">
      <c r="A114" s="29"/>
      <c r="B114" s="29"/>
      <c r="C114" s="36"/>
      <c r="D114" s="36"/>
      <c r="E114" s="99" t="s">
        <v>222</v>
      </c>
      <c r="F114" s="59">
        <f t="shared" ref="F114:H114" si="27">SUM(F112,F107,F101,F87,F80,F75,F68,F61,F54,F48,F42,F35,F30,F24,F17)</f>
        <v>1134</v>
      </c>
      <c r="G114" s="64">
        <f t="shared" si="27"/>
        <v>1559</v>
      </c>
      <c r="H114" s="61">
        <f t="shared" si="27"/>
        <v>1894</v>
      </c>
      <c r="I114" s="36"/>
      <c r="J114" s="36"/>
      <c r="K114" s="36"/>
      <c r="L114" s="36"/>
      <c r="M114" s="37"/>
      <c r="N114" s="38"/>
      <c r="O114" s="39"/>
      <c r="P114" s="40"/>
      <c r="Q114" s="40"/>
      <c r="R114" s="40"/>
    </row>
    <row r="115">
      <c r="A115" s="22"/>
      <c r="B115" s="22"/>
      <c r="C115" s="47"/>
      <c r="D115" s="47"/>
      <c r="E115" s="100" t="s">
        <v>223</v>
      </c>
      <c r="F115" s="101">
        <f t="shared" ref="F115:H115" si="28">F114+F91</f>
        <v>1417.5</v>
      </c>
      <c r="G115" s="64">
        <f t="shared" si="28"/>
        <v>1948.75</v>
      </c>
      <c r="H115" s="102">
        <f t="shared" si="28"/>
        <v>2367.5</v>
      </c>
      <c r="I115" s="47"/>
      <c r="J115" s="47"/>
      <c r="K115" s="47"/>
      <c r="L115" s="47"/>
      <c r="M115" s="48"/>
      <c r="N115" s="49"/>
      <c r="O115" s="50"/>
      <c r="P115" s="51"/>
      <c r="Q115" s="51"/>
      <c r="R115" s="51"/>
    </row>
    <row r="116">
      <c r="A116" s="103"/>
      <c r="B116" s="103"/>
      <c r="C116" s="104"/>
      <c r="D116" s="104"/>
      <c r="E116" s="104"/>
      <c r="F116" s="105"/>
      <c r="G116" s="105"/>
      <c r="H116" s="106"/>
      <c r="I116" s="104"/>
      <c r="J116" s="104"/>
      <c r="K116" s="104"/>
      <c r="L116" s="104"/>
      <c r="M116" s="105"/>
      <c r="N116" s="107"/>
      <c r="O116" s="108"/>
      <c r="P116" s="109"/>
      <c r="Q116" s="109"/>
      <c r="R116" s="109"/>
    </row>
  </sheetData>
  <mergeCells count="9">
    <mergeCell ref="G91:G93"/>
    <mergeCell ref="H91:H93"/>
    <mergeCell ref="C1:D1"/>
    <mergeCell ref="B15:B16"/>
    <mergeCell ref="B28:B29"/>
    <mergeCell ref="B40:B41"/>
    <mergeCell ref="B52:B53"/>
    <mergeCell ref="B72:B73"/>
    <mergeCell ref="F91:F93"/>
  </mergeCells>
  <dataValidations>
    <dataValidation type="list" allowBlank="1" showErrorMessage="1" sqref="L21:L22 L34 L39:L41 L87:L89 L91:L96 L98:L103 L105:L109 L111:L116">
      <formula1>"Apt8,AuthBrands "</formula1>
    </dataValidation>
    <dataValidation type="list" allowBlank="1" showErrorMessage="1" sqref="J8:J19 J21:J23 J28:J29 J33:J34 J36 J42:J43 J48 J52:J53 J59:J60 J66:J67 L73 N73 P73 J72:J74 J85:J89 J91:J96 J98:J103 J105:J109 J111:J116">
      <formula1>"High ,Low ,Med "</formula1>
    </dataValidation>
    <dataValidation type="list" allowBlank="1" showErrorMessage="1" sqref="I8:I19 I21:I23 I28:I29 I33:I34 I36 I43 I48 I52 I59 I66 I72 I86:I89 I91:I96 I98:I103 I105:I109 I111:I116">
      <formula1>"Sales,Service,Marketing,Operations,Accounting"</formula1>
    </dataValidation>
    <dataValidation type="list" allowBlank="1" showErrorMessage="1" sqref="O21:O22 O34 O39:O41 O87:O89 O91:O96 O98:O103 O105:O109 O111:O116">
      <formula1>"NOW,NEXT,LATER"</formula1>
    </dataValidation>
    <dataValidation type="list" allowBlank="1" showErrorMessage="1" sqref="I42 I53 I60 I67 K73 M73 O73 Q73 I73:I74 I85">
      <formula1>"Marketing,Sales,On-boarding,Service,Admin,Technology"</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38"/>
    <col customWidth="1" min="2" max="2" width="44.38"/>
    <col customWidth="1" min="3" max="3" width="65.38"/>
    <col customWidth="1" min="4" max="4" width="49.38"/>
    <col customWidth="1" min="5" max="5" width="52.5"/>
    <col customWidth="1" min="6" max="6" width="14.25"/>
    <col customWidth="1" min="7" max="7" width="16.25"/>
    <col customWidth="1" min="8" max="8" width="14.25"/>
    <col customWidth="1" hidden="1" min="9" max="10" width="23.38"/>
    <col customWidth="1" hidden="1" min="11" max="11" width="39.38"/>
    <col customWidth="1" hidden="1" min="12" max="12" width="30.25"/>
    <col customWidth="1" hidden="1" min="13" max="13" width="29.5"/>
    <col customWidth="1" hidden="1" min="14" max="14" width="16.25"/>
    <col customWidth="1" hidden="1" min="15" max="15" width="17.75"/>
    <col customWidth="1" hidden="1" min="16" max="18" width="42.38"/>
    <col hidden="1" min="19" max="26" width="12.63"/>
  </cols>
  <sheetData>
    <row r="1" ht="50.25" customHeight="1">
      <c r="A1" s="1"/>
      <c r="B1" s="1"/>
      <c r="C1" s="2" t="s">
        <v>0</v>
      </c>
      <c r="E1" s="2"/>
      <c r="F1" s="3"/>
      <c r="G1" s="3"/>
      <c r="H1" s="4"/>
      <c r="I1" s="2"/>
      <c r="J1" s="2"/>
      <c r="K1" s="2"/>
      <c r="L1" s="2"/>
      <c r="M1" s="5"/>
      <c r="N1" s="6"/>
      <c r="O1" s="6"/>
      <c r="P1" s="6"/>
      <c r="Q1" s="6"/>
      <c r="R1" s="6"/>
    </row>
    <row r="2" ht="15.75" customHeight="1">
      <c r="A2" s="7"/>
      <c r="B2" s="7"/>
      <c r="C2" s="8"/>
      <c r="D2" s="5"/>
      <c r="E2" s="5"/>
      <c r="F2" s="9"/>
      <c r="G2" s="9"/>
      <c r="H2" s="10"/>
      <c r="I2" s="1"/>
      <c r="J2" s="1"/>
      <c r="K2" s="11"/>
      <c r="L2" s="11"/>
      <c r="M2" s="5"/>
      <c r="N2" s="6"/>
      <c r="O2" s="6"/>
      <c r="P2" s="6"/>
      <c r="Q2" s="6"/>
      <c r="R2" s="6"/>
    </row>
    <row r="3" ht="11.25" customHeight="1">
      <c r="A3" s="12"/>
      <c r="B3" s="12"/>
      <c r="C3" s="13"/>
      <c r="D3" s="13"/>
      <c r="E3" s="13"/>
      <c r="F3" s="14"/>
      <c r="G3" s="14"/>
      <c r="H3" s="15"/>
      <c r="I3" s="13"/>
      <c r="J3" s="13"/>
      <c r="K3" s="16"/>
      <c r="L3" s="16"/>
      <c r="M3" s="13"/>
      <c r="N3" s="17"/>
      <c r="O3" s="17"/>
      <c r="P3" s="17"/>
      <c r="Q3" s="17"/>
      <c r="R3" s="17"/>
    </row>
    <row r="4" ht="44.25" customHeight="1">
      <c r="A4" s="18" t="s">
        <v>1</v>
      </c>
      <c r="B4" s="18" t="s">
        <v>2</v>
      </c>
      <c r="C4" s="18" t="s">
        <v>3</v>
      </c>
      <c r="D4" s="18" t="s">
        <v>4</v>
      </c>
      <c r="E4" s="18" t="s">
        <v>5</v>
      </c>
      <c r="F4" s="19" t="s">
        <v>6</v>
      </c>
      <c r="G4" s="20" t="s">
        <v>7</v>
      </c>
      <c r="H4" s="21" t="s">
        <v>8</v>
      </c>
      <c r="I4" s="18" t="s">
        <v>9</v>
      </c>
      <c r="J4" s="18" t="s">
        <v>10</v>
      </c>
      <c r="K4" s="18" t="s">
        <v>11</v>
      </c>
      <c r="L4" s="18" t="s">
        <v>12</v>
      </c>
      <c r="M4" s="18" t="s">
        <v>5</v>
      </c>
      <c r="N4" s="18" t="s">
        <v>13</v>
      </c>
      <c r="O4" s="18" t="s">
        <v>14</v>
      </c>
      <c r="P4" s="18" t="s">
        <v>15</v>
      </c>
      <c r="Q4" s="18"/>
      <c r="R4" s="18"/>
    </row>
    <row r="5">
      <c r="A5" s="22"/>
      <c r="B5" s="22"/>
      <c r="C5" s="22"/>
      <c r="D5" s="23"/>
      <c r="E5" s="23"/>
      <c r="F5" s="24"/>
      <c r="G5" s="24"/>
      <c r="H5" s="25"/>
      <c r="I5" s="22"/>
      <c r="J5" s="22"/>
      <c r="K5" s="22"/>
      <c r="L5" s="22"/>
      <c r="M5" s="22"/>
      <c r="N5" s="22"/>
      <c r="O5" s="22"/>
      <c r="P5" s="22"/>
      <c r="Q5" s="22"/>
      <c r="R5" s="22"/>
    </row>
    <row r="6">
      <c r="A6" s="26" t="s">
        <v>16</v>
      </c>
      <c r="B6" s="26"/>
      <c r="C6" s="26"/>
      <c r="D6" s="26"/>
      <c r="E6" s="26"/>
      <c r="F6" s="27"/>
      <c r="G6" s="27"/>
      <c r="H6" s="28"/>
      <c r="I6" s="26"/>
      <c r="J6" s="26"/>
      <c r="K6" s="26"/>
      <c r="L6" s="26"/>
      <c r="M6" s="26"/>
      <c r="N6" s="26"/>
      <c r="O6" s="26"/>
      <c r="P6" s="26"/>
      <c r="Q6" s="26"/>
      <c r="R6" s="26"/>
    </row>
    <row r="7">
      <c r="A7" s="26" t="s">
        <v>17</v>
      </c>
      <c r="B7" s="26"/>
      <c r="C7" s="26"/>
      <c r="D7" s="26"/>
      <c r="E7" s="26"/>
      <c r="F7" s="27"/>
      <c r="G7" s="27"/>
      <c r="H7" s="28"/>
      <c r="I7" s="26"/>
      <c r="J7" s="26"/>
      <c r="K7" s="26"/>
      <c r="L7" s="26"/>
      <c r="M7" s="26"/>
      <c r="N7" s="26"/>
      <c r="O7" s="26"/>
      <c r="P7" s="26"/>
      <c r="Q7" s="26"/>
      <c r="R7" s="26"/>
    </row>
    <row r="8" ht="158.25" customHeight="1">
      <c r="A8" s="29" t="s">
        <v>224</v>
      </c>
      <c r="B8" s="30" t="s">
        <v>225</v>
      </c>
      <c r="C8" s="31" t="s">
        <v>226</v>
      </c>
      <c r="D8" s="32" t="s">
        <v>227</v>
      </c>
      <c r="E8" s="32" t="s">
        <v>228</v>
      </c>
      <c r="F8" s="37">
        <v>4.0</v>
      </c>
      <c r="G8" s="34">
        <f t="shared" ref="G8:G12" si="1">AVERAGE(F8:H8)</f>
        <v>4.999999684</v>
      </c>
      <c r="H8" s="52">
        <v>6.0</v>
      </c>
      <c r="I8" s="36"/>
      <c r="J8" s="36"/>
      <c r="K8" s="36"/>
      <c r="L8" s="36"/>
      <c r="M8" s="37"/>
      <c r="N8" s="38"/>
      <c r="O8" s="39"/>
      <c r="P8" s="40"/>
      <c r="Q8" s="40"/>
      <c r="R8" s="40"/>
    </row>
    <row r="9" ht="176.25" customHeight="1">
      <c r="A9" s="22" t="s">
        <v>229</v>
      </c>
      <c r="B9" s="22" t="s">
        <v>230</v>
      </c>
      <c r="C9" s="42" t="s">
        <v>231</v>
      </c>
      <c r="D9" s="47" t="s">
        <v>232</v>
      </c>
      <c r="E9" s="47" t="s">
        <v>233</v>
      </c>
      <c r="F9" s="48">
        <v>30.0</v>
      </c>
      <c r="G9" s="110">
        <f t="shared" si="1"/>
        <v>37.5</v>
      </c>
      <c r="H9" s="53">
        <v>45.0</v>
      </c>
      <c r="I9" s="47"/>
      <c r="J9" s="47"/>
      <c r="K9" s="47"/>
      <c r="L9" s="47"/>
      <c r="M9" s="48"/>
      <c r="N9" s="49"/>
      <c r="O9" s="50"/>
      <c r="P9" s="51"/>
      <c r="Q9" s="51"/>
      <c r="R9" s="51"/>
    </row>
    <row r="10" ht="174.75" customHeight="1">
      <c r="A10" s="29" t="s">
        <v>234</v>
      </c>
      <c r="C10" s="31" t="s">
        <v>235</v>
      </c>
      <c r="D10" s="36" t="s">
        <v>236</v>
      </c>
      <c r="E10" s="36" t="s">
        <v>237</v>
      </c>
      <c r="F10" s="37">
        <v>4.0</v>
      </c>
      <c r="G10" s="54">
        <f t="shared" si="1"/>
        <v>4.5</v>
      </c>
      <c r="H10" s="52">
        <v>5.0</v>
      </c>
      <c r="I10" s="36"/>
      <c r="J10" s="36"/>
      <c r="K10" s="36"/>
      <c r="L10" s="36"/>
      <c r="M10" s="37"/>
      <c r="N10" s="38"/>
      <c r="O10" s="39"/>
      <c r="P10" s="40"/>
      <c r="Q10" s="40"/>
      <c r="R10" s="40"/>
    </row>
    <row r="11" ht="159.0" customHeight="1">
      <c r="A11" s="22" t="s">
        <v>238</v>
      </c>
      <c r="B11" s="22" t="s">
        <v>239</v>
      </c>
      <c r="C11" s="42" t="s">
        <v>240</v>
      </c>
      <c r="D11" s="47" t="s">
        <v>241</v>
      </c>
      <c r="E11" s="47" t="s">
        <v>242</v>
      </c>
      <c r="F11" s="48">
        <v>8.0</v>
      </c>
      <c r="G11" s="55">
        <f t="shared" si="1"/>
        <v>10</v>
      </c>
      <c r="H11" s="53">
        <v>12.0</v>
      </c>
      <c r="I11" s="47"/>
      <c r="J11" s="47"/>
      <c r="K11" s="47"/>
      <c r="L11" s="47"/>
      <c r="M11" s="48"/>
      <c r="N11" s="49"/>
      <c r="O11" s="50"/>
      <c r="P11" s="51"/>
      <c r="Q11" s="51"/>
      <c r="R11" s="51"/>
    </row>
    <row r="12" ht="133.5" customHeight="1">
      <c r="A12" s="29" t="s">
        <v>243</v>
      </c>
      <c r="B12" s="29" t="s">
        <v>244</v>
      </c>
      <c r="C12" s="31" t="s">
        <v>245</v>
      </c>
      <c r="D12" s="36" t="s">
        <v>246</v>
      </c>
      <c r="E12" s="36" t="s">
        <v>247</v>
      </c>
      <c r="F12" s="37">
        <v>12.0</v>
      </c>
      <c r="G12" s="57">
        <f t="shared" si="1"/>
        <v>15</v>
      </c>
      <c r="H12" s="52">
        <v>18.0</v>
      </c>
      <c r="I12" s="36"/>
      <c r="J12" s="36"/>
      <c r="K12" s="36"/>
      <c r="L12" s="36"/>
      <c r="M12" s="37"/>
      <c r="N12" s="38"/>
      <c r="O12" s="39"/>
      <c r="P12" s="40"/>
      <c r="Q12" s="40"/>
      <c r="R12" s="40"/>
    </row>
    <row r="13">
      <c r="A13" s="22"/>
      <c r="B13" s="22"/>
      <c r="C13" s="58"/>
      <c r="D13" s="47"/>
      <c r="E13" s="47"/>
      <c r="F13" s="59">
        <f t="shared" ref="F13:H13" si="2">SUM(F8:F12)</f>
        <v>58</v>
      </c>
      <c r="G13" s="60">
        <f t="shared" si="2"/>
        <v>71.99999905</v>
      </c>
      <c r="H13" s="61">
        <f t="shared" si="2"/>
        <v>86</v>
      </c>
      <c r="I13" s="47"/>
      <c r="J13" s="47"/>
      <c r="K13" s="47"/>
      <c r="L13" s="47"/>
      <c r="M13" s="48"/>
      <c r="N13" s="49"/>
      <c r="O13" s="50"/>
      <c r="P13" s="51"/>
      <c r="Q13" s="51"/>
      <c r="R13" s="51"/>
    </row>
    <row r="14">
      <c r="A14" s="29"/>
      <c r="B14" s="29"/>
      <c r="C14" s="62"/>
      <c r="D14" s="36"/>
      <c r="E14" s="36"/>
      <c r="F14" s="37"/>
      <c r="G14" s="37"/>
      <c r="H14" s="52"/>
      <c r="I14" s="36"/>
      <c r="J14" s="36"/>
      <c r="K14" s="36"/>
      <c r="L14" s="36"/>
      <c r="M14" s="37"/>
      <c r="N14" s="38"/>
      <c r="O14" s="39"/>
      <c r="P14" s="40"/>
      <c r="Q14" s="40"/>
      <c r="R14" s="40"/>
    </row>
    <row r="15">
      <c r="A15" s="22"/>
      <c r="B15" s="22"/>
      <c r="C15" s="58"/>
      <c r="D15" s="47"/>
      <c r="E15" s="47"/>
      <c r="F15" s="48"/>
      <c r="G15" s="48"/>
      <c r="H15" s="53"/>
      <c r="I15" s="47"/>
      <c r="J15" s="47"/>
      <c r="K15" s="47"/>
      <c r="L15" s="47"/>
      <c r="M15" s="48"/>
      <c r="N15" s="49"/>
      <c r="O15" s="50"/>
      <c r="P15" s="51"/>
      <c r="Q15" s="51"/>
      <c r="R15" s="51"/>
    </row>
    <row r="16">
      <c r="A16" s="26" t="s">
        <v>62</v>
      </c>
      <c r="B16" s="26"/>
      <c r="C16" s="26"/>
      <c r="D16" s="26"/>
      <c r="E16" s="26"/>
      <c r="F16" s="27"/>
      <c r="G16" s="27"/>
      <c r="H16" s="28"/>
      <c r="I16" s="26"/>
      <c r="J16" s="26"/>
      <c r="K16" s="26"/>
      <c r="L16" s="26"/>
      <c r="M16" s="26"/>
      <c r="N16" s="26"/>
      <c r="O16" s="26"/>
      <c r="P16" s="26"/>
      <c r="Q16" s="26"/>
      <c r="R16" s="26"/>
    </row>
    <row r="17" ht="128.25" customHeight="1">
      <c r="A17" s="22" t="s">
        <v>248</v>
      </c>
      <c r="B17" s="22" t="s">
        <v>249</v>
      </c>
      <c r="C17" s="42" t="s">
        <v>250</v>
      </c>
      <c r="D17" s="47" t="s">
        <v>251</v>
      </c>
      <c r="E17" s="47" t="s">
        <v>252</v>
      </c>
      <c r="F17" s="48">
        <v>10.0</v>
      </c>
      <c r="G17" s="63">
        <f t="shared" ref="G17:G18" si="3">AVERAGE(F17:H17)</f>
        <v>12.5</v>
      </c>
      <c r="H17" s="53">
        <v>15.0</v>
      </c>
      <c r="I17" s="47"/>
      <c r="J17" s="47"/>
      <c r="K17" s="47"/>
      <c r="L17" s="47"/>
      <c r="M17" s="48"/>
      <c r="N17" s="49"/>
      <c r="O17" s="50"/>
      <c r="P17" s="51"/>
      <c r="Q17" s="51"/>
      <c r="R17" s="51"/>
    </row>
    <row r="18" ht="144.75" customHeight="1">
      <c r="A18" s="29" t="s">
        <v>253</v>
      </c>
      <c r="B18" s="29" t="s">
        <v>254</v>
      </c>
      <c r="C18" s="31" t="s">
        <v>255</v>
      </c>
      <c r="D18" s="32" t="s">
        <v>256</v>
      </c>
      <c r="E18" s="32" t="s">
        <v>257</v>
      </c>
      <c r="F18" s="37">
        <v>15.0</v>
      </c>
      <c r="G18" s="56">
        <f t="shared" si="3"/>
        <v>17.5</v>
      </c>
      <c r="H18" s="52">
        <v>20.0</v>
      </c>
      <c r="I18" s="36"/>
      <c r="J18" s="36"/>
      <c r="K18" s="36"/>
      <c r="L18" s="36"/>
      <c r="M18" s="37"/>
      <c r="N18" s="38"/>
      <c r="O18" s="39"/>
      <c r="P18" s="40"/>
      <c r="Q18" s="40"/>
      <c r="R18" s="40"/>
    </row>
    <row r="19">
      <c r="A19" s="22"/>
      <c r="B19" s="22"/>
      <c r="C19" s="58"/>
      <c r="D19" s="43"/>
      <c r="E19" s="43"/>
      <c r="F19" s="59">
        <f t="shared" ref="F19:H19" si="4">SUM(F17:F18)</f>
        <v>25</v>
      </c>
      <c r="G19" s="111">
        <f t="shared" si="4"/>
        <v>30</v>
      </c>
      <c r="H19" s="61">
        <f t="shared" si="4"/>
        <v>35</v>
      </c>
      <c r="I19" s="47"/>
      <c r="J19" s="47"/>
      <c r="K19" s="47"/>
      <c r="L19" s="47"/>
      <c r="M19" s="48"/>
      <c r="N19" s="49"/>
      <c r="O19" s="50"/>
      <c r="P19" s="51"/>
      <c r="Q19" s="51"/>
      <c r="R19" s="51"/>
    </row>
    <row r="20">
      <c r="A20" s="29"/>
      <c r="B20" s="29"/>
      <c r="C20" s="62"/>
      <c r="D20" s="32"/>
      <c r="E20" s="32"/>
      <c r="F20" s="37"/>
      <c r="G20" s="37"/>
      <c r="H20" s="52"/>
      <c r="I20" s="36"/>
      <c r="J20" s="36"/>
      <c r="K20" s="36"/>
      <c r="L20" s="36"/>
      <c r="M20" s="37"/>
      <c r="N20" s="38"/>
      <c r="O20" s="39"/>
      <c r="P20" s="40"/>
      <c r="Q20" s="40"/>
      <c r="R20" s="40"/>
    </row>
    <row r="21">
      <c r="A21" s="22"/>
      <c r="B21" s="22"/>
      <c r="C21" s="58"/>
      <c r="D21" s="43"/>
      <c r="E21" s="43"/>
      <c r="F21" s="48"/>
      <c r="G21" s="48"/>
      <c r="H21" s="53"/>
      <c r="I21" s="47"/>
      <c r="J21" s="47"/>
      <c r="K21" s="47"/>
      <c r="L21" s="47"/>
      <c r="M21" s="48"/>
      <c r="N21" s="49"/>
      <c r="O21" s="50"/>
      <c r="P21" s="51"/>
      <c r="Q21" s="51"/>
      <c r="R21" s="51"/>
    </row>
    <row r="22">
      <c r="A22" s="26" t="s">
        <v>258</v>
      </c>
      <c r="B22" s="26"/>
      <c r="C22" s="26"/>
      <c r="D22" s="26"/>
      <c r="E22" s="26"/>
      <c r="F22" s="27"/>
      <c r="G22" s="27"/>
      <c r="H22" s="28"/>
      <c r="I22" s="26"/>
      <c r="J22" s="26"/>
      <c r="K22" s="26"/>
      <c r="L22" s="26"/>
      <c r="M22" s="26"/>
      <c r="N22" s="26"/>
      <c r="O22" s="26"/>
      <c r="P22" s="26"/>
      <c r="Q22" s="26"/>
      <c r="R22" s="26"/>
    </row>
    <row r="23" ht="128.25" customHeight="1">
      <c r="A23" s="22" t="s">
        <v>259</v>
      </c>
      <c r="B23" s="22" t="s">
        <v>260</v>
      </c>
      <c r="C23" s="47" t="s">
        <v>261</v>
      </c>
      <c r="D23" s="47" t="s">
        <v>262</v>
      </c>
      <c r="E23" s="47" t="s">
        <v>263</v>
      </c>
      <c r="F23" s="48">
        <v>15.0</v>
      </c>
      <c r="G23" s="55">
        <f t="shared" ref="G23:G24" si="5">AVERAGE(F23:H23)</f>
        <v>20</v>
      </c>
      <c r="H23" s="53">
        <v>25.0</v>
      </c>
      <c r="I23" s="47"/>
      <c r="J23" s="47"/>
      <c r="K23" s="47"/>
      <c r="L23" s="47"/>
      <c r="M23" s="47"/>
      <c r="N23" s="47"/>
      <c r="O23" s="48"/>
      <c r="P23" s="49"/>
      <c r="Q23" s="50"/>
      <c r="R23" s="51"/>
    </row>
    <row r="24" ht="139.5" customHeight="1">
      <c r="A24" s="29" t="s">
        <v>264</v>
      </c>
      <c r="C24" s="36" t="s">
        <v>265</v>
      </c>
      <c r="D24" s="31" t="s">
        <v>266</v>
      </c>
      <c r="E24" s="36" t="s">
        <v>267</v>
      </c>
      <c r="F24" s="37">
        <v>15.0</v>
      </c>
      <c r="G24" s="57">
        <f t="shared" si="5"/>
        <v>20</v>
      </c>
      <c r="H24" s="52">
        <v>25.0</v>
      </c>
      <c r="I24" s="36"/>
      <c r="J24" s="36"/>
      <c r="K24" s="36"/>
      <c r="L24" s="36"/>
      <c r="M24" s="36"/>
      <c r="N24" s="36"/>
      <c r="O24" s="37"/>
      <c r="P24" s="38"/>
      <c r="Q24" s="39"/>
      <c r="R24" s="40"/>
    </row>
    <row r="25">
      <c r="A25" s="22"/>
      <c r="B25" s="22"/>
      <c r="C25" s="58"/>
      <c r="D25" s="112"/>
      <c r="E25" s="43"/>
      <c r="F25" s="59">
        <f t="shared" ref="F25:H25" si="6">SUM(F23:F24)</f>
        <v>30</v>
      </c>
      <c r="G25" s="64">
        <f t="shared" si="6"/>
        <v>40</v>
      </c>
      <c r="H25" s="61">
        <f t="shared" si="6"/>
        <v>50</v>
      </c>
      <c r="I25" s="47"/>
      <c r="J25" s="47"/>
      <c r="K25" s="47"/>
      <c r="L25" s="47"/>
      <c r="M25" s="48"/>
      <c r="N25" s="49"/>
      <c r="O25" s="50"/>
      <c r="P25" s="51"/>
      <c r="Q25" s="51"/>
      <c r="R25" s="51"/>
    </row>
    <row r="26">
      <c r="A26" s="29"/>
      <c r="B26" s="29"/>
      <c r="C26" s="62"/>
      <c r="D26" s="66"/>
      <c r="E26" s="32"/>
      <c r="F26" s="37"/>
      <c r="G26" s="37"/>
      <c r="H26" s="52"/>
      <c r="I26" s="36"/>
      <c r="J26" s="36"/>
      <c r="K26" s="36"/>
      <c r="L26" s="36"/>
      <c r="M26" s="37"/>
      <c r="N26" s="38"/>
      <c r="O26" s="39"/>
      <c r="P26" s="40"/>
      <c r="Q26" s="40"/>
      <c r="R26" s="40"/>
    </row>
    <row r="27">
      <c r="A27" s="22"/>
      <c r="B27" s="22"/>
      <c r="C27" s="58"/>
      <c r="D27" s="43"/>
      <c r="E27" s="43"/>
      <c r="F27" s="48"/>
      <c r="G27" s="48"/>
      <c r="H27" s="53"/>
      <c r="I27" s="47"/>
      <c r="J27" s="47"/>
      <c r="K27" s="47"/>
      <c r="L27" s="47"/>
      <c r="M27" s="48"/>
      <c r="N27" s="49"/>
      <c r="O27" s="50"/>
      <c r="P27" s="51"/>
      <c r="Q27" s="51"/>
      <c r="R27" s="51"/>
    </row>
    <row r="28">
      <c r="A28" s="26" t="s">
        <v>94</v>
      </c>
      <c r="B28" s="26"/>
      <c r="C28" s="26"/>
      <c r="D28" s="26"/>
      <c r="E28" s="26"/>
      <c r="F28" s="27"/>
      <c r="G28" s="27"/>
      <c r="H28" s="28"/>
      <c r="I28" s="36"/>
      <c r="J28" s="36"/>
      <c r="K28" s="26"/>
      <c r="L28" s="26"/>
      <c r="M28" s="26"/>
      <c r="N28" s="26"/>
      <c r="O28" s="26"/>
      <c r="P28" s="26"/>
      <c r="Q28" s="26"/>
      <c r="R28" s="26"/>
    </row>
    <row r="29">
      <c r="A29" s="22" t="s">
        <v>268</v>
      </c>
      <c r="B29" s="22" t="s">
        <v>269</v>
      </c>
      <c r="C29" s="42" t="s">
        <v>270</v>
      </c>
      <c r="D29" s="113" t="s">
        <v>103</v>
      </c>
      <c r="E29" s="113" t="s">
        <v>271</v>
      </c>
      <c r="F29" s="48">
        <v>8.0</v>
      </c>
      <c r="G29" s="55">
        <f>AVERAGE(F29:H29)</f>
        <v>10</v>
      </c>
      <c r="H29" s="53">
        <v>12.0</v>
      </c>
      <c r="I29" s="47"/>
      <c r="J29" s="47"/>
      <c r="K29" s="47"/>
      <c r="L29" s="47"/>
      <c r="M29" s="48"/>
      <c r="N29" s="49"/>
      <c r="O29" s="50"/>
      <c r="P29" s="51"/>
      <c r="Q29" s="51"/>
      <c r="R29" s="51"/>
    </row>
    <row r="30">
      <c r="A30" s="29"/>
      <c r="B30" s="29"/>
      <c r="C30" s="62"/>
      <c r="D30" s="32"/>
      <c r="E30" s="32"/>
      <c r="F30" s="68">
        <f t="shared" ref="F30:H30" si="7">SUM(F29)</f>
        <v>8</v>
      </c>
      <c r="G30" s="69">
        <f t="shared" si="7"/>
        <v>10</v>
      </c>
      <c r="H30" s="70">
        <f t="shared" si="7"/>
        <v>12</v>
      </c>
      <c r="I30" s="36"/>
      <c r="J30" s="36"/>
      <c r="K30" s="36"/>
      <c r="L30" s="36"/>
      <c r="M30" s="37"/>
      <c r="N30" s="38"/>
      <c r="O30" s="39"/>
      <c r="P30" s="40"/>
      <c r="Q30" s="40"/>
      <c r="R30" s="40"/>
    </row>
    <row r="31">
      <c r="A31" s="22"/>
      <c r="B31" s="22"/>
      <c r="C31" s="58"/>
      <c r="D31" s="43"/>
      <c r="E31" s="43"/>
      <c r="F31" s="48"/>
      <c r="G31" s="48"/>
      <c r="H31" s="53"/>
      <c r="I31" s="47"/>
      <c r="J31" s="47"/>
      <c r="K31" s="47"/>
      <c r="L31" s="47"/>
      <c r="M31" s="48"/>
      <c r="N31" s="49"/>
      <c r="O31" s="50"/>
      <c r="P31" s="51"/>
      <c r="Q31" s="51"/>
      <c r="R31" s="51"/>
    </row>
    <row r="32">
      <c r="A32" s="29"/>
      <c r="B32" s="29"/>
      <c r="C32" s="62"/>
      <c r="D32" s="32"/>
      <c r="E32" s="32"/>
      <c r="F32" s="37"/>
      <c r="G32" s="37"/>
      <c r="H32" s="52"/>
      <c r="I32" s="36"/>
      <c r="J32" s="36"/>
      <c r="K32" s="36"/>
      <c r="L32" s="36"/>
      <c r="M32" s="37"/>
      <c r="N32" s="38"/>
      <c r="O32" s="39"/>
      <c r="P32" s="40"/>
      <c r="Q32" s="40"/>
      <c r="R32" s="40"/>
    </row>
    <row r="33">
      <c r="A33" s="67" t="s">
        <v>109</v>
      </c>
      <c r="B33" s="67"/>
      <c r="C33" s="67"/>
      <c r="D33" s="67"/>
      <c r="E33" s="67"/>
      <c r="F33" s="71"/>
      <c r="G33" s="71"/>
      <c r="H33" s="72"/>
      <c r="I33" s="47"/>
      <c r="J33" s="47"/>
      <c r="K33" s="67"/>
      <c r="L33" s="67"/>
      <c r="M33" s="67"/>
      <c r="N33" s="67"/>
      <c r="O33" s="67"/>
      <c r="P33" s="67"/>
      <c r="Q33" s="67"/>
      <c r="R33" s="67"/>
    </row>
    <row r="34">
      <c r="A34" s="67" t="s">
        <v>110</v>
      </c>
      <c r="B34" s="67"/>
      <c r="C34" s="67"/>
      <c r="D34" s="67"/>
      <c r="E34" s="67"/>
      <c r="F34" s="71"/>
      <c r="G34" s="71"/>
      <c r="H34" s="72"/>
      <c r="I34" s="36"/>
      <c r="J34" s="36"/>
      <c r="K34" s="67"/>
      <c r="L34" s="67"/>
      <c r="M34" s="67"/>
      <c r="N34" s="67"/>
      <c r="O34" s="67"/>
      <c r="P34" s="67"/>
      <c r="Q34" s="67"/>
      <c r="R34" s="67"/>
    </row>
    <row r="35">
      <c r="A35" s="22" t="s">
        <v>272</v>
      </c>
      <c r="B35" s="73" t="s">
        <v>273</v>
      </c>
      <c r="C35" s="42" t="s">
        <v>274</v>
      </c>
      <c r="D35" s="43" t="s">
        <v>275</v>
      </c>
      <c r="E35" s="43" t="s">
        <v>276</v>
      </c>
      <c r="F35" s="48">
        <v>8.0</v>
      </c>
      <c r="G35" s="55">
        <f>AVERAGE(F35:H35)</f>
        <v>10</v>
      </c>
      <c r="H35" s="53">
        <v>12.0</v>
      </c>
      <c r="I35" s="47"/>
      <c r="J35" s="47"/>
      <c r="K35" s="47"/>
      <c r="L35" s="47"/>
      <c r="M35" s="48"/>
      <c r="N35" s="49"/>
      <c r="O35" s="50"/>
      <c r="P35" s="51"/>
      <c r="Q35" s="51"/>
      <c r="R35" s="51"/>
    </row>
    <row r="36">
      <c r="A36" s="29"/>
      <c r="B36" s="29"/>
      <c r="C36" s="62"/>
      <c r="D36" s="32"/>
      <c r="E36" s="32"/>
      <c r="F36" s="59">
        <f t="shared" ref="F36:H36" si="8">SUM(F35)</f>
        <v>8</v>
      </c>
      <c r="G36" s="64">
        <f t="shared" si="8"/>
        <v>10</v>
      </c>
      <c r="H36" s="61">
        <f t="shared" si="8"/>
        <v>12</v>
      </c>
      <c r="I36" s="36"/>
      <c r="J36" s="36"/>
      <c r="K36" s="36"/>
      <c r="L36" s="36"/>
      <c r="M36" s="37"/>
      <c r="N36" s="38"/>
      <c r="O36" s="39"/>
      <c r="P36" s="40"/>
      <c r="Q36" s="40"/>
      <c r="R36" s="40"/>
    </row>
    <row r="37">
      <c r="A37" s="22"/>
      <c r="B37" s="22"/>
      <c r="C37" s="58"/>
      <c r="D37" s="43"/>
      <c r="E37" s="43"/>
      <c r="F37" s="48"/>
      <c r="G37" s="48"/>
      <c r="H37" s="53"/>
      <c r="I37" s="47"/>
      <c r="J37" s="47"/>
      <c r="K37" s="47"/>
      <c r="L37" s="47"/>
      <c r="M37" s="48"/>
      <c r="N37" s="49"/>
      <c r="O37" s="50"/>
      <c r="P37" s="51"/>
      <c r="Q37" s="51"/>
      <c r="R37" s="51"/>
    </row>
    <row r="38">
      <c r="A38" s="29"/>
      <c r="B38" s="29"/>
      <c r="C38" s="62"/>
      <c r="D38" s="32"/>
      <c r="E38" s="32"/>
      <c r="F38" s="37"/>
      <c r="G38" s="37"/>
      <c r="H38" s="52"/>
      <c r="I38" s="36"/>
      <c r="J38" s="36"/>
      <c r="K38" s="36"/>
      <c r="L38" s="36"/>
      <c r="M38" s="37"/>
      <c r="N38" s="38"/>
      <c r="O38" s="39"/>
      <c r="P38" s="40"/>
      <c r="Q38" s="40"/>
      <c r="R38" s="40"/>
    </row>
    <row r="39">
      <c r="A39" s="67" t="s">
        <v>116</v>
      </c>
      <c r="B39" s="67"/>
      <c r="C39" s="67"/>
      <c r="D39" s="67"/>
      <c r="E39" s="67"/>
      <c r="F39" s="71"/>
      <c r="G39" s="71"/>
      <c r="H39" s="72"/>
      <c r="I39" s="67"/>
      <c r="J39" s="67"/>
      <c r="K39" s="67"/>
      <c r="L39" s="67"/>
      <c r="M39" s="67"/>
      <c r="N39" s="67"/>
      <c r="O39" s="67"/>
      <c r="P39" s="67"/>
      <c r="Q39" s="67"/>
      <c r="R39" s="67"/>
    </row>
    <row r="40">
      <c r="A40" s="29" t="s">
        <v>277</v>
      </c>
      <c r="B40" s="30" t="s">
        <v>278</v>
      </c>
      <c r="C40" s="31" t="s">
        <v>279</v>
      </c>
      <c r="D40" s="32" t="s">
        <v>280</v>
      </c>
      <c r="E40" s="32" t="s">
        <v>281</v>
      </c>
      <c r="F40" s="37">
        <v>8.0</v>
      </c>
      <c r="G40" s="74">
        <f t="shared" ref="G40:G42" si="9">AVERAGE(F40:H40)</f>
        <v>11</v>
      </c>
      <c r="H40" s="52">
        <v>14.0</v>
      </c>
      <c r="I40" s="36"/>
      <c r="J40" s="36"/>
      <c r="K40" s="36"/>
      <c r="L40" s="36"/>
      <c r="M40" s="37"/>
      <c r="N40" s="38"/>
      <c r="O40" s="39"/>
      <c r="P40" s="40"/>
      <c r="Q40" s="40"/>
      <c r="R40" s="40"/>
    </row>
    <row r="41">
      <c r="A41" s="22" t="s">
        <v>282</v>
      </c>
      <c r="B41" s="73" t="s">
        <v>283</v>
      </c>
      <c r="C41" s="42" t="s">
        <v>284</v>
      </c>
      <c r="D41" s="43" t="s">
        <v>285</v>
      </c>
      <c r="E41" s="43" t="s">
        <v>286</v>
      </c>
      <c r="F41" s="48">
        <v>8.0</v>
      </c>
      <c r="G41" s="75">
        <f t="shared" si="9"/>
        <v>10</v>
      </c>
      <c r="H41" s="53">
        <v>12.0</v>
      </c>
      <c r="I41" s="47"/>
      <c r="J41" s="47"/>
      <c r="K41" s="47"/>
      <c r="L41" s="47"/>
      <c r="M41" s="48"/>
      <c r="N41" s="49"/>
      <c r="O41" s="50"/>
      <c r="P41" s="51"/>
      <c r="Q41" s="51"/>
      <c r="R41" s="51"/>
    </row>
    <row r="42">
      <c r="A42" s="29" t="s">
        <v>287</v>
      </c>
      <c r="B42" s="30" t="s">
        <v>288</v>
      </c>
      <c r="C42" s="31" t="s">
        <v>289</v>
      </c>
      <c r="D42" s="32" t="s">
        <v>290</v>
      </c>
      <c r="E42" s="32" t="s">
        <v>291</v>
      </c>
      <c r="F42" s="37">
        <v>2.0</v>
      </c>
      <c r="G42" s="114">
        <f t="shared" si="9"/>
        <v>3.5</v>
      </c>
      <c r="H42" s="52">
        <v>5.0</v>
      </c>
      <c r="I42" s="36"/>
      <c r="J42" s="36"/>
      <c r="K42" s="36"/>
      <c r="L42" s="36"/>
      <c r="M42" s="37"/>
      <c r="N42" s="38"/>
      <c r="O42" s="39"/>
      <c r="P42" s="40"/>
      <c r="Q42" s="40"/>
      <c r="R42" s="40"/>
    </row>
    <row r="43">
      <c r="A43" s="22"/>
      <c r="B43" s="22"/>
      <c r="C43" s="58"/>
      <c r="D43" s="43"/>
      <c r="E43" s="43"/>
      <c r="F43" s="59">
        <f t="shared" ref="F43:H43" si="10">SUM(F40:F42)</f>
        <v>18</v>
      </c>
      <c r="G43" s="64">
        <f t="shared" si="10"/>
        <v>24.5</v>
      </c>
      <c r="H43" s="61">
        <f t="shared" si="10"/>
        <v>31</v>
      </c>
      <c r="I43" s="47"/>
      <c r="J43" s="47"/>
      <c r="K43" s="47"/>
      <c r="L43" s="47"/>
      <c r="M43" s="48"/>
      <c r="N43" s="49"/>
      <c r="O43" s="50"/>
      <c r="P43" s="51"/>
      <c r="Q43" s="51"/>
      <c r="R43" s="51"/>
    </row>
    <row r="44">
      <c r="A44" s="29"/>
      <c r="B44" s="29"/>
      <c r="C44" s="62"/>
      <c r="D44" s="32"/>
      <c r="E44" s="32"/>
      <c r="F44" s="37"/>
      <c r="G44" s="37"/>
      <c r="H44" s="52"/>
      <c r="I44" s="36"/>
      <c r="J44" s="36"/>
      <c r="K44" s="36"/>
      <c r="L44" s="36"/>
      <c r="M44" s="37"/>
      <c r="N44" s="38"/>
      <c r="O44" s="39"/>
      <c r="P44" s="40"/>
      <c r="Q44" s="40"/>
      <c r="R44" s="40"/>
    </row>
    <row r="45">
      <c r="A45" s="22"/>
      <c r="B45" s="73"/>
      <c r="C45" s="58"/>
      <c r="D45" s="115"/>
      <c r="E45" s="115"/>
      <c r="F45" s="48"/>
      <c r="G45" s="48"/>
      <c r="H45" s="53"/>
      <c r="I45" s="47"/>
      <c r="J45" s="47"/>
      <c r="K45" s="47"/>
      <c r="L45" s="47"/>
      <c r="M45" s="48"/>
      <c r="N45" s="49"/>
      <c r="O45" s="50"/>
      <c r="P45" s="51"/>
      <c r="Q45" s="51"/>
      <c r="R45" s="51"/>
    </row>
    <row r="46">
      <c r="A46" s="77" t="s">
        <v>126</v>
      </c>
      <c r="B46" s="77"/>
      <c r="C46" s="77"/>
      <c r="D46" s="77"/>
      <c r="E46" s="77"/>
      <c r="F46" s="78"/>
      <c r="G46" s="78"/>
      <c r="H46" s="79"/>
      <c r="I46" s="77"/>
      <c r="J46" s="77"/>
      <c r="K46" s="77"/>
      <c r="L46" s="77"/>
      <c r="M46" s="77"/>
      <c r="N46" s="77"/>
      <c r="O46" s="77"/>
      <c r="P46" s="77"/>
      <c r="Q46" s="77"/>
      <c r="R46" s="77"/>
    </row>
    <row r="47">
      <c r="A47" s="77" t="s">
        <v>127</v>
      </c>
      <c r="B47" s="77"/>
      <c r="C47" s="77"/>
      <c r="D47" s="77"/>
      <c r="E47" s="77"/>
      <c r="F47" s="78"/>
      <c r="G47" s="78"/>
      <c r="H47" s="79"/>
      <c r="I47" s="77"/>
      <c r="J47" s="77"/>
      <c r="K47" s="77"/>
      <c r="L47" s="77"/>
      <c r="M47" s="77"/>
      <c r="N47" s="77"/>
      <c r="O47" s="77"/>
      <c r="P47" s="77"/>
      <c r="Q47" s="77"/>
      <c r="R47" s="77"/>
    </row>
    <row r="48" ht="129.75" customHeight="1">
      <c r="A48" s="29" t="s">
        <v>292</v>
      </c>
      <c r="B48" s="30" t="s">
        <v>293</v>
      </c>
      <c r="C48" s="31" t="s">
        <v>294</v>
      </c>
      <c r="D48" s="32" t="s">
        <v>295</v>
      </c>
      <c r="E48" s="32" t="s">
        <v>296</v>
      </c>
      <c r="F48" s="37">
        <v>10.0</v>
      </c>
      <c r="G48" s="33">
        <f>AVERAGE(F48,H48)</f>
        <v>15</v>
      </c>
      <c r="H48" s="52">
        <v>20.0</v>
      </c>
      <c r="I48" s="36"/>
      <c r="J48" s="36"/>
      <c r="K48" s="36"/>
      <c r="L48" s="36"/>
      <c r="M48" s="37"/>
      <c r="N48" s="38"/>
      <c r="O48" s="39"/>
      <c r="P48" s="40"/>
      <c r="Q48" s="40"/>
      <c r="R48" s="40"/>
    </row>
    <row r="49">
      <c r="A49" s="22"/>
      <c r="B49" s="73"/>
      <c r="C49" s="58"/>
      <c r="D49" s="43"/>
      <c r="E49" s="43"/>
      <c r="F49" s="59">
        <f t="shared" ref="F49:H49" si="11">SUM(F48)</f>
        <v>10</v>
      </c>
      <c r="G49" s="65">
        <f t="shared" si="11"/>
        <v>15</v>
      </c>
      <c r="H49" s="61">
        <f t="shared" si="11"/>
        <v>20</v>
      </c>
      <c r="I49" s="47"/>
      <c r="J49" s="47"/>
      <c r="K49" s="47"/>
      <c r="L49" s="47"/>
      <c r="M49" s="48"/>
      <c r="N49" s="49"/>
      <c r="O49" s="50"/>
      <c r="P49" s="51"/>
      <c r="Q49" s="51"/>
      <c r="R49" s="51"/>
    </row>
    <row r="50">
      <c r="A50" s="29"/>
      <c r="B50" s="30"/>
      <c r="C50" s="62"/>
      <c r="D50" s="32"/>
      <c r="E50" s="32"/>
      <c r="F50" s="37"/>
      <c r="G50" s="33"/>
      <c r="H50" s="52"/>
      <c r="I50" s="36"/>
      <c r="J50" s="36"/>
      <c r="K50" s="36"/>
      <c r="L50" s="36"/>
      <c r="M50" s="37"/>
      <c r="N50" s="38"/>
      <c r="O50" s="39"/>
      <c r="P50" s="40"/>
      <c r="Q50" s="40"/>
      <c r="R50" s="40"/>
    </row>
    <row r="51">
      <c r="A51" s="22"/>
      <c r="B51" s="73"/>
      <c r="C51" s="58"/>
      <c r="D51" s="43"/>
      <c r="E51" s="43"/>
      <c r="F51" s="48"/>
      <c r="G51" s="44"/>
      <c r="H51" s="53"/>
      <c r="I51" s="47"/>
      <c r="J51" s="47"/>
      <c r="K51" s="47"/>
      <c r="L51" s="47"/>
      <c r="M51" s="48"/>
      <c r="N51" s="49"/>
      <c r="O51" s="50"/>
      <c r="P51" s="51"/>
      <c r="Q51" s="51"/>
      <c r="R51" s="51"/>
    </row>
    <row r="52">
      <c r="A52" s="82" t="s">
        <v>137</v>
      </c>
      <c r="B52" s="82"/>
      <c r="C52" s="82"/>
      <c r="D52" s="82"/>
      <c r="E52" s="82"/>
      <c r="F52" s="83"/>
      <c r="G52" s="83"/>
      <c r="H52" s="84"/>
      <c r="I52" s="82"/>
      <c r="J52" s="82"/>
      <c r="K52" s="82"/>
      <c r="L52" s="82"/>
      <c r="M52" s="82"/>
      <c r="N52" s="82"/>
      <c r="O52" s="82"/>
      <c r="P52" s="82"/>
      <c r="Q52" s="82"/>
      <c r="R52" s="82"/>
    </row>
    <row r="53">
      <c r="A53" s="82" t="s">
        <v>138</v>
      </c>
      <c r="B53" s="82"/>
      <c r="C53" s="82"/>
      <c r="D53" s="82"/>
      <c r="E53" s="82"/>
      <c r="F53" s="83"/>
      <c r="G53" s="83"/>
      <c r="H53" s="84"/>
      <c r="I53" s="82"/>
      <c r="J53" s="82"/>
      <c r="K53" s="82"/>
      <c r="L53" s="82"/>
      <c r="M53" s="82"/>
      <c r="N53" s="82"/>
      <c r="O53" s="82"/>
      <c r="P53" s="82"/>
      <c r="Q53" s="82"/>
      <c r="R53" s="82"/>
    </row>
    <row r="54" ht="162.0" customHeight="1">
      <c r="A54" s="29" t="s">
        <v>297</v>
      </c>
      <c r="B54" s="30" t="s">
        <v>298</v>
      </c>
      <c r="C54" s="31" t="s">
        <v>299</v>
      </c>
      <c r="D54" s="81" t="s">
        <v>300</v>
      </c>
      <c r="E54" s="81" t="s">
        <v>301</v>
      </c>
      <c r="F54" s="37">
        <v>5.0</v>
      </c>
      <c r="G54" s="33">
        <f t="shared" ref="G54:G58" si="12">AVERAGE(F54,H54)</f>
        <v>6.5</v>
      </c>
      <c r="H54" s="52">
        <v>8.0</v>
      </c>
      <c r="I54" s="36"/>
      <c r="J54" s="36"/>
      <c r="K54" s="36"/>
      <c r="L54" s="36"/>
      <c r="M54" s="37"/>
      <c r="N54" s="38"/>
      <c r="O54" s="39"/>
      <c r="P54" s="40"/>
      <c r="Q54" s="40"/>
      <c r="R54" s="40"/>
    </row>
    <row r="55" ht="155.25" customHeight="1">
      <c r="A55" s="22" t="s">
        <v>302</v>
      </c>
      <c r="B55" s="73" t="s">
        <v>303</v>
      </c>
      <c r="C55" s="42" t="s">
        <v>304</v>
      </c>
      <c r="D55" s="43" t="s">
        <v>305</v>
      </c>
      <c r="E55" s="43" t="s">
        <v>306</v>
      </c>
      <c r="F55" s="48">
        <v>8.0</v>
      </c>
      <c r="G55" s="44">
        <f t="shared" si="12"/>
        <v>10</v>
      </c>
      <c r="H55" s="53">
        <v>12.0</v>
      </c>
      <c r="I55" s="47"/>
      <c r="J55" s="47"/>
      <c r="K55" s="47"/>
      <c r="L55" s="47"/>
      <c r="M55" s="48"/>
      <c r="N55" s="49"/>
      <c r="O55" s="50"/>
      <c r="P55" s="51"/>
      <c r="Q55" s="51"/>
      <c r="R55" s="51"/>
    </row>
    <row r="56" ht="159.75" customHeight="1">
      <c r="A56" s="29" t="s">
        <v>307</v>
      </c>
      <c r="B56" s="30" t="s">
        <v>145</v>
      </c>
      <c r="C56" s="31" t="s">
        <v>308</v>
      </c>
      <c r="D56" s="32" t="s">
        <v>309</v>
      </c>
      <c r="E56" s="32" t="s">
        <v>310</v>
      </c>
      <c r="F56" s="37">
        <v>20.0</v>
      </c>
      <c r="G56" s="33">
        <f t="shared" si="12"/>
        <v>27.5</v>
      </c>
      <c r="H56" s="52">
        <v>35.0</v>
      </c>
      <c r="I56" s="36"/>
      <c r="J56" s="36"/>
      <c r="K56" s="36"/>
      <c r="L56" s="36"/>
      <c r="M56" s="37"/>
      <c r="N56" s="38"/>
      <c r="O56" s="39"/>
      <c r="P56" s="40"/>
      <c r="Q56" s="40"/>
      <c r="R56" s="40"/>
    </row>
    <row r="57" ht="378.75" customHeight="1">
      <c r="A57" s="22" t="s">
        <v>311</v>
      </c>
      <c r="C57" s="42" t="s">
        <v>312</v>
      </c>
      <c r="D57" s="43" t="s">
        <v>313</v>
      </c>
      <c r="E57" s="43" t="s">
        <v>314</v>
      </c>
      <c r="F57" s="48">
        <v>25.0</v>
      </c>
      <c r="G57" s="44">
        <f t="shared" si="12"/>
        <v>32.5</v>
      </c>
      <c r="H57" s="53">
        <v>40.0</v>
      </c>
      <c r="I57" s="47"/>
      <c r="J57" s="47"/>
      <c r="K57" s="47"/>
      <c r="L57" s="47"/>
      <c r="M57" s="48"/>
      <c r="N57" s="49"/>
      <c r="O57" s="50"/>
      <c r="P57" s="51"/>
      <c r="Q57" s="51"/>
      <c r="R57" s="51"/>
    </row>
    <row r="58">
      <c r="A58" s="29" t="s">
        <v>315</v>
      </c>
      <c r="B58" s="30" t="s">
        <v>316</v>
      </c>
      <c r="C58" s="31" t="s">
        <v>317</v>
      </c>
      <c r="D58" s="32" t="s">
        <v>318</v>
      </c>
      <c r="E58" s="32" t="s">
        <v>319</v>
      </c>
      <c r="F58" s="37">
        <v>30.0</v>
      </c>
      <c r="G58" s="33">
        <f t="shared" si="12"/>
        <v>45</v>
      </c>
      <c r="H58" s="52">
        <v>60.0</v>
      </c>
      <c r="I58" s="36"/>
      <c r="J58" s="36"/>
      <c r="K58" s="36"/>
      <c r="L58" s="36"/>
      <c r="M58" s="37"/>
      <c r="N58" s="38"/>
      <c r="O58" s="39"/>
      <c r="P58" s="40"/>
      <c r="Q58" s="40"/>
      <c r="R58" s="40"/>
    </row>
    <row r="59">
      <c r="A59" s="22"/>
      <c r="B59" s="73"/>
      <c r="C59" s="58"/>
      <c r="D59" s="43"/>
      <c r="E59" s="43"/>
      <c r="F59" s="59">
        <f t="shared" ref="F59:H59" si="13">SUM(F54:F58)</f>
        <v>88</v>
      </c>
      <c r="G59" s="65">
        <f t="shared" si="13"/>
        <v>121.5</v>
      </c>
      <c r="H59" s="61">
        <f t="shared" si="13"/>
        <v>155</v>
      </c>
      <c r="I59" s="47"/>
      <c r="J59" s="47"/>
      <c r="K59" s="47"/>
      <c r="L59" s="47"/>
      <c r="M59" s="48"/>
      <c r="N59" s="49"/>
      <c r="O59" s="50"/>
      <c r="P59" s="51"/>
      <c r="Q59" s="51"/>
      <c r="R59" s="51"/>
    </row>
    <row r="60">
      <c r="A60" s="29"/>
      <c r="B60" s="30"/>
      <c r="C60" s="62"/>
      <c r="D60" s="32"/>
      <c r="E60" s="32"/>
      <c r="F60" s="37"/>
      <c r="G60" s="33"/>
      <c r="H60" s="52"/>
      <c r="I60" s="36"/>
      <c r="J60" s="36"/>
      <c r="K60" s="36"/>
      <c r="L60" s="36"/>
      <c r="M60" s="37"/>
      <c r="N60" s="38"/>
      <c r="O60" s="39"/>
      <c r="P60" s="40"/>
      <c r="Q60" s="40"/>
      <c r="R60" s="40"/>
    </row>
    <row r="61">
      <c r="A61" s="22"/>
      <c r="B61" s="73"/>
      <c r="C61" s="58"/>
      <c r="D61" s="43"/>
      <c r="E61" s="43"/>
      <c r="F61" s="48"/>
      <c r="G61" s="44"/>
      <c r="H61" s="53"/>
      <c r="I61" s="47"/>
      <c r="J61" s="47"/>
      <c r="K61" s="47"/>
      <c r="L61" s="47"/>
      <c r="M61" s="48"/>
      <c r="N61" s="49"/>
      <c r="O61" s="50"/>
      <c r="P61" s="51"/>
      <c r="Q61" s="51"/>
      <c r="R61" s="51"/>
    </row>
    <row r="62">
      <c r="A62" s="12" t="s">
        <v>182</v>
      </c>
      <c r="B62" s="12"/>
      <c r="C62" s="13"/>
      <c r="D62" s="13"/>
      <c r="E62" s="13"/>
      <c r="F62" s="14"/>
      <c r="G62" s="14"/>
      <c r="H62" s="15"/>
      <c r="I62" s="13"/>
      <c r="J62" s="13"/>
      <c r="K62" s="16"/>
      <c r="L62" s="16"/>
      <c r="M62" s="13"/>
      <c r="N62" s="17"/>
      <c r="O62" s="17"/>
      <c r="P62" s="17"/>
      <c r="Q62" s="17"/>
      <c r="R62" s="17"/>
    </row>
    <row r="63">
      <c r="A63" s="22" t="s">
        <v>320</v>
      </c>
      <c r="B63" s="90" t="s">
        <v>184</v>
      </c>
      <c r="C63" s="47"/>
      <c r="D63" s="47"/>
      <c r="E63" s="47"/>
      <c r="F63" s="91">
        <f t="shared" ref="F63:H63" si="14">F74*0.25</f>
        <v>68.75</v>
      </c>
      <c r="G63" s="91">
        <f t="shared" si="14"/>
        <v>90.74999929</v>
      </c>
      <c r="H63" s="92">
        <f t="shared" si="14"/>
        <v>112.75</v>
      </c>
      <c r="I63" s="47"/>
      <c r="J63" s="47"/>
      <c r="K63" s="47"/>
      <c r="L63" s="47"/>
      <c r="M63" s="48"/>
      <c r="N63" s="49"/>
      <c r="O63" s="50"/>
      <c r="P63" s="51"/>
      <c r="Q63" s="51"/>
      <c r="R63" s="51"/>
    </row>
    <row r="64">
      <c r="A64" s="29" t="s">
        <v>321</v>
      </c>
      <c r="B64" s="93" t="s">
        <v>186</v>
      </c>
      <c r="C64" s="36"/>
      <c r="D64" s="36"/>
      <c r="E64" s="36"/>
      <c r="F64" s="94"/>
      <c r="G64" s="94"/>
      <c r="H64" s="95"/>
      <c r="I64" s="36"/>
      <c r="J64" s="36"/>
      <c r="K64" s="36"/>
      <c r="L64" s="36"/>
      <c r="M64" s="37"/>
      <c r="N64" s="38"/>
      <c r="O64" s="39"/>
      <c r="P64" s="40"/>
      <c r="Q64" s="40"/>
      <c r="R64" s="40"/>
    </row>
    <row r="65">
      <c r="A65" s="22" t="s">
        <v>322</v>
      </c>
      <c r="B65" s="96" t="s">
        <v>188</v>
      </c>
      <c r="C65" s="47"/>
      <c r="D65" s="47"/>
      <c r="E65" s="47"/>
      <c r="F65" s="97"/>
      <c r="G65" s="97"/>
      <c r="H65" s="98"/>
      <c r="I65" s="47"/>
      <c r="J65" s="47"/>
      <c r="K65" s="47"/>
      <c r="L65" s="47"/>
      <c r="M65" s="48"/>
      <c r="N65" s="49"/>
      <c r="O65" s="50"/>
      <c r="P65" s="51"/>
      <c r="Q65" s="51"/>
      <c r="R65" s="51"/>
    </row>
    <row r="66">
      <c r="A66" s="29"/>
      <c r="B66" s="29"/>
      <c r="C66" s="36"/>
      <c r="D66" s="36"/>
      <c r="E66" s="36"/>
      <c r="F66" s="37"/>
      <c r="G66" s="37"/>
      <c r="H66" s="52"/>
      <c r="I66" s="36"/>
      <c r="J66" s="36"/>
      <c r="K66" s="36"/>
      <c r="L66" s="36"/>
      <c r="M66" s="37"/>
      <c r="N66" s="38"/>
      <c r="O66" s="39"/>
      <c r="P66" s="40"/>
      <c r="Q66" s="40"/>
      <c r="R66" s="40"/>
    </row>
    <row r="67">
      <c r="A67" s="22"/>
      <c r="B67" s="22"/>
      <c r="C67" s="47"/>
      <c r="D67" s="47"/>
      <c r="E67" s="47"/>
      <c r="F67" s="48"/>
      <c r="G67" s="48"/>
      <c r="H67" s="53"/>
      <c r="I67" s="47"/>
      <c r="J67" s="47"/>
      <c r="K67" s="47"/>
      <c r="L67" s="47"/>
      <c r="M67" s="48"/>
      <c r="N67" s="49"/>
      <c r="O67" s="50"/>
      <c r="P67" s="51"/>
      <c r="Q67" s="51"/>
      <c r="R67" s="51"/>
    </row>
    <row r="68">
      <c r="A68" s="12" t="s">
        <v>205</v>
      </c>
      <c r="B68" s="12"/>
      <c r="C68" s="13"/>
      <c r="D68" s="13"/>
      <c r="E68" s="13"/>
      <c r="F68" s="14"/>
      <c r="G68" s="14"/>
      <c r="H68" s="15"/>
      <c r="I68" s="13"/>
      <c r="J68" s="13"/>
      <c r="K68" s="16"/>
      <c r="L68" s="16"/>
      <c r="M68" s="13"/>
      <c r="N68" s="17"/>
      <c r="O68" s="17"/>
      <c r="P68" s="17"/>
      <c r="Q68" s="17"/>
      <c r="R68" s="17"/>
    </row>
    <row r="69">
      <c r="A69" s="22" t="s">
        <v>323</v>
      </c>
      <c r="B69" s="22" t="s">
        <v>207</v>
      </c>
      <c r="C69" s="42" t="s">
        <v>208</v>
      </c>
      <c r="D69" s="47" t="s">
        <v>209</v>
      </c>
      <c r="E69" s="47" t="s">
        <v>324</v>
      </c>
      <c r="F69" s="48">
        <v>15.0</v>
      </c>
      <c r="G69" s="55">
        <f t="shared" ref="G69:G70" si="15">AVERAGE(F69:H69)</f>
        <v>20</v>
      </c>
      <c r="H69" s="53">
        <v>25.0</v>
      </c>
      <c r="I69" s="47"/>
      <c r="J69" s="47"/>
      <c r="K69" s="47"/>
      <c r="L69" s="47"/>
      <c r="M69" s="48"/>
      <c r="N69" s="49"/>
      <c r="O69" s="50"/>
      <c r="P69" s="51"/>
      <c r="Q69" s="51"/>
      <c r="R69" s="51"/>
    </row>
    <row r="70">
      <c r="A70" s="29" t="s">
        <v>325</v>
      </c>
      <c r="B70" s="29" t="s">
        <v>212</v>
      </c>
      <c r="C70" s="36" t="s">
        <v>213</v>
      </c>
      <c r="D70" s="36" t="s">
        <v>214</v>
      </c>
      <c r="E70" s="36" t="s">
        <v>326</v>
      </c>
      <c r="F70" s="37">
        <v>15.0</v>
      </c>
      <c r="G70" s="57">
        <f t="shared" si="15"/>
        <v>20</v>
      </c>
      <c r="H70" s="52">
        <v>25.0</v>
      </c>
      <c r="I70" s="36"/>
      <c r="J70" s="36"/>
      <c r="K70" s="36"/>
      <c r="L70" s="36"/>
      <c r="M70" s="37"/>
      <c r="N70" s="38"/>
      <c r="O70" s="39"/>
      <c r="P70" s="40"/>
      <c r="Q70" s="40"/>
      <c r="R70" s="40"/>
    </row>
    <row r="71">
      <c r="A71" s="22"/>
      <c r="B71" s="22"/>
      <c r="C71" s="47"/>
      <c r="D71" s="47"/>
      <c r="E71" s="47"/>
      <c r="F71" s="59">
        <f t="shared" ref="F71:H71" si="16">SUM(F69:F70)</f>
        <v>30</v>
      </c>
      <c r="G71" s="64">
        <f t="shared" si="16"/>
        <v>40</v>
      </c>
      <c r="H71" s="61">
        <f t="shared" si="16"/>
        <v>50</v>
      </c>
      <c r="I71" s="47"/>
      <c r="J71" s="47"/>
      <c r="K71" s="47"/>
      <c r="L71" s="47"/>
      <c r="M71" s="48"/>
      <c r="N71" s="49"/>
      <c r="O71" s="50"/>
      <c r="P71" s="51"/>
      <c r="Q71" s="51"/>
      <c r="R71" s="51"/>
    </row>
    <row r="72">
      <c r="A72" s="29"/>
      <c r="B72" s="29"/>
      <c r="C72" s="36"/>
      <c r="D72" s="36"/>
      <c r="E72" s="36"/>
      <c r="F72" s="37"/>
      <c r="G72" s="37"/>
      <c r="H72" s="52"/>
      <c r="I72" s="36"/>
      <c r="J72" s="36"/>
      <c r="K72" s="36"/>
      <c r="L72" s="36"/>
      <c r="M72" s="37"/>
      <c r="N72" s="38"/>
      <c r="O72" s="39"/>
      <c r="P72" s="40"/>
      <c r="Q72" s="40"/>
      <c r="R72" s="40"/>
    </row>
    <row r="73">
      <c r="A73" s="22"/>
      <c r="B73" s="22"/>
      <c r="C73" s="47"/>
      <c r="D73" s="47"/>
      <c r="E73" s="47"/>
      <c r="F73" s="48"/>
      <c r="G73" s="48"/>
      <c r="H73" s="53"/>
      <c r="I73" s="47"/>
      <c r="J73" s="47"/>
      <c r="K73" s="47"/>
      <c r="L73" s="47"/>
      <c r="M73" s="48"/>
      <c r="N73" s="49"/>
      <c r="O73" s="50"/>
      <c r="P73" s="51"/>
      <c r="Q73" s="51"/>
      <c r="R73" s="51"/>
    </row>
    <row r="74" hidden="1">
      <c r="A74" s="29"/>
      <c r="B74" s="29"/>
      <c r="C74" s="36"/>
      <c r="D74" s="36"/>
      <c r="E74" s="99" t="s">
        <v>327</v>
      </c>
      <c r="F74" s="59">
        <f t="shared" ref="F74:H74" si="17">SUM(F71,F59,F49,F43,F36,F30,F25,F19,F13)</f>
        <v>275</v>
      </c>
      <c r="G74" s="101">
        <f t="shared" si="17"/>
        <v>362.9999991</v>
      </c>
      <c r="H74" s="116">
        <f t="shared" si="17"/>
        <v>451</v>
      </c>
      <c r="I74" s="36"/>
      <c r="J74" s="36"/>
      <c r="K74" s="36"/>
      <c r="L74" s="36"/>
      <c r="M74" s="37"/>
      <c r="N74" s="38"/>
      <c r="O74" s="39"/>
      <c r="P74" s="40"/>
      <c r="Q74" s="40"/>
      <c r="R74" s="40"/>
    </row>
    <row r="75">
      <c r="A75" s="22"/>
      <c r="B75" s="22"/>
      <c r="C75" s="47"/>
      <c r="D75" s="47"/>
      <c r="E75" s="100" t="s">
        <v>328</v>
      </c>
      <c r="F75" s="101">
        <f t="shared" ref="F75:H75" si="18">F74+F63</f>
        <v>343.75</v>
      </c>
      <c r="G75" s="101">
        <f t="shared" si="18"/>
        <v>453.7499983</v>
      </c>
      <c r="H75" s="117">
        <f t="shared" si="18"/>
        <v>563.75</v>
      </c>
      <c r="I75" s="47"/>
      <c r="J75" s="47"/>
      <c r="K75" s="47"/>
      <c r="L75" s="47"/>
      <c r="M75" s="48"/>
      <c r="N75" s="49"/>
      <c r="O75" s="50"/>
      <c r="P75" s="51"/>
      <c r="Q75" s="51"/>
      <c r="R75" s="51"/>
    </row>
    <row r="76">
      <c r="A76" s="29"/>
      <c r="B76" s="29"/>
      <c r="C76" s="36"/>
      <c r="D76" s="36"/>
      <c r="E76" s="36"/>
      <c r="F76" s="37"/>
      <c r="G76" s="37"/>
      <c r="H76" s="52"/>
      <c r="I76" s="36"/>
      <c r="J76" s="36"/>
      <c r="K76" s="36"/>
      <c r="L76" s="36"/>
      <c r="M76" s="37"/>
      <c r="N76" s="38"/>
      <c r="O76" s="39"/>
      <c r="P76" s="40"/>
      <c r="Q76" s="40"/>
      <c r="R76" s="40"/>
    </row>
    <row r="77">
      <c r="A77" s="118"/>
      <c r="B77" s="118"/>
      <c r="C77" s="119"/>
      <c r="D77" s="119"/>
      <c r="E77" s="119"/>
      <c r="F77" s="120"/>
      <c r="G77" s="120"/>
      <c r="H77" s="121"/>
      <c r="I77" s="119"/>
      <c r="J77" s="119"/>
      <c r="K77" s="119"/>
      <c r="L77" s="119"/>
      <c r="M77" s="120"/>
      <c r="N77" s="122"/>
      <c r="O77" s="123"/>
      <c r="P77" s="124"/>
      <c r="Q77" s="124"/>
      <c r="R77" s="124"/>
      <c r="S77" s="125"/>
      <c r="T77" s="125"/>
      <c r="U77" s="125"/>
      <c r="V77" s="125"/>
      <c r="W77" s="125"/>
      <c r="X77" s="125"/>
      <c r="Y77" s="125"/>
      <c r="Z77" s="125"/>
    </row>
  </sheetData>
  <mergeCells count="7">
    <mergeCell ref="C1:D1"/>
    <mergeCell ref="B9:B10"/>
    <mergeCell ref="B23:B24"/>
    <mergeCell ref="B56:B57"/>
    <mergeCell ref="F63:F65"/>
    <mergeCell ref="G63:G65"/>
    <mergeCell ref="H63:H65"/>
  </mergeCells>
  <dataValidations>
    <dataValidation type="list" allowBlank="1" showErrorMessage="1" sqref="L17 L23:L24 L29 L63:L67 L69:L77">
      <formula1>"Apt8,AuthBrands "</formula1>
    </dataValidation>
    <dataValidation type="list" allowBlank="1" showErrorMessage="1" sqref="J8:J15 J17:J18 J23:J26 J29:J31 J35:J36 J40:J41 J48 J54:J58 J63:J67 J69:J77">
      <formula1>"High ,Low ,Med "</formula1>
    </dataValidation>
    <dataValidation type="list" allowBlank="1" showErrorMessage="1" sqref="I8:I15 I17:I18 I23:I26 I29 I31 I36 I40:I41 I48 I54 I58 I63:I67 I69:I77">
      <formula1>"Sales,Service,Marketing,Operations,Accounting"</formula1>
    </dataValidation>
    <dataValidation type="list" allowBlank="1" showErrorMessage="1" sqref="O17 O23:O24 O29 O63:O67 O69:O77">
      <formula1>"NOW,NEXT,LATER"</formula1>
    </dataValidation>
    <dataValidation type="list" allowBlank="1" showErrorMessage="1" sqref="I30 I35 I55:I57">
      <formula1>"Marketing,Sales,On-boarding,Service,Admin,Technology"</formula1>
    </dataValidation>
  </dataValidations>
  <printOptions gridLines="1" horizontalCentered="1"/>
  <pageMargins bottom="0.75" footer="0.0" header="0.0" left="0.25" right="0.25" top="0.75"/>
  <pageSetup fitToHeight="0" cellComments="atEnd" orientation="landscape" pageOrder="overThenDown"/>
  <drawing r:id="rId1"/>
</worksheet>
</file>