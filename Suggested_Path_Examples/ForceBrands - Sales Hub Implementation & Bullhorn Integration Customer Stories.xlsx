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Order" sheetId="2" r:id="rId5"/>
    <sheet state="visible" name="Details" sheetId="3" r:id="rId6"/>
    <sheet state="hidden" name="Section"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"may need to" is a little rough to defend. Do these hours consider they will or they won't? 
would consider being more firm
	-Nic Padula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5">
      <text>
        <t xml:space="preserve">@elinfonte@forcebrands.com  I added a quantity of active lists to this row. Please let me know if this is an appropriate number!
	-Matthew Scaramastra</t>
      </text>
    </comment>
    <comment authorId="0" ref="C11">
      <text>
        <t xml:space="preserve">This requirement relies on the Zapier integration being built by ForceBrands and successfully mapping data into HubSpot. The acceptance criteria for A8's work are met after this data is landing in HubSpot.
	-Matthew Scaramastra</t>
      </text>
    </comment>
    <comment authorId="0" ref="G9">
      <text>
        <t xml:space="preserve">Revisit time estimates in lieu of simplified story
	-Matthew Scaramastra</t>
      </text>
    </comment>
  </commentList>
</comments>
</file>

<file path=xl/sharedStrings.xml><?xml version="1.0" encoding="utf-8"?>
<sst xmlns="http://schemas.openxmlformats.org/spreadsheetml/2006/main" count="459" uniqueCount="322">
  <si>
    <t>lea</t>
  </si>
  <si>
    <t xml:space="preserve">ForceBrands Master Customer Story </t>
  </si>
  <si>
    <t>Service</t>
  </si>
  <si>
    <t>Customer Story</t>
  </si>
  <si>
    <t>Suggested Path</t>
  </si>
  <si>
    <t>Assumptions</t>
  </si>
  <si>
    <t>Estimated
Low Hours</t>
  </si>
  <si>
    <t>Estimated
High Hours</t>
  </si>
  <si>
    <t>Potential 
Variance</t>
  </si>
  <si>
    <t>Function</t>
  </si>
  <si>
    <t>POC</t>
  </si>
  <si>
    <t>Executive Summary</t>
  </si>
  <si>
    <t>Additional Notes + Considerations</t>
  </si>
  <si>
    <r>
      <rPr>
        <rFont val="Rubik"/>
        <color theme="1"/>
      </rPr>
      <t xml:space="preserve">ForceBrands is a specialized recruitment firm serving CPG, food &amp; beverage, and retail industries and they are seeking to consolidate sales operations in HubSpot Sales Hub while maintaining recruitment workflows in Bullhorn. This migration addresses critical challenges including limited sales/marketing visibility, incomplete revenue attribution, and process inefficiencies caused by platform limitations and fragmentation.
ForceBrands currently operates both sales and recruitment functions within Bullhorn. The sales and marketing teams lack transparency, manual handoffs create inefficiencies, and the existing Linkfuse integration requires replacement with a more robust solution.
A8 proposes an engagement and project that will migrate the entire sales team to HubSpot Sales Hub while preserving recruitment team workflows in Bullhorn through a custom bi-directional integration. This approach will enable complete marketing-to-revenue attribution, streamlined sales processes, and their specialized recruitment workflows that drive their core business model of retained search and contingency placements.
In an effort to futher consolidate and optimize their tech stack, ForceBrands is also pursuing a website redesign and migration from Wordpress to HubSpot's CMS/Content Hub. This project component will be managed by another vendor, but has dependencies specific to the CRM migration project. A8 will require strong collboration with ForceBrands to ensure revenue-generating requirements are met. 
</t>
    </r>
    <r>
      <rPr>
        <rFont val="Rubik"/>
        <b/>
        <color theme="1"/>
      </rPr>
      <t xml:space="preserve">Scope Changelog: </t>
    </r>
    <r>
      <rPr>
        <rFont val="Rubik"/>
        <color theme="1"/>
      </rPr>
      <t xml:space="preserve">
- Lowered website vendor consulting/collab 15 to 10 
- Rebalanced PM hour allocation
- Reblance of some discovery call allocation
- Consolidated HubSpot configuration into Sales Hub Set-up
- Additional sales services to support account management and feedback loop with marketing</t>
    </r>
  </si>
  <si>
    <r>
      <rPr>
        <rFont val="Rubik"/>
        <color theme="1"/>
      </rPr>
      <t xml:space="preserve">- The assumptions content in this scope are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by ForceBrands. 
</t>
    </r>
    <r>
      <rPr>
        <rFont val="Rubik"/>
        <b/>
        <color theme="1"/>
      </rPr>
      <t xml:space="preserve">Project Risks: 
</t>
    </r>
    <r>
      <rPr>
        <rFont val="Rubik"/>
        <color theme="1"/>
      </rPr>
      <t xml:space="preserve">- As ForceBrands is transforming their technology across multiple departments and platforms at once, risk mitigation is paramount. A8 will surface perceived blockers and will inform ForceBrands of possible change orders promptly
- Should the website timeline affect ForceBrand's Sales Hub/CRM migration and launch, A8 is recommending teams prioritize the CRM launch and then resume the web launch in a modified "Phase 2", requiring an additional scope of work.
- "Duel" forms may need to trigger workflows, support list segmentation, or lead scoring to allow for existing lead management to continue to operate while not block net new lead managment processes
</t>
    </r>
    <r>
      <rPr>
        <rFont val="Rubik"/>
        <b/>
        <color theme="1"/>
      </rPr>
      <t xml:space="preserve">Scope Confirmation Points: </t>
    </r>
    <r>
      <rPr>
        <rFont val="Rubik"/>
        <color theme="1"/>
      </rPr>
      <t xml:space="preserve">
- Are there any other contract expirations or add-on/modules with Bullhorn? 
- Have pulled a majority of marketing implementation and training, assuming collaboration throughout the project
- Data migration is assuming general record parity, with the exception of Opportunities and Jobs, no historical attachments sync'd via the integration
- ForceBrands sales team to support internal configuration and set up</t>
    </r>
  </si>
  <si>
    <t>•</t>
  </si>
  <si>
    <r>
      <rPr>
        <rFont val="Rubik"/>
        <b/>
        <color theme="1"/>
        <sz val="12.0"/>
      </rPr>
      <t>Discovery + Requirements Gathering:</t>
    </r>
    <r>
      <rPr>
        <rFont val="Rubik"/>
        <b val="0"/>
        <color theme="1"/>
        <sz val="12.0"/>
      </rPr>
      <t xml:space="preserve"> Gather and document ForceBrand's business + project requirements</t>
    </r>
  </si>
  <si>
    <t>High</t>
  </si>
  <si>
    <t>Sales Process Requirements Gathering Workshops</t>
  </si>
  <si>
    <t>ForceBrands needs Aptitude 8's strategic guidance to gather and organize requirements for their sales team's migration from Bullhorn to HubSpot, including understanding their contingency and retained search processes.</t>
  </si>
  <si>
    <t>A8 to host workshops with ForceBrands' sales teams and leadership to understand current Bullhorn usage, sales processes, and handoff points between marketing and recruiting teams.</t>
  </si>
  <si>
    <t>-  Up to 4-5 meetings leveraging meeting time, agenda prep, and follow-up items 
-  Workshops will cover pipeline structure for contingency/retained searches, Refills, and Search Confirmations 
-  Deep dive into current Bullhorn workflows and data dependencies 
-  ForceBrands to ensure all relevant stakeholders are available and support scheduling</t>
  </si>
  <si>
    <t>Strategy</t>
  </si>
  <si>
    <t>Marketing Process + Lead Management Requirements Gathering Workshops</t>
  </si>
  <si>
    <t>ForceBrands needs to align their existing Marketing Hub setup with new sales processes and define a new lead scoring framework that works across their website redesign project.</t>
  </si>
  <si>
    <t>A8 to review current Marketing Hub configuration and collaborate with ForceBrands and New Breed to define lead scoring requirements that bridge marketing automation and sales handoff.</t>
  </si>
  <si>
    <t>-  Up to 3-4 workshops focusing on current marketing processes and lead quality definitions 
-  Review of existing automation, lists, and workflows 
-  Lead scoring criteria documentation for both marketing and recruiting qualified leads
-  ForceBrands to ensure all relevant stakeholders are available and support scheduling</t>
  </si>
  <si>
    <t>Go-to-Market Requirements Gathering Workshops</t>
  </si>
  <si>
    <t>ForceBrands' Marketing and Sales teams need Aptitude 8's strategic guidance to gather requirements for lead handoff processes, territory/vertical-based routing, and integration touchpoints with Bullhorn.</t>
  </si>
  <si>
    <t>A8 to host workshops with sales teams and marketing leadership to understand critical marketing-to-sales handoff points and required feedback loops between teams.</t>
  </si>
  <si>
    <t>- Up to 3-4 workshops covering lead routing, MQL processes, territory management, and recruiter data requirements 
- Assumes ForceBrands provides pre-work materials and stakeholder availability</t>
  </si>
  <si>
    <t>Tech Stack / Web Discovery</t>
  </si>
  <si>
    <t>ForceBrands's needs Aptitude 8's expertise and guidance to support their overall technology and architecture planning relative to HubSpot.</t>
  </si>
  <si>
    <t xml:space="preserve">A8 to host workshops with go-to-market and IT teams to align on existing net new platforms that affect the CRM project. </t>
  </si>
  <si>
    <t>- Up to 2-3 meetings to discuss ForceBrand's entire tech stack
Workshops and discovery sessions will discuss the following:
- Any other critical website-dependent projects or technologies
- Data flow between HubSpot and Bullhorn today, versus future needs
- Confirm any additional technologies Forcebrands is considering eg. Enrichment platforms, data warehouses, event/webinar platforms
- Including firming up relational information between people and accounts
- System of truth vs downstream data flows
- Stakeholders and resource requirements may vary for these type of discovery sessions</t>
  </si>
  <si>
    <t>Solutions Engineering</t>
  </si>
  <si>
    <t>Bullhorn Integration Technical Discovery</t>
  </si>
  <si>
    <t>ForceBrands needs comprehensive technical requirements gathering for their custom Bullhorn integration to replace the native connector and support their unique recruiting workflows.</t>
  </si>
  <si>
    <t>A8 to conduct technical discovery sessions to document API requirements, data mapping needs, and bi-directional sync logic between HubSpot and Bullhorn ATS.</t>
  </si>
  <si>
    <t>-  Up to 6-8 technical workshops with marketing, sales, and IT teams 
-  A8 to begin documenting current Bullhorn data model and required objects (jobs, candidates, placements) 
-  Map critical workflows that span both systems 
-  Identify regular-schedule vs batch sync requirements 
-  ForceBrands to support A8's Bullhorn Integration Partner Application process</t>
  </si>
  <si>
    <r>
      <rPr>
        <rFont val="Rubik"/>
        <b/>
        <color theme="1"/>
        <sz val="12.0"/>
      </rPr>
      <t>Solutions Engineering / Project Planning / Final Scope Validation:</t>
    </r>
    <r>
      <rPr>
        <rFont val="Rubik"/>
        <b val="0"/>
        <color theme="1"/>
        <sz val="12.0"/>
      </rPr>
      <t xml:space="preserve"> Define and design a HubSpot instance to meet ForceBrand's needs</t>
    </r>
  </si>
  <si>
    <t>Standard</t>
  </si>
  <si>
    <t>Lead Journey Mapping + Go-to-Market Team Process Visualization</t>
  </si>
  <si>
    <t>ForceBrands needs documentation of their ideal lead management process across systems to ensure all stakeholders understand the new customer journey and how additional platforms interact with the data.</t>
  </si>
  <si>
    <t>A8 to map future state lead journeys, data transition points between systems, and identify process changes required for team adoption in HubSpot.</t>
  </si>
  <si>
    <t>- Cross-functional alignment between marketing and sales teams is required during the earlier discovery phase and meetings
-  Define ownership rules, DQ reason feedback back to marketing for segmentation 
- Specific trigger points for lead/account handoffs will be defined and visualized in Lucid Charts
- Components of this documentation will serve as training material for broader team adoption</t>
  </si>
  <si>
    <t>Sales Process Design &amp; Pipeline Architecture</t>
  </si>
  <si>
    <t>ForceBrands needs their complex recruiting sales processes mapped to HubSpot's pipeline structure, supporting both contingency and retained search models.</t>
  </si>
  <si>
    <t>A8 to design pipeline configurations, deal stages, and required properties to support contingency searches, retained searches, Refills, and Search Confirmations within HubSpot.</t>
  </si>
  <si>
    <t>-  Design one pipeline with appropriate stages and exit criteria 
-  Begin to map Bullhorn job/placement data to HubSpot deal stages and properties 
-  Define automation triggers between pipeline stages 
-  Account for different fee structures and billing models 
-  Design approval workflows for different search types as required</t>
  </si>
  <si>
    <t>Tech Stack Design + Integrated Platform Strategy</t>
  </si>
  <si>
    <t>ForceBrands requires Aptitude 8's expertise to design a holistic HubSpot architecture that integrates seamlessly with their existing tech stack while ensuring proper data flow and maintaining system integrity.</t>
  </si>
  <si>
    <t>A8 to create a technical design document outlining platform and integration touchpoints for current state, transitory, and final Phase 1 launch.</t>
  </si>
  <si>
    <t>- Teams to define and design account and deal data structures and flow between platforms
- Teams to begin to align around sandbox vs production strategy</t>
  </si>
  <si>
    <t>Data Migration Strategy &amp; Data Mapping Support</t>
  </si>
  <si>
    <t>ForceBrands needs a strategic approach to migrate contacts (client and candidates), companies, and opportunities from Bullhorn to HubSpot, focusing on active and recent records while preserving critical relationship data.</t>
  </si>
  <si>
    <t>A8 to develop migration strategy determining what data moves via manual import vs backfilling via the custom integration, with emphasis on active clients, candidates, and recent opportunities.</t>
  </si>
  <si>
    <t>-  Focus on records with activity in last 12-24 months 
-  Define company hierarchy and association rules 
-  A8 to consult on a strategy for deduplication across contact databases 
-  Historical data (and attachments) to be addressed in Phase 2
- Define manual import vs. integration backfill sync strategy based on requirements and most effective path forward
-  A8 to support data mapping exercise with ForceBrands with a template
-  ForceBrands to implement all properties to support implementation and integration requirements (A8 will evaluate other property creation tools to faciliate faster creation)</t>
  </si>
  <si>
    <t>Project Planning + Roadmap / Final Scope Confirmation</t>
  </si>
  <si>
    <t>ForceBrands needs a detailed project plan that coordinates their HubSpot implementation with the concurrent website redesign while minimizing business disruption.</t>
  </si>
  <si>
    <t>A8 to create a comprehensive project plan with phases and project dependencies, coordinating touchpoints with New Breed's website project.</t>
  </si>
  <si>
    <r>
      <rPr>
        <rFont val="Rubik"/>
        <color theme="1"/>
      </rPr>
      <t xml:space="preserve">-  Clear dependencies mapped between website, CRM, and custom Bullhorn integration projects 
-  Designated sales team migration from Bullhorn 
-  Integration development milestones and testing phases 
</t>
    </r>
    <r>
      <rPr>
        <rFont val="Rubik"/>
        <b/>
        <color theme="1"/>
      </rPr>
      <t>Website Note:</t>
    </r>
    <r>
      <rPr>
        <rFont val="Rubik"/>
        <color theme="1"/>
      </rPr>
      <t xml:space="preserve"> This service and component has a critical web project dependency</t>
    </r>
  </si>
  <si>
    <r>
      <rPr>
        <rFont val="Rubik"/>
        <b/>
        <color theme="1"/>
        <sz val="12.0"/>
      </rPr>
      <t xml:space="preserve">HubSpot Implementation - Marketing Hub: </t>
    </r>
    <r>
      <rPr>
        <rFont val="Rubik"/>
        <b val="0"/>
        <color theme="1"/>
        <sz val="12.0"/>
      </rPr>
      <t>Primarily consult and support updates of ForceBrand's marketing process and HubSpot functionality</t>
    </r>
  </si>
  <si>
    <t>Form Strategy &amp; Lead Capture Optimization</t>
  </si>
  <si>
    <t>ForceBrands needs a form strategy that leverages HubSpot forms to optimize lead capture and scoring across their new website.</t>
  </si>
  <si>
    <t>A8 to advise on form architecture, required properties, and smart content opportunities to support compatibility with lead scoring and lead routing requirements.</t>
  </si>
  <si>
    <r>
      <rPr>
        <rFont val="Rubik"/>
        <color theme="1"/>
      </rPr>
      <t xml:space="preserve">A8 to consult on best practices for: 
-  Lead-score dependent properties and page tracking
-  Hidden field mapping for attribution 
-  Form strategy to support analytics and conversion tracking 
-  Assumes 5 to 6 form types and membership log-in does introduce lifecycle complexities
-  ForceBrands and web vendor to implement new forms according to aligned project plan. 
</t>
    </r>
    <r>
      <rPr>
        <rFont val="Rubik"/>
        <b/>
        <color theme="1"/>
      </rPr>
      <t>Website Note:</t>
    </r>
    <r>
      <rPr>
        <rFont val="Rubik"/>
        <color theme="1"/>
      </rPr>
      <t xml:space="preserve"> This service and component has a critical web project dependency</t>
    </r>
  </si>
  <si>
    <t>Consulting</t>
  </si>
  <si>
    <t>Update and Optimize Contact and Account Lifecycles</t>
  </si>
  <si>
    <t>ForceBrands needs a centralized lifecycle that accommodates their marketing and sales process to ensure they are nurtured appropriately.</t>
  </si>
  <si>
    <t>A8 to support and consult on a "master" lifecycle stage aligned with ForceBrands's marketing and sales process, with established transition criteria between stages, and recommend automation rules to move contacts through the lifecycle based on engagement and qualification thresholds.</t>
  </si>
  <si>
    <r>
      <rPr>
        <rFont val="Rubik"/>
        <color theme="1"/>
      </rPr>
      <t xml:space="preserve">- Single lifecycle per person and account objects
- Candidate records to be segmented by a contact type property to create separation from client records
- Lifecycle automation may need to be integrated with lead scoring models
- Custom lead scoring will support this strategy and will be implemented within its own service line
-  These hours represent hybrid working sessions and consulting to effectively utilize budget for launch
</t>
    </r>
    <r>
      <rPr>
        <rFont val="Rubik"/>
        <b/>
        <color theme="1"/>
      </rPr>
      <t xml:space="preserve">Website Note: </t>
    </r>
    <r>
      <rPr>
        <rFont val="Rubik"/>
        <color theme="1"/>
      </rPr>
      <t>This service and component has a critical web project dependency</t>
    </r>
  </si>
  <si>
    <t>Update and Optimize a New Lead Scoring Model</t>
  </si>
  <si>
    <t>ForceBrands needs a lead scoring model that identifies both client prospects and high-value candidates for their recruiting business.</t>
  </si>
  <si>
    <t>A8 to consult ForceBrands on HubSpot's new lead scoring functionality that accounts for lead and account engagement.</t>
  </si>
  <si>
    <r>
      <rPr>
        <rFont val="Rubik"/>
        <color theme="1"/>
      </rPr>
      <t xml:space="preserve">-  Forcebrands to use new native scoring tools
-  Dual scoring model for clients vs candidates 
-  Behavioral scoring based on website engagement 
-  Threshold definition for MQL handoff to sales to be defined in discovery phase
-  These hours represent hybrid working sessions and consulting to effectively utilize budget for launch, A8 to review relevent assets and update as required
</t>
    </r>
    <r>
      <rPr>
        <rFont val="Rubik"/>
        <b/>
        <color theme="1"/>
      </rPr>
      <t>Website Note:</t>
    </r>
    <r>
      <rPr>
        <rFont val="Rubik"/>
        <color theme="1"/>
      </rPr>
      <t xml:space="preserve"> This service and component has a critical web project dependency</t>
    </r>
  </si>
  <si>
    <t>Marketing-to-Sales Lead Assignment Automation</t>
  </si>
  <si>
    <t>ForceBrands needs automated workflows to route qualified leads from marketing to the appropriate sales team member based on territory, search type, and lead score.</t>
  </si>
  <si>
    <t>A8 to build lead routing workflows that consider multiple criteria including geography, industry vertical, search type (contingency vs retained), and lead score thresholds.</t>
  </si>
  <si>
    <t xml:space="preserve">Dynamic lead assignment based on defined criteria 
-  Industry Expertise (First Tier)
-  Geography (Second Tier)
-  Existing account ownership to factor into assignment criteria
-  Automated notifications and task creation 
-  SLA tracking between marketing and sales 
-  Feedback loop for lead quality monitoring </t>
  </si>
  <si>
    <r>
      <rPr>
        <rFont val="Rubik"/>
        <b/>
        <color theme="1"/>
        <sz val="12.0"/>
      </rPr>
      <t>HubSpot Implementation - Sales Hub:</t>
    </r>
    <r>
      <rPr>
        <rFont val="Rubik"/>
        <b val="0"/>
        <color theme="1"/>
        <sz val="12.0"/>
      </rPr>
      <t xml:space="preserve"> Implement HubSpot Sales Hub that aligns with ForceBrands's processes and data needs. </t>
    </r>
  </si>
  <si>
    <t>User Permissions &amp; Team Structure</t>
  </si>
  <si>
    <t>ForceBrands needs role-based permissions that support their newly migrated sales team structure while protecting client data across teams.</t>
  </si>
  <si>
    <t>A8 to host a working session and advise and consult on team hierarchies, permission sets, and record access rules that align with ForceBrands' organizational structure and data requirements.</t>
  </si>
  <si>
    <t>-  ForceBrands to own implementation and configuration, A8 to guide and consult on this process to leverage budget effectively
Team set-up includes:
-  Set up permission sets for sales, recruiting, and marketing roles 
-  Implement record-level permissions for sensitive revenue or commission data 
-  Deal/pipeline visibility rules 
-  ForceBrands is anticipating approximately 20-30 new users in Phase 1</t>
  </si>
  <si>
    <t>Customize Record Layouts</t>
  </si>
  <si>
    <t>ForceBrands wants to show the right information to the right people at the right time on the right object so their users can have a simpler process to follow in their portal.</t>
  </si>
  <si>
    <t xml:space="preserve">A8 to host a working session and advise and consult to support Forcebrand's self-implementation of these updates. </t>
  </si>
  <si>
    <t>- A8 to train on the left, center, and right sidebar customization capabilities
- Contact, Company, Deal, and custom object record customizations
- A8 to train on the relationship between views and team assignments 
- A8 to highlight settings within deal pipeline/cards 
- A8 recommends a single CRM admin or clear responsibilities between Marketing and Sales team</t>
  </si>
  <si>
    <t>Sales Account + Contact Management</t>
  </si>
  <si>
    <t xml:space="preserve">Forcebrands needs a stronger feedback loop between marketing and sales to support their segmentation, reporting, and process needs. 
Additionally, for existing clients, ownership rules need to support lead assignment automations. </t>
  </si>
  <si>
    <t xml:space="preserve">A8 to implement and configure foundational automations to support record ownership and feedback data points between sales and marketing. </t>
  </si>
  <si>
    <t>-  Assumes 4 to 5 automations to support data transfers between records
-  Opportunity for working sessions and consulting to preserve budget
-  Anticipating the use of Contacts, Companies, and Deals to keep reporting and segmentation easier to maintain and more scalable. 
Required data points and configuration include: 
-  Account + contact ownership
-  Feedback loop back to marketing
-  DQ Reasons at contact and account level</t>
  </si>
  <si>
    <t>Sales Pipeline Configuration</t>
  </si>
  <si>
    <t>ForceBrands needs customized sales pipelines to manage their distinct contingency and retained search processes with appropriate automation and stage requirements.</t>
  </si>
  <si>
    <t>A8 to build and configure one pipeline with deal stages and required fields that reflect ForceBrands' recruiting sales methodology.</t>
  </si>
  <si>
    <r>
      <rPr>
        <rFont val="Rubik"/>
        <color theme="1"/>
      </rPr>
      <t xml:space="preserve">-  At launch, Forcebrands is assuming one pipeline will be sufficient to capture their sales process and revenue data
-  If additional pipelines are required to process or forecasting requirements, ForceBrands to implement additional pipelines with A8's consultative support
-  Configure stage properties per defined exit/entry criteria 
-  Forcebrands to implement automations with A8 support per other consulting line items 
ForceBrands is leveraging the following business lines: 
Search - for full-time direct hire searches
Temporary services - for fractional or hourly-based work
Advisory - for project-based, milestone, deliverable-based work
</t>
    </r>
    <r>
      <rPr>
        <rFont val="Rubik"/>
        <b/>
        <color theme="1"/>
      </rPr>
      <t>Note:</t>
    </r>
    <r>
      <rPr>
        <rFont val="Rubik"/>
        <color theme="1"/>
      </rPr>
      <t xml:space="preserve"> Pipelines must be determined early to support sync logic and filtering</t>
    </r>
  </si>
  <si>
    <t>Custom Deal/Search Fee &amp; Commission Tracking</t>
  </si>
  <si>
    <t>ForceBrands needs deal automation to support their fee structures and commission calculations for both contingency and retained search models.</t>
  </si>
  <si>
    <t>A8 to implement search fee calculations, and commission tracking workflows that accommodate different search types and split placement scenarios.</t>
  </si>
  <si>
    <t>-  Deal amount strategy to be defined and approved during the Solution Engineering Phase before implementation
-  Pre-placement deals may need to use a specific "proxy" property. Deal amount can be overwritten, but implications within reporting will be defined during the Solution Engineering Phase
-  Automated fee calculation based on placement salary and Bullhorn Data
-  Commission tracking for individual recruiters done via calculated properties</t>
  </si>
  <si>
    <t>Sales Task Management / Sales Enablement Consulting</t>
  </si>
  <si>
    <t xml:space="preserve">ForceBrands needs their sales team to leverage the enablement tools in HubSpot to reduce spending time on administrative tasks and data input. </t>
  </si>
  <si>
    <t>A8 to consult within working sessions to support Forcebrands' self-implementation of: 
- Sales Workspace
- Calendar, Email, and Conferencing Connectors
- Task automations
- Sales Sequences</t>
  </si>
  <si>
    <t>- A8 to assume a consulatative role to effectively leverage budget and support the launch process
- Working sessions may include building the framework of a sequence and deal-based automations to support the lead management and sales process</t>
  </si>
  <si>
    <t>Sales Quoting + Contracting Consulting</t>
  </si>
  <si>
    <t xml:space="preserve">ForceBrands to send their clients documents and agreements throughout the sales process, at intake, and after a placement has been made. </t>
  </si>
  <si>
    <r>
      <rPr>
        <rFont val="Rubik"/>
      </rPr>
      <t xml:space="preserve">- A8 to assume a hybrid consulatative and implementation role to effectively leverage budget and support the launch process
- ForceBrands will need to review Docusign's documentation during the project
- HubSpot quotes have been evaluated as an unlikely solution due to line item and revenue limitations
ForceBrands has an existing three-phase contract workflow for most of their sold searches:
- Main Service Agreement (MSA) - Umbrella agreement establishing the client relationship
- Statement of Work (SOW) - Job-specific details including title, estimated fee percentage, and billing terms
- Email Confirmation - Post-placement confirmation with final fee calculations and start date
</t>
    </r>
    <r>
      <rPr>
        <rFont val="Rubik"/>
        <b/>
      </rPr>
      <t>Note:</t>
    </r>
    <r>
      <rPr>
        <rFont val="Rubik"/>
      </rPr>
      <t xml:space="preserve"> Docusign does not handle multiple envelope to single deal relationships via the native integration. It may be able to be used as a front-end to create a new document, but it will likely NOT sync to the deal correctly and may also not pull in token data. 
</t>
    </r>
    <r>
      <rPr>
        <rFont val="Rubik"/>
        <color rgb="FF1155CC"/>
        <u/>
      </rPr>
      <t xml:space="preserve">Native integration documentation is available here
</t>
    </r>
    <r>
      <rPr>
        <rFont val="Rubik"/>
      </rPr>
      <t>Additional solutions, like Portant, can be explored during a Phase 2</t>
    </r>
  </si>
  <si>
    <r>
      <rPr>
        <rFont val="Rubik"/>
        <b/>
        <color theme="1"/>
        <sz val="12.0"/>
      </rPr>
      <t xml:space="preserve">HubSpot Consulting - Content Hub: </t>
    </r>
    <r>
      <rPr>
        <rFont val="Rubik"/>
        <b val="0"/>
        <color theme="1"/>
        <sz val="12.0"/>
      </rPr>
      <t>Support the holistic project with website consulting to ForceBrands and additional vendor</t>
    </r>
  </si>
  <si>
    <t>Website Migration Project Coordination</t>
  </si>
  <si>
    <t>ForceBrands needs A8 to coordinate with New Breed on the website redesign project to ensure proper tracking, form strategy, and lead capture alignment with HubSpot configuration.</t>
  </si>
  <si>
    <t>A8 to participate in limited coordination meetings with New Breed and ForceBrands, providing direction for tracking codes, form handling, and lead scoring requirements on the new website.</t>
  </si>
  <si>
    <t xml:space="preserve">-  Coordination meetings with New Breed will be scheduled ad hoc and as capacity allows
-  ForceBrands to attend all meetings
Web dependencies include:
-  Form strategy alignment and requirements 
-  Tracking code and analytics setup guidance 
-  Lead scoring implementation </t>
  </si>
  <si>
    <t>Project Management</t>
  </si>
  <si>
    <r>
      <rPr>
        <rFont val="Rubik"/>
        <b/>
        <color theme="1"/>
        <sz val="12.0"/>
      </rPr>
      <t xml:space="preserve">Data Migration: </t>
    </r>
    <r>
      <rPr>
        <rFont val="Rubik"/>
        <b val="0"/>
        <color theme="1"/>
        <sz val="12.0"/>
      </rPr>
      <t>Migrate Bullhorn entity / object data into HubSpot to support lead and account management</t>
    </r>
  </si>
  <si>
    <t>Contact &amp; Company/Account Delta Data Migration</t>
  </si>
  <si>
    <t>ForceBrands needs their active contact and company records migrated from Bullhorn to establish their database before the sales team transitions to HubSpot.</t>
  </si>
  <si>
    <t xml:space="preserve">A8 to consult on required Bullhorn export and import startegy to align with existing data and Phase 1 needs. A8 to advise on linking data points to preserve associations and reduce duplicates. </t>
  </si>
  <si>
    <t>- ForceBrands will clean and transform export files in an agreed format
- A8 to provide templates and transformation guidance, dependant on integration strategy
- A8 will support with mapping and import strategy but cannot guarantee data quality
- Field-level information will be migrated. Historical sales activity is not part of this Phase 1 scope
- Test imports can occur in ForceBrands's sandbox instance
- Data quality issues requiring additional A8 support will be addressed via a change order
- A8 will assist with one round of field-level mapping QA. Issues beyond template compliance or requiring multiple revisions may require a change order</t>
  </si>
  <si>
    <t>Active Deal &amp; Pipeline Data Migration + Backfill</t>
  </si>
  <si>
    <t>ForceBrands needs their in-flight recruiting searches migrated to HubSpot to ensure business continuity when sales team transitions from Bullhorn.</t>
  </si>
  <si>
    <t>A8 to migrate active contingency and retained searches, mapping Bullhorn job records to HubSpot deals with appropriate pipeline stages and property values.</t>
  </si>
  <si>
    <t>-  Historical criteria to be defined during the Disocvery and Solution Engineering Phases
-  To support launch, backfill to also focus on open searches and recent placements only 
-  Map job status to appropriate pipeline stages 
-  Include fee structures and candidate associations 
-  Coordinate timing with sales team training 
-  Manual validation of high-value searches post-migration</t>
  </si>
  <si>
    <t>Development</t>
  </si>
  <si>
    <r>
      <rPr>
        <rFont val="Rubik"/>
        <b/>
        <color theme="1"/>
        <sz val="12.0"/>
      </rPr>
      <t xml:space="preserve">Bullhorn ATS &lt;&gt; HubSpot System Integration: </t>
    </r>
    <r>
      <rPr>
        <rFont val="Rubik"/>
        <b val="0"/>
        <color theme="1"/>
        <sz val="12.0"/>
      </rPr>
      <t>Develop a custom data connector between Bullhorn and HubSpot</t>
    </r>
  </si>
  <si>
    <t>Bullhorn Integration Requirements Document</t>
  </si>
  <si>
    <t xml:space="preserve">ForceBrands requires that their integration requirements are clearly defined before starting on development so that success criteria and the approach are clear.
Additionally, both A8 and ForceBrands requires thorough documentation to support maintenance and updates to the solution. </t>
  </si>
  <si>
    <t>A8 to create technical design documentation outlining integration architecture, data flow rules, and code environment considerations for the custom Bullhorn connector.</t>
  </si>
  <si>
    <t>-  Aptitude 8 will create an integration requirements document to represent the integration logic and where code is stored
-  Design integration architecture using HubSpot, Pipedream, and Bullhorn ATS
-  Document field mappings for all elligible objects
-  Define sync rules and conflict resolution logic 
-  Compliment plan for initial data migration vs ongoing synchronization 
-  Define which records need to sync on a regular schedule (eg. Deals + Opportunities) versus a nightly batch (eg. Placements)
- A8 to document any implementation dependencies between objects eg. HubSpot workflows that need to be created to support sync criteria</t>
  </si>
  <si>
    <t>Integration Infrastructure Development + Set-up</t>
  </si>
  <si>
    <t>ForceBrands needs a robust custom integration to replace the native Bullhorn connector with bi-directional synchronization of contacts, companies, jobs, and placements.</t>
  </si>
  <si>
    <t xml:space="preserve">A8 to establish the integration enviornment in Pipedream and connect to Sandbox instances of HubSpot and Bullhorn. </t>
  </si>
  <si>
    <r>
      <rPr>
        <rFont val="Rubik"/>
      </rPr>
      <t xml:space="preserve">- A8 will use Pipedream to store integration logic and faciliate the data transfer. ForceBrands will be required to create and own their own instance, and then allow A8 to develop code. 
- If ForceBrands need a Pipedream monthly cost estimate — we’ll need the record volume estimates. We do, however, anticipate a cost savings compared to Linkfuse
- Development contingent on A8 being an approved Bullhorn App Partner
- A8 to leverage Bullhorn Sandbox + HubSpot Sandbox for inital connection and testing
- </t>
    </r>
    <r>
      <rPr>
        <rFont val="Rubik"/>
        <color rgb="FF1155CC"/>
        <u/>
      </rPr>
      <t>Bullhorn Sandbox Documentation</t>
    </r>
  </si>
  <si>
    <t>Custom Objects &amp; Foundational Properties Setup</t>
  </si>
  <si>
    <t>ForceBrands needs HubSpot configured to support their recruiting business model with custom properties for jobs, placements, and specialized contact types.</t>
  </si>
  <si>
    <t>A8 to configure custom properties and custom objects to track recruiting-specific data like candidate skills, job requirements, placement history, and commission structures.</t>
  </si>
  <si>
    <t>-  Up to two custom objects (Placements + Jobs)
-  A8 to create up to 10 custom properties across all objects 
-  A8 to support data mapping exercise with ForceBrands with a template via the 'Data Migration Strategy &amp; Data Mapping' service line above.
-  ForceBrands to implement all properties (A8 will evaluate other property creation tools to faciliate faster creation)</t>
  </si>
  <si>
    <t>Sync Records from HubSpot TO Bullhorn</t>
  </si>
  <si>
    <t>ForceBrands needs to send account and deal information from HubSpot into Bullhorn to faciliate the sales-to-service process with the recruiter team.</t>
  </si>
  <si>
    <t>A8 to develop a custom integration between HubSpot and Bullhorn ATS, leveraging Pipedream to support the code and logic.</t>
  </si>
  <si>
    <r>
      <rPr>
        <rFont val="Rubik"/>
        <color theme="1"/>
      </rPr>
      <t xml:space="preserve">-  A8 to support Bi-directional field mapping configuration where applicable 
-  Assuming custom field support for both platforms 
-  Assuming a max of 50 fields per object across Contacts, Companies, Deals, and Custom Objects
</t>
    </r>
    <r>
      <rPr>
        <rFont val="Rubik"/>
        <b/>
        <color theme="1"/>
      </rPr>
      <t xml:space="preserve">Records syncing TO </t>
    </r>
    <r>
      <rPr>
        <rFont val="Rubik"/>
        <b/>
        <color rgb="FF1155CC"/>
      </rPr>
      <t>Bullhorn</t>
    </r>
    <r>
      <rPr>
        <rFont val="Rubik"/>
        <b/>
        <color theme="1"/>
      </rPr>
      <t xml:space="preserve"> include:
</t>
    </r>
    <r>
      <rPr>
        <rFont val="Rubik"/>
        <color theme="1"/>
      </rPr>
      <t xml:space="preserve">-  HS Contacts &gt; clientContacts
-  HS Contacts &gt; Candidates
-  HS Companies &gt; clientCorporations
-  HS Deals &gt; Opportunities
</t>
    </r>
    <r>
      <rPr>
        <rFont val="Rubik"/>
        <color rgb="FFFF0000"/>
      </rPr>
      <t xml:space="preserve">-  HS Notes &gt; Notes
</t>
    </r>
    <r>
      <rPr>
        <rFont val="Rubik"/>
        <color theme="1"/>
      </rPr>
      <t xml:space="preserve">
</t>
    </r>
    <r>
      <rPr>
        <rFont val="Rubik"/>
        <b/>
        <color theme="1"/>
      </rPr>
      <t xml:space="preserve">Integration Notes: 
</t>
    </r>
    <r>
      <rPr>
        <rFont val="Rubik"/>
        <color theme="1"/>
      </rPr>
      <t xml:space="preserve">- If there is overlap of jane@gmail.com as BOTH client contact and candidate — we’ll have to have special rules of which record “wins” on specific fields and flatten and simplify 
- Assumption is that Bullhorn automation continues to transfer/transform Opportunity to Job, but retains Opportunity ID
- We assume that the opportunity does not also exist as converted, closed, or closed won AFTER conversion
- Notes can only associate to accounts and contacts in Bullhorn, not opportunities
</t>
    </r>
    <r>
      <rPr>
        <rFont val="Rubik"/>
        <b/>
        <color theme="1"/>
      </rPr>
      <t>Not Syncing in Phase 1:</t>
    </r>
    <r>
      <rPr>
        <rFont val="Rubik"/>
        <color theme="1"/>
      </rPr>
      <t xml:space="preserve">
- Contacts &gt; Leads - For launch and to simplify their sales process, ForceBrands is not using a lead object
- Deals &lt; Placement Commissions - we’ll do estimate commissions on the deal object directly, today, ForceBrands use this object as a holding record and do calculations externally</t>
    </r>
  </si>
  <si>
    <t>Sync Records from Bullhorn TO HubSpot</t>
  </si>
  <si>
    <t xml:space="preserve">ForceBrands needs to send account and deal information from Bullhorn intoHubSpot to faciliate the placement and fee revenue logic on sold deals. Along with being able to target and segment candidates. </t>
  </si>
  <si>
    <r>
      <rPr>
        <rFont val="Rubik"/>
        <b/>
        <color theme="1"/>
      </rPr>
      <t xml:space="preserve">Records syncing TO </t>
    </r>
    <r>
      <rPr>
        <rFont val="Rubik"/>
        <b/>
        <color rgb="FFE69138"/>
      </rPr>
      <t>HubSpot</t>
    </r>
    <r>
      <rPr>
        <rFont val="Rubik"/>
        <b/>
        <color theme="1"/>
      </rPr>
      <t xml:space="preserve"> include:
</t>
    </r>
    <r>
      <rPr>
        <rFont val="Rubik"/>
        <color theme="1"/>
      </rPr>
      <t xml:space="preserve">-  clientContacts &gt; HS Contacts
-  Candidates &gt; HS Contacts
-  clientCorporations &gt; HS Companies
-  Opportunities &gt; HS Deals
-  Job Orders &gt; HS Custom Object
-  Placements &gt; HS Deals or Custom Object
</t>
    </r>
    <r>
      <rPr>
        <rFont val="Rubik"/>
        <b/>
        <color theme="1"/>
      </rPr>
      <t xml:space="preserve">Critical Data Note: </t>
    </r>
    <r>
      <rPr>
        <rFont val="Rubik"/>
        <color theme="1"/>
      </rPr>
      <t xml:space="preserve">To support the revenut and placement data correctly, one deal in HubSpot must represent one job in Bullhorn.
</t>
    </r>
    <r>
      <rPr>
        <rFont val="Rubik"/>
        <b/>
        <color rgb="FFFF0000"/>
      </rPr>
      <t xml:space="preserve">Note: </t>
    </r>
    <r>
      <rPr>
        <rFont val="Rubik"/>
        <color rgb="FFFF0000"/>
      </rPr>
      <t xml:space="preserve">We are not anticipating a need to sync Notes </t>
    </r>
    <r>
      <rPr>
        <rFont val="Rubik"/>
        <color rgb="FFFF0000"/>
        <u/>
      </rPr>
      <t>from</t>
    </r>
    <r>
      <rPr>
        <rFont val="Rubik"/>
        <color rgb="FFFF0000"/>
      </rPr>
      <t xml:space="preserve"> Bullhorn to HubSpot for Phase 1</t>
    </r>
  </si>
  <si>
    <t xml:space="preserve">Integration Testing &amp; Deployment (UAT) </t>
  </si>
  <si>
    <t>ForceBrands needs comprehensive testing and a controlled deployment process to ensure the custom integration operates reliably in production without data loss or conflicts.</t>
  </si>
  <si>
    <t>A8 to conduct thorough integration testing within defined UAT scenarios, followed by a phased production deployment with monitoring.</t>
  </si>
  <si>
    <t>-  A8 to complete internal testing for all sync functions before transitioning UAT to ForceBrands for approvals
-  A8 to to confirm integration capabilities with production-like volumes 
-  A8 + ForceBrands to complete UAT in both Sandbox and production before go-live</t>
  </si>
  <si>
    <t>Integration Launch + Historical Sync</t>
  </si>
  <si>
    <r>
      <rPr>
        <rFont val="Rubik"/>
        <b/>
        <color theme="1"/>
      </rPr>
      <t>Note:</t>
    </r>
    <r>
      <rPr>
        <rFont val="Rubik"/>
        <color theme="1"/>
      </rPr>
      <t xml:space="preserve"> Please reference the 'Data Migration' section above for reference on our assumed approach to this data for launch</t>
    </r>
  </si>
  <si>
    <r>
      <rPr>
        <rFont val="Rubik"/>
        <b/>
        <color theme="1"/>
        <sz val="12.0"/>
      </rPr>
      <t>Sales + Marketing Reporting:</t>
    </r>
    <r>
      <rPr>
        <rFont val="Rubik"/>
        <b val="0"/>
        <color theme="1"/>
        <sz val="12.0"/>
      </rPr>
      <t xml:space="preserve"> Train ForceBrands on how to create custom reports and dashboards to support business insights directly in HubSpot</t>
    </r>
  </si>
  <si>
    <t>Sales + Marketing Performance Reporting</t>
  </si>
  <si>
    <t>ForceBrands needs reporting for teams and individual sales reps to support coaching, compensation, and lead allocation decisions.</t>
  </si>
  <si>
    <t>A8 to consult and train ForceBrand users on how to create sales dashboards with activity metrics, pipeline management, and foundational revenue analysis.</t>
  </si>
  <si>
    <t>-  These hours represent hybrid working sessions and training to effectively utilize budget for launch
Reports may include:
-  Individual sales dashboards 
-  Activity tracking and call metrics 
-  Commission and revenue reports 
-  Team revenue performance</t>
  </si>
  <si>
    <t>Revenue Forecasting &amp; Pipeline Reporting</t>
  </si>
  <si>
    <t>ForceBrands needs foundational revenue forecasting that accounts for contingency searches and milestone-based retained engagements.</t>
  </si>
  <si>
    <t>A8 to consult and train ForceBrand users on how to create weighted pipeline forecasting for different deals types.</t>
  </si>
  <si>
    <t>-  These hours represent hybrid working sessions and training to effectively utilize budget for launch
Reports may include:
-  Weighted revenue forecasting by deal type 
-  Conversion rate analysis 
-  Pipeline stage tracking 
-  Fee realization reporting 
-  Quarterly and annual revenue projections</t>
  </si>
  <si>
    <r>
      <rPr>
        <rFont val="Rubik"/>
        <b/>
        <color theme="1"/>
        <sz val="12.0"/>
      </rPr>
      <t>Training &amp; Documentation:</t>
    </r>
    <r>
      <rPr>
        <rFont val="Rubik"/>
        <b val="0"/>
        <color theme="1"/>
        <sz val="12.0"/>
      </rPr>
      <t xml:space="preserve"> Train ForceBrands resources on HubSpot best practices, contextual to their sales and marketing processes</t>
    </r>
  </si>
  <si>
    <t>Sales Train-the-Trainer Training</t>
  </si>
  <si>
    <t>ForceBrands needs training for sales leaders who will share HubSpot knowledge to their teams, enabling sustainable adoption across the organization.</t>
  </si>
  <si>
    <t>A8 to deliver custom train-the-trainer sessions for sales leadership covering HubSpot fundamentals, deal-specific workflows, and integration overviews for their teams.</t>
  </si>
  <si>
    <t>-  A8 anticipates training ForceBrands' leadership and in-house trainer/HR resources
-  Sessions will be recorded for ongoing reference 
-  Live virtual sessions with Q&amp;A 
-  A8 to provide HubSpot Academy recommendations that need to be watched before custom training</t>
  </si>
  <si>
    <t>Sales End User Training</t>
  </si>
  <si>
    <t>ForceBrands needs tailored training sessions for their sales teams to support effective platform adoption.</t>
  </si>
  <si>
    <t>A8 to conduct sales-specific training sessions with live screensharing covering daily workflows, best practices, and account- and deal-specific use cases within HubSpot.</t>
  </si>
  <si>
    <t>-  Sessions will be recorded for ongoing reference 
-  Live virtual sessions with Q&amp;A 
-  Sandbox exercises with real data 
-  Quick reference guides for common tasks 
-  A8 and ForceBrands to discuss viability of post-training support office hours with existing budget
-  A8 to provide HubSpot Academy recommendations that need to be watched before custom training</t>
  </si>
  <si>
    <t>Technical Documentation &amp; Admin Guides</t>
  </si>
  <si>
    <t>ForceBrands needs technical documentation for their HubSpot configuration to support ongoing maintenance and troubleshooting.</t>
  </si>
  <si>
    <t>A8 to create technical documentation including descriptions and insights on object architecture, configuration guides, and critical workflows for ForceBrand's admin teams.</t>
  </si>
  <si>
    <t>-  Include or link out to integration architecture diagrams
-  Include or link out to existing visuals created during the solution design phase 
-  Document will be a living and breathing asset during the project and hosted in Google Docs
-  Bullhorn integration document is a separate document and deliverable above</t>
  </si>
  <si>
    <r>
      <rPr>
        <rFont val="Rubik"/>
        <b/>
        <color theme="1"/>
        <sz val="12.0"/>
      </rPr>
      <t xml:space="preserve">Launch and Portal UAT: </t>
    </r>
    <r>
      <rPr>
        <rFont val="Rubik"/>
        <b val="0"/>
        <color theme="1"/>
        <sz val="12.0"/>
      </rPr>
      <t>Support ForceBrands' sales go-live and final migration</t>
    </r>
  </si>
  <si>
    <t>Portal Configuration Testing &amp; Validation</t>
  </si>
  <si>
    <t>ForceBrands needs systematic testing of all HubSpot configurations including pipelines, automation, permissions, and reporting before full team rollout.</t>
  </si>
  <si>
    <t>A8 to support ForceBrands in Portal configuration testing across all hubs, validating workflows, permissions, reporting accuracy, and user experience for each role.</t>
  </si>
  <si>
    <r>
      <rPr>
        <rFont val="Rubik"/>
        <color theme="1"/>
      </rPr>
      <t xml:space="preserve">-  To effectively leverage budget, this will be a collaborative service with A8 sitting in a more consultative seat while ForceBrands review required configurations, including: 
-  Pipeline and deal automation testing
-  Permission and security validation
-  Workflow and lead routing verification
-  Bullhorn data is continuing to sync
</t>
    </r>
    <r>
      <rPr>
        <rFont val="Rubik"/>
        <b/>
        <color theme="1"/>
      </rPr>
      <t>Website Note:</t>
    </r>
    <r>
      <rPr>
        <rFont val="Rubik"/>
        <color theme="1"/>
      </rPr>
      <t xml:space="preserve"> This service and component has a critical web project dependency. A8 is not responsible for QA of the website or form implementation.</t>
    </r>
  </si>
  <si>
    <t>Go-Live Preparation &amp; Cutover Support</t>
  </si>
  <si>
    <t>ForceBrands needs a go-live plan to transition from Bullhorn to HubSpot as their primary sales platform with minimal business disruption.</t>
  </si>
  <si>
    <t>A8 to create and support a go-live plan including final data sync, team transition, and system cutover procedures.</t>
  </si>
  <si>
    <r>
      <rPr>
        <rFont val="Rubik"/>
        <color theme="1"/>
      </rPr>
      <t xml:space="preserve">A8 to consult on: 
-  Final data migration to support delta of opportunities/deals in Bullhorn
- Best practices for manually creating HubSpot deals should the integration not be able to support a historical sync of active opportunities
</t>
    </r>
    <r>
      <rPr>
        <rFont val="Rubik"/>
        <b/>
        <color theme="1"/>
      </rPr>
      <t>Note:</t>
    </r>
    <r>
      <rPr>
        <rFont val="Rubik"/>
        <color theme="1"/>
      </rPr>
      <t xml:space="preserve"> There may be a short period where ForceBrands needs to sunset the existing (Linkfuse) Bullhorn integration and manually update records in Bullhorn before go-live
</t>
    </r>
    <r>
      <rPr>
        <rFont val="Rubik"/>
        <b/>
        <color theme="1"/>
      </rPr>
      <t>Website Note:</t>
    </r>
    <r>
      <rPr>
        <rFont val="Rubik"/>
        <color theme="1"/>
      </rPr>
      <t xml:space="preserve"> This service and component has a critical web project dependency</t>
    </r>
  </si>
  <si>
    <t>◆</t>
  </si>
  <si>
    <r>
      <rPr>
        <rFont val="Rubik"/>
        <b/>
        <color theme="1"/>
        <sz val="12.0"/>
      </rPr>
      <t>Project Management + Strategy:</t>
    </r>
    <r>
      <rPr>
        <rFont val="Rubik"/>
        <b val="0"/>
        <color theme="1"/>
        <sz val="12.0"/>
      </rPr>
      <t xml:space="preserve"> Support this project with transparency and regular progress reports</t>
    </r>
  </si>
  <si>
    <t>Project Kickoff, Onboarding, and Closeout</t>
  </si>
  <si>
    <t>ForceBrands needs a partner to support managing the HubSpot CRM and Integration project, ensuring deadlines are clear and met.</t>
  </si>
  <si>
    <t xml:space="preserve">To support management and communication, a project manager and delivery lead will own all A8 tasks and clearly communicate needs to ForceBrands. </t>
  </si>
  <si>
    <r>
      <rPr>
        <rFont val="Rubik"/>
        <color theme="1"/>
      </rPr>
      <t xml:space="preserve">- Assumption is that website vendor will provide regular updates async to reduce regular meetings. Hours can be pulled from 'HubSpot Consulting - Content Hub' Workstream as meetings are required
- Visibility to budget spend will be provided during the duration of the project
- A8 will provide check-in agenda items and follow-ups
- ForceBrands to communicate to A8's shared inbox for easier collaboration and timely responses
</t>
    </r>
    <r>
      <rPr>
        <rFont val="Rubik"/>
        <b/>
        <color theme="1"/>
      </rPr>
      <t>Note:</t>
    </r>
    <r>
      <rPr>
        <rFont val="Rubik"/>
        <color theme="1"/>
      </rPr>
      <t xml:space="preserve"> A8 will not be responsible for actively updating tasks or communications in any other PM/PSA platforms per this contract and budget</t>
    </r>
  </si>
  <si>
    <t xml:space="preserve">Recurring Project Check-ins </t>
  </si>
  <si>
    <t xml:space="preserve">Project Administration </t>
  </si>
  <si>
    <t>■</t>
  </si>
  <si>
    <r>
      <rPr>
        <rFont val="Rubik"/>
        <b/>
        <color theme="1"/>
        <sz val="12.0"/>
      </rPr>
      <t>NEXT Post-Launch Support:</t>
    </r>
    <r>
      <rPr>
        <rFont val="Rubik"/>
        <b val="0"/>
        <color theme="1"/>
        <sz val="12.0"/>
      </rPr>
      <t xml:space="preserve"> Support ForceBrand's marketing team after the migration is complete</t>
    </r>
  </si>
  <si>
    <t>NEXT Post-Launch Support</t>
  </si>
  <si>
    <t>These post go-live support hours can be used for anything HubSpot related (reporting, training, iterations, additional asks, etc.)</t>
  </si>
  <si>
    <t>Hours/Month:</t>
  </si>
  <si>
    <t># of Months:</t>
  </si>
  <si>
    <t>※</t>
  </si>
  <si>
    <t>Total Estimated 
Engagement Hours:</t>
  </si>
  <si>
    <t>Low Hour Estimate:</t>
  </si>
  <si>
    <t>High Hour Estimate:</t>
  </si>
  <si>
    <t>⚑</t>
  </si>
  <si>
    <t>Total Estimated 
Investment:</t>
  </si>
  <si>
    <r>
      <rPr>
        <rFont val="Rubik"/>
        <b/>
        <color rgb="FFFFFFFF"/>
        <sz val="17.0"/>
      </rPr>
      <t xml:space="preserve">Recommended NEXT Post-Launch Initatives 
</t>
    </r>
    <r>
      <rPr>
        <rFont val="Rubik"/>
        <b val="0"/>
        <color rgb="FFFFFFFF"/>
        <sz val="12.0"/>
      </rPr>
      <t xml:space="preserve">These deliverables are not part of the Phase 1 scope and project and will be subject to change as your NOW project commences. </t>
    </r>
  </si>
  <si>
    <t>⊳</t>
  </si>
  <si>
    <t>Future Phase Work</t>
  </si>
  <si>
    <t>Low</t>
  </si>
  <si>
    <t>Advanced Reporting - Implementation + Training</t>
  </si>
  <si>
    <t>Contract and document handling</t>
  </si>
  <si>
    <t>Executive Dashboards &amp; KPI Reporting</t>
  </si>
  <si>
    <t>Historical Opportunity Attachments</t>
  </si>
  <si>
    <t>Data Enrichment Connection Support</t>
  </si>
  <si>
    <t>Event / Conference Tracking and Lead Management</t>
  </si>
  <si>
    <t>Marketing Team Advanced Training</t>
  </si>
  <si>
    <t>©</t>
  </si>
  <si>
    <t>2025 Aptitude 8</t>
  </si>
  <si>
    <r>
      <rPr>
        <rFont val="Rubik"/>
        <b/>
        <color theme="1"/>
        <sz val="12.0"/>
      </rPr>
      <t>HubSpot Implementation - Sales Hub:</t>
    </r>
    <r>
      <rPr>
        <rFont val="Rubik"/>
        <b val="0"/>
        <color theme="1"/>
        <sz val="12.0"/>
      </rPr>
      <t xml:space="preserve"> Implement HubSpot Sales Hub that aligns with ForceBrands's processes and data needs. </t>
    </r>
  </si>
  <si>
    <t>Platform Integration</t>
  </si>
  <si>
    <t>ForceBrands will install and set up various platform integrations with HubSpot to support sales and marketing processes using native integrations/workflows including Slack, Calendly &amp; potentially LinkedIn. A8 to consult on implementation and optimization.</t>
  </si>
  <si>
    <t>A8 to consult with ForceBrands on how to best use HubSpot’s native integrations with Slack, HubSpot scheduling tools, and LinkedIn. Our focus will be on aligning these tools to sales &amp; marketing processes, recommending best practices, and advising on adoption and governance so the team can implement effectively.</t>
  </si>
  <si>
    <t>-  Up to 3 workshops focusing on integration objectives and UI optimization
 - Provide automation recommendations, configure 2-3 workflows.</t>
  </si>
  <si>
    <t>Matt Scaramastra/Jen O'Connell</t>
  </si>
  <si>
    <t>Pipeline Automation</t>
  </si>
  <si>
    <t xml:space="preserve">ForceBrands needs advanced automation implemented so that specified activities in Bullhorn or Docusign trigger deal or lifecycle stage advancement and to fulfill optimal lead routing/assignment rules. </t>
  </si>
  <si>
    <t xml:space="preserve">Sales Qualification → Lifecycle Advancement
- Establish rules where a designated sales qualifying call meeting type automatically triggers advancement of the contact to SQL lifecycle stage.
Contract Progression → Deal Stage Update
- Set up automation for deal stages to advance when key contract milestones are reached (e.g., MSA sent or signature completed on a DocuSign envelope associated with the deal).
- Ops Hub Pro will not be an option for any custom coded workflows, which may limit automation around Docusign.
</t>
  </si>
  <si>
    <t>Note: Ops Hub costs would be separate and are not included in scope but not expected as prerequisite at this time.</t>
  </si>
  <si>
    <t>Data Transformation</t>
  </si>
  <si>
    <t xml:space="preserve">ForceBrands needs company industry to be set from a list of prescribed options. When HubSpot enriches company records' industry value, a workflow should update the industry to one of the prescribed values. </t>
  </si>
  <si>
    <t>Build a standardized UI workflow that leverages a ForceBrands industry picklist. This ensures consistent classification of records across key categories such as:
 - Agency
 - Alch Bev
 - Beauty
 - Cannabis
 - Consumer Tech 
 - Food 
 - Non-Alch Beverage
 - PE/VC
 - Pet</t>
  </si>
  <si>
    <t xml:space="preserve"> - ForceBrands Hubspot Breeze Enrichment Taxonomy
</t>
  </si>
  <si>
    <t>Lead Scoring</t>
  </si>
  <si>
    <t>The integration between the Niceboard job board platform and HubSpot is a critical component of ForceBrands' lead management and scoring strategy, particularly for capturing high-intent client prospects and high-value candidates. While A8 is not responsible for the Zapier build, the workflows in HubSpot are essential for processing the data and applying the lead scoring logic defined in the discovery.</t>
  </si>
  <si>
    <t>A8 to consult with ForceBrands in 2-3 workshop sessions on the processes that ingest Niceboard data and automatically set Contact Type (Client/Candidate), update the lead scores, and drive lead score triggered workflows for lifecycle stage, integration, etc. This is a strategy and recommendation deliverable.</t>
  </si>
  <si>
    <t>-  Up to 2-3 workshops focusing on feasibility, integration optimization, and workflow strategies.
 - Evaluate NiceBoard/Zapier integration, provide integration and automation recommendations, configure 2-3 workflows.</t>
  </si>
  <si>
    <t>Contact/Company Record Enrichment</t>
  </si>
  <si>
    <t xml:space="preserve">ForceBrands wants to implement Breeze for contact &amp; company enrichment to replace Zoom Info. </t>
  </si>
  <si>
    <t>Help guide evaluation of Breeze as the new enrichment tool for contacts and companies, potentially replacing ZoomInfo. Support optimization of Breeze or Zoominfo, testing enrichment accuracy across ForceBrands’ core data objects, establishing governance to ensure ongoing data quality and consistency, and optimization of segmentation and related workflows.</t>
  </si>
  <si>
    <t>Breeze/Zoominfo will be configured only for Contact and Company enrichment (not Deals, custom objects, or custom API enrichments).
-  Up to 2 workshops focusing on feasibility, optimization, and workflow strategies.
- Development of up to 3 workflows and related lists/views to support segmentation and automation.</t>
  </si>
  <si>
    <t>Colleen Ogg</t>
  </si>
  <si>
    <r>
      <rPr>
        <rFont val="Rubik"/>
        <b/>
        <color theme="1"/>
        <sz val="12.0"/>
      </rPr>
      <t xml:space="preserve">Data Migration: </t>
    </r>
    <r>
      <rPr>
        <rFont val="Rubik"/>
        <b val="0"/>
        <color theme="1"/>
        <sz val="12.0"/>
      </rPr>
      <t>Migrate Bullhorn entity / object data into HubSpot to support lead and account management</t>
    </r>
  </si>
  <si>
    <t>Marketing Contact Segmentation</t>
  </si>
  <si>
    <t>Lists should be created based on content interaction, page visits, and other behavioral triggers for targeted campaigns. The DNR (Do Not Recruit) list from Metabase should be recreated in HubSpot to prevent recruiters from poaching candidates from active clients. The system should manage contacts who change companies while maintaining associations between old and new contact records.</t>
  </si>
  <si>
    <t>A8 to host workshops with ForceBrands' sales teams and leadership to understand objectives, data architecture, and to provide training on advanced filtering options.</t>
  </si>
  <si>
    <t>-  Up to 3-4 workshops focusing on segmentation objectives and optimal filtering
-  Review of lists, and DNR Metabase configuration
-  Contact object/association and view customization to utilize DNR status
-  Contact object/association and view customization to capture employment history/current association status
-  ForceBrands to ensure all relevant stakeholders are available and support scheduling</t>
  </si>
  <si>
    <t>Sales Process/Asset Migration</t>
  </si>
  <si>
    <t xml:space="preserve">ForceBrands needs Tearsheets recreated as 1) active lists and 2) as a marketing event or custom object to enable the association of various objects (Contacts, companies, deals, etc). </t>
  </si>
  <si>
    <t>A8 to evaluate current use cases and collaborate with ForceBrands to prioritize active lists and implement optimal functionality to enable show/event Tearsheet use case.</t>
  </si>
  <si>
    <t>- Review list filter configuration in Bullhorn and ensure property/logic is configured in HubSpot.
- Setup Tearsheet saved searches as active lists/segments (up to 60)
- Setup Marketing Events/Custom Objects 
- Export &amp; Import up to 20 historical event attendees/associates to HubSpot Object</t>
  </si>
  <si>
    <r>
      <rPr>
        <rFont val="Rubik"/>
        <b/>
        <color theme="1"/>
        <sz val="12.0"/>
      </rPr>
      <t xml:space="preserve">Bullhorn ATS &lt;&gt; HubSpot System Integration: </t>
    </r>
    <r>
      <rPr>
        <rFont val="Rubik"/>
        <b val="0"/>
        <color theme="1"/>
        <sz val="12.0"/>
      </rPr>
      <t>Develop a custom data connector between Bullhorn and HubSpot</t>
    </r>
  </si>
  <si>
    <r>
      <rPr>
        <rFont val="Rubik"/>
        <color rgb="FF999999"/>
      </rPr>
      <t xml:space="preserve">-  A8 to support Bi-directional field mapping configuration where applicable 
-  Assuming custom field support for both platforms 
-  Assuming a max of 50 fields per object across Contacts, Companies, Deals, and Custom Objects
</t>
    </r>
    <r>
      <rPr>
        <rFont val="Rubik"/>
        <b/>
        <color theme="1"/>
      </rPr>
      <t xml:space="preserve">Records syncing TO </t>
    </r>
    <r>
      <rPr>
        <rFont val="Rubik"/>
        <b/>
        <color rgb="FF0000FF"/>
      </rPr>
      <t>Bullhorn</t>
    </r>
    <r>
      <rPr>
        <rFont val="Rubik"/>
        <b/>
        <color theme="1"/>
      </rPr>
      <t xml:space="preserve"> include:</t>
    </r>
    <r>
      <rPr>
        <rFont val="Rubik"/>
        <color rgb="FF999999"/>
      </rPr>
      <t xml:space="preserve">
-  HS Contacts &gt; clientContacts
-  HS Contacts &gt; Candidates
-  HS Companies &gt; clientCorporations
-  HS Deals &gt; Opportunities
-  HS Notes &gt; Notes</t>
    </r>
    <r>
      <rPr>
        <rFont val="Rubik"/>
        <color theme="1"/>
      </rPr>
      <t xml:space="preserve">
</t>
    </r>
    <r>
      <rPr>
        <rFont val="Rubik"/>
        <b/>
        <color rgb="FFFF0000"/>
      </rPr>
      <t>-  HS Meetings &gt; BH Notes
-  HS Calls &gt; BH Notes</t>
    </r>
    <r>
      <rPr>
        <rFont val="Rubik"/>
        <color theme="1"/>
      </rPr>
      <t xml:space="preserve">
</t>
    </r>
    <r>
      <rPr>
        <rFont val="Rubik"/>
        <color rgb="FFB7B7B7"/>
      </rPr>
      <t xml:space="preserve">Integration Notes: </t>
    </r>
    <r>
      <rPr>
        <rFont val="Rubik"/>
        <color theme="1"/>
      </rPr>
      <t xml:space="preserve">
</t>
    </r>
    <r>
      <rPr>
        <rFont val="Rubik"/>
        <color rgb="FFB7B7B7"/>
      </rPr>
      <t>If there is overlap of jane@gmail.com as BOTH client contact and candidate —</t>
    </r>
    <r>
      <rPr>
        <rFont val="Rubik"/>
        <color theme="1"/>
      </rPr>
      <t xml:space="preserve"> </t>
    </r>
    <r>
      <rPr>
        <rFont val="Rubik"/>
        <strike/>
        <color rgb="FFB7B7B7"/>
      </rPr>
      <t xml:space="preserve">we’ll have to have special rules of which record “wins” on specific fields and flatten and simplify </t>
    </r>
    <r>
      <rPr>
        <rFont val="Rubik"/>
        <color theme="1"/>
      </rPr>
      <t xml:space="preserve"> </t>
    </r>
    <r>
      <rPr>
        <rFont val="Rubik"/>
        <b/>
        <color theme="1"/>
      </rPr>
      <t>Candidate and client specific fields do not overlap. Fields that do overlap are standard such as first name, last name, email address.
- Candidate contacts and client contacts that share the same email address will exist as a single contact record in HubSpot.</t>
    </r>
    <r>
      <rPr>
        <rFont val="Rubik"/>
        <color theme="1"/>
      </rPr>
      <t xml:space="preserve">
</t>
    </r>
    <r>
      <rPr>
        <rFont val="Rubik"/>
        <color rgb="FFB7B7B7"/>
      </rPr>
      <t xml:space="preserve">- Assumption is that Bullhorn automation continues to transfer/transform Opportunity to Job, but retains Opportunity ID
- We assume that the opportunity does not also exist as converted, closed, or closed won AFTER conversion
- Notes can only associate to accounts and contacts in Bullhorn, not opportunities
Not Syncing in Phase 1:
- Contacts &gt; Leads - For launch and to simplify their sales process, ForceBrands is not using a lead object
- Deals &lt; Placement Commissions - we’ll do estimate commissions on the deal object directly, today, ForceBrands use this object as a holding record and do calculations externally"
-------
</t>
    </r>
  </si>
  <si>
    <t>Michelle Tabor</t>
  </si>
  <si>
    <r>
      <rPr>
        <rFont val="Rubik"/>
        <b/>
        <color theme="1"/>
      </rPr>
      <t xml:space="preserve">Records syncing TO </t>
    </r>
    <r>
      <rPr>
        <rFont val="Rubik"/>
        <b/>
        <color rgb="FFFF9900"/>
      </rPr>
      <t>HubSpot</t>
    </r>
    <r>
      <rPr>
        <rFont val="Rubik"/>
        <b/>
        <color theme="1"/>
      </rPr>
      <t xml:space="preserve"> include:</t>
    </r>
    <r>
      <rPr>
        <rFont val="Rubik"/>
        <color theme="1"/>
      </rPr>
      <t xml:space="preserve">
</t>
    </r>
    <r>
      <rPr>
        <rFont val="Rubik"/>
        <color rgb="FFB7B7B7"/>
      </rPr>
      <t xml:space="preserve">-  clientContacts &gt; HS Contacts
-  Candidates &gt; HS Contacts
-  clientCorporations &gt; HS Companies
-  Opportunities &gt; HS Deals
-  Job Orders &gt; </t>
    </r>
    <r>
      <rPr>
        <rFont val="Rubik"/>
        <b/>
        <color theme="1"/>
      </rPr>
      <t>HS Deals</t>
    </r>
    <r>
      <rPr>
        <rFont val="Rubik"/>
        <color rgb="FFB7B7B7"/>
      </rPr>
      <t xml:space="preserve">
-  Placements &gt; </t>
    </r>
    <r>
      <rPr>
        <rFont val="Rubik"/>
        <b/>
        <color theme="1"/>
      </rPr>
      <t>HS Custom Objects</t>
    </r>
    <r>
      <rPr>
        <rFont val="Rubik"/>
        <color theme="1"/>
      </rPr>
      <t xml:space="preserve">
</t>
    </r>
    <r>
      <rPr>
        <rFont val="Rubik"/>
        <b/>
        <color rgb="FFFF0000"/>
      </rPr>
      <t>- BH Notes &gt; HS Meetings 6-10
- BH Notes &gt; HS Calls 6-10
- BH Notes &gt; HS Notes 6-10</t>
    </r>
    <r>
      <rPr>
        <rFont val="Rubik"/>
        <color theme="1"/>
      </rPr>
      <t xml:space="preserve">
</t>
    </r>
    <r>
      <rPr>
        <rFont val="Rubik"/>
        <strike/>
        <color rgb="FFB7B7B7"/>
      </rPr>
      <t>Note: We are not anticipating a need to sync Notes from Bullhorn to HubSpot for Phase 1</t>
    </r>
  </si>
  <si>
    <r>
      <rPr>
        <rFont val="Rubik"/>
        <b/>
        <color theme="1"/>
        <sz val="12.0"/>
      </rPr>
      <t>Project Management + Strategy:</t>
    </r>
    <r>
      <rPr>
        <rFont val="Rubik"/>
        <b val="0"/>
        <color theme="1"/>
        <sz val="12.0"/>
      </rPr>
      <t xml:space="preserve"> Support this project with transparency and regular progress reports</t>
    </r>
  </si>
  <si>
    <r>
      <rPr>
        <rFont val="Rubik"/>
        <color rgb="FFB7B7B7"/>
      </rPr>
      <t xml:space="preserve">- Assumption is that website vendor will provide regular updates async to reduce regular meetings. Hours can be pulled from 'HubSpot Consulting - Content Hub' Workstream as meetings are required
- Visibility to budget spend will be provided during the duration of the project
- A8 will provide check-in agenda items and follow-ups
- ForceBrands to communicate to A8's shared inbox for easier collaboration and timely responses
- Standard 25-30% calculation based on scoped hours
</t>
    </r>
    <r>
      <rPr>
        <rFont val="Rubik"/>
        <b/>
        <color rgb="FFB7B7B7"/>
      </rPr>
      <t>Note:</t>
    </r>
    <r>
      <rPr>
        <rFont val="Rubik"/>
        <color rgb="FFB7B7B7"/>
      </rPr>
      <t xml:space="preserve"> A8 will not be responsible for actively updating tasks or communications in any other PM/PSA platforms per this contract and budget</t>
    </r>
  </si>
  <si>
    <t>`</t>
  </si>
  <si>
    <t>Proposal + Project Details</t>
  </si>
  <si>
    <t xml:space="preserve">[Company] aims to enhance their CRM functionality by integrating HubSpot with key business systems like QuickBooks and Power BI, streamlining financial management and analytical reporting. They prioritize automation of sales pipelines and customization of quotes to improve operational efficiency and customer engagement. A strategic partnership is sought for long-term optimization and scalability of their CRM ecosystem.  [Company] end goal is a cohesive, data-driven environment that supports growth and adapts to evolving business needs.	</t>
  </si>
  <si>
    <t>Deal Inputs</t>
  </si>
  <si>
    <t>Deal + Asset Links</t>
  </si>
  <si>
    <t>Company Name</t>
  </si>
  <si>
    <t>ForceBrands</t>
  </si>
  <si>
    <t>Google Folder</t>
  </si>
  <si>
    <t>https://drive.google.com/drive/folders/14fDmynzdEigsuU_KtYA9DFUixVnMCVet</t>
  </si>
  <si>
    <t>Deal Record ID</t>
  </si>
  <si>
    <t>Deal Link</t>
  </si>
  <si>
    <t>Last Sync to HubSpot</t>
  </si>
  <si>
    <t>Solutions Architect</t>
  </si>
  <si>
    <t>Request Scope Review</t>
  </si>
  <si>
    <t>scoping_status</t>
  </si>
  <si>
    <t>Service Library Message</t>
  </si>
  <si>
    <t>Scope Reviewed</t>
  </si>
  <si>
    <t>scoped_reviewed</t>
  </si>
  <si>
    <t>Engagement Inputs</t>
  </si>
  <si>
    <t>NOW Project</t>
  </si>
  <si>
    <t>Hourly Project Rate</t>
  </si>
  <si>
    <t>project_hourly_rate</t>
  </si>
  <si>
    <t>Project Management Factor</t>
  </si>
  <si>
    <t>SA Expected Start Date</t>
  </si>
  <si>
    <t>Total Project Months</t>
  </si>
  <si>
    <t>project_duration</t>
  </si>
  <si>
    <t>SA Expected End Date</t>
  </si>
  <si>
    <t>NEXT Retainer</t>
  </si>
  <si>
    <t>Hourly NEXT Retainer Rate</t>
  </si>
  <si>
    <t>retainer_hourly_rate</t>
  </si>
  <si>
    <t>NEXT Hours Per Month</t>
  </si>
  <si>
    <t>retainer_hours_per_month_sold</t>
  </si>
  <si>
    <t>NEXT Retainer Months</t>
  </si>
  <si>
    <t>retainer_months_sold</t>
  </si>
  <si>
    <t>Calculated Project Details</t>
  </si>
  <si>
    <t>Calculated Ranges</t>
  </si>
  <si>
    <t>Low Hours</t>
  </si>
  <si>
    <t>High Hours</t>
  </si>
  <si>
    <t>Deal Amount</t>
  </si>
  <si>
    <t>amount</t>
  </si>
  <si>
    <t>Project/Service Estimates:</t>
  </si>
  <si>
    <t>Total Engagement Hours Sold</t>
  </si>
  <si>
    <t>sold_hours</t>
  </si>
  <si>
    <t>Project Management:</t>
  </si>
  <si>
    <t>Total Project Hours Sold</t>
  </si>
  <si>
    <t>project_hours_sold</t>
  </si>
  <si>
    <t>Post-Project Support:</t>
  </si>
  <si>
    <t>Total Retainer Hours Sold</t>
  </si>
  <si>
    <t>Hour Estimates:</t>
  </si>
  <si>
    <t>Expected End Date</t>
  </si>
  <si>
    <t>Investment Ranges:</t>
  </si>
  <si>
    <t>Expected Project Hours/Month</t>
  </si>
  <si>
    <t>Linear Expected Project Hours/Week</t>
  </si>
  <si>
    <t>Total Estimated Engagement Hours:</t>
  </si>
  <si>
    <t>Peak Project Expected Hours</t>
  </si>
  <si>
    <t>Total Estimated Investment:</t>
  </si>
  <si>
    <t>Low Project Expected Hours</t>
  </si>
  <si>
    <t>Dev Work Percentage</t>
  </si>
  <si>
    <t>dev_work_pct</t>
  </si>
  <si>
    <t>SE Work Percentage</t>
  </si>
  <si>
    <t>se_work_pct</t>
  </si>
  <si>
    <t>Calculated Function Summary</t>
  </si>
  <si>
    <t>SOW Summarized Line Items</t>
  </si>
  <si>
    <t>Percent of</t>
  </si>
  <si>
    <t>Sum of Function-Based Hours</t>
  </si>
  <si>
    <r>
      <rPr>
        <rFont val="Rubik"/>
        <b/>
        <color rgb="FFFFFFFF"/>
        <sz val="24.0"/>
      </rPr>
      <t xml:space="preserve">New Section Template
</t>
    </r>
    <r>
      <rPr>
        <rFont val="Rubik"/>
        <color rgb="FFFFFFFF"/>
      </rPr>
      <t>Note: Please do not edit rows 4 to 8, or change any volume of columns or it will break the script that pulls this content into the overview doc.</t>
    </r>
  </si>
  <si>
    <r>
      <rPr>
        <rFont val="Rubik"/>
        <b/>
        <color theme="1"/>
        <sz val="12.0"/>
      </rPr>
      <t xml:space="preserve">Generic Section: </t>
    </r>
    <r>
      <rPr>
        <rFont val="Rubik"/>
        <b val="0"/>
        <color theme="1"/>
        <sz val="12.0"/>
      </rPr>
      <t>Summary about the delivery item</t>
    </r>
  </si>
  <si>
    <t>Lorem Ipsum</t>
  </si>
  <si>
    <t xml:space="preserve">⊳ </t>
  </si>
  <si>
    <r>
      <rPr>
        <rFont val="Rubik"/>
        <b/>
        <color theme="1"/>
        <sz val="12.0"/>
      </rPr>
      <t xml:space="preserve">Generic: </t>
    </r>
    <r>
      <rPr>
        <rFont val="Rubik"/>
        <b val="0"/>
        <color theme="1"/>
        <sz val="12.0"/>
      </rPr>
      <t>Summary about the delivery item</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</si>
</sst>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M/d/yyyy H:mm:ss"/>
    <numFmt numFmtId="166" formatCode="&quot;$&quot;#,##0"/>
    <numFmt numFmtId="167" formatCode="m/d/yyyy"/>
  </numFmts>
  <fonts count="27">
    <font>
      <sz val="10.0"/>
      <color rgb="FF000000"/>
      <name val="Arial"/>
      <scheme val="minor"/>
    </font>
    <font>
      <color theme="1"/>
      <name val="Rubik"/>
    </font>
    <font>
      <b/>
      <sz val="17.0"/>
      <color rgb="FFFFFFFF"/>
      <name val="Rubik"/>
    </font>
    <font>
      <b/>
      <sz val="11.0"/>
      <color rgb="FFFFFFFF"/>
      <name val="Rubik"/>
    </font>
    <font>
      <b/>
      <sz val="14.0"/>
      <color theme="1"/>
      <name val="Rubik"/>
    </font>
    <font>
      <sz val="12.0"/>
      <color theme="1"/>
      <name val="Rubik"/>
    </font>
    <font>
      <b/>
      <sz val="12.0"/>
      <color theme="1"/>
      <name val="Rubik"/>
    </font>
    <font>
      <b/>
      <sz val="10.0"/>
      <color theme="1"/>
      <name val="Rubik"/>
    </font>
    <font>
      <b/>
      <color theme="1"/>
      <name val="Rubik"/>
    </font>
    <font>
      <color theme="1"/>
      <name val="Arial"/>
    </font>
    <font>
      <u/>
      <color rgb="FF0000FF"/>
      <name val="Rubik"/>
    </font>
    <font>
      <color theme="1"/>
      <name val="Arial"/>
      <scheme val="minor"/>
    </font>
    <font>
      <u/>
      <color rgb="FF0000FF"/>
      <name val="Rubik"/>
    </font>
    <font/>
    <font>
      <b/>
      <sz val="9.0"/>
      <color theme="1"/>
      <name val="Rubik"/>
    </font>
    <font>
      <color rgb="FFFFFFFF"/>
      <name val="Rubik"/>
    </font>
    <font>
      <b/>
      <sz val="14.0"/>
      <color rgb="FFFFFFFF"/>
      <name val="Rubik"/>
    </font>
    <font>
      <u/>
      <color rgb="FF0000FF"/>
      <name val="Rubik"/>
    </font>
    <font>
      <sz val="11.0"/>
      <color rgb="FF0B0910"/>
      <name val="Rubik"/>
    </font>
    <font>
      <b/>
      <color rgb="FFCCCCCC"/>
      <name val="Rubik"/>
    </font>
    <font>
      <color rgb="FFB7B7B7"/>
      <name val="Rubik"/>
    </font>
    <font>
      <b/>
      <sz val="10.0"/>
      <color rgb="FFB7B7B7"/>
      <name val="Rubik"/>
    </font>
    <font>
      <color rgb="FFFCE5CD"/>
      <name val="Rubik"/>
    </font>
    <font>
      <u/>
      <color rgb="FF0000FF"/>
      <name val="Rubik"/>
    </font>
    <font>
      <sz val="10.0"/>
      <color theme="1"/>
      <name val="Rubik"/>
    </font>
    <font>
      <sz val="8.0"/>
      <color theme="1"/>
      <name val="Rubik"/>
    </font>
    <font>
      <b/>
      <color rgb="FFB7B7B7"/>
      <name val="Rubik"/>
    </font>
  </fonts>
  <fills count="8">
    <fill>
      <patternFill patternType="none"/>
    </fill>
    <fill>
      <patternFill patternType="lightGray"/>
    </fill>
    <fill>
      <patternFill patternType="solid">
        <fgColor rgb="FF000000"/>
        <bgColor rgb="FF000000"/>
      </patternFill>
    </fill>
    <fill>
      <patternFill patternType="solid">
        <fgColor rgb="FFFBBC04"/>
        <bgColor rgb="FFFBBC04"/>
      </patternFill>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s>
  <borders count="22">
    <border/>
    <border>
      <top style="thin">
        <color rgb="FFFFE599"/>
      </top>
    </border>
    <border>
      <bottom style="medium">
        <color rgb="FF666666"/>
      </bottom>
    </border>
    <border>
      <left style="medium">
        <color rgb="FFFBBC04"/>
      </left>
      <top style="medium">
        <color rgb="FFFBBC04"/>
      </top>
    </border>
    <border>
      <top style="medium">
        <color rgb="FFFBBC04"/>
      </top>
    </border>
    <border>
      <right style="medium">
        <color rgb="FFFBBC04"/>
      </right>
      <top style="medium">
        <color rgb="FFFBBC04"/>
      </top>
    </border>
    <border>
      <left style="medium">
        <color rgb="FFFBBC04"/>
      </left>
      <bottom style="thin">
        <color rgb="FFFFFFFF"/>
      </bottom>
    </border>
    <border>
      <bottom style="thin">
        <color rgb="FFFFFFFF"/>
      </bottom>
    </border>
    <border>
      <right style="medium">
        <color rgb="FFFBBC04"/>
      </right>
    </border>
    <border>
      <left style="medium">
        <color rgb="FFFBBC04"/>
      </left>
      <bottom style="medium">
        <color rgb="FFFBBC04"/>
      </bottom>
    </border>
    <border>
      <bottom style="medium">
        <color rgb="FFFBBC04"/>
      </bottom>
    </border>
    <border>
      <right style="medium">
        <color rgb="FFFBBC04"/>
      </right>
      <bottom style="medium">
        <color rgb="FFFBBC04"/>
      </bottom>
    </border>
    <border>
      <left style="medium">
        <color rgb="FFFBBC04"/>
      </left>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top style="medium">
        <color rgb="FF000000"/>
      </top>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2" numFmtId="0" xfId="0" applyAlignment="1" applyFont="1">
      <alignment readingOrder="0" vertical="center"/>
    </xf>
    <xf borderId="1" fillId="2" fontId="1" numFmtId="0" xfId="0" applyAlignment="1" applyBorder="1" applyFont="1">
      <alignment vertical="center"/>
    </xf>
    <xf borderId="1" fillId="2" fontId="3" numFmtId="0" xfId="0" applyAlignment="1" applyBorder="1" applyFont="1">
      <alignment horizontal="center" readingOrder="0" shrinkToFit="0" vertical="center" wrapText="1"/>
    </xf>
    <xf borderId="1" fillId="2" fontId="3" numFmtId="0" xfId="0" applyAlignment="1" applyBorder="1" applyFont="1">
      <alignment horizontal="center" readingOrder="0" vertical="center"/>
    </xf>
    <xf borderId="0" fillId="0" fontId="1" numFmtId="0" xfId="0" applyAlignment="1" applyFont="1">
      <alignment vertical="center"/>
    </xf>
    <xf borderId="0" fillId="0" fontId="1" numFmtId="0" xfId="0" applyAlignment="1" applyFont="1">
      <alignment vertical="bottom"/>
    </xf>
    <xf borderId="0" fillId="0" fontId="1" numFmtId="0" xfId="0" applyAlignment="1" applyFont="1">
      <alignment shrinkToFit="0" vertical="center" wrapText="1"/>
    </xf>
    <xf borderId="2" fillId="0" fontId="4" numFmtId="0" xfId="0" applyAlignment="1" applyBorder="1" applyFont="1">
      <alignment vertical="bottom"/>
    </xf>
    <xf borderId="2" fillId="0" fontId="1" numFmtId="0" xfId="0" applyAlignment="1" applyBorder="1" applyFont="1">
      <alignment vertical="bottom"/>
    </xf>
    <xf borderId="2" fillId="0" fontId="1" numFmtId="0" xfId="0" applyAlignment="1" applyBorder="1" applyFont="1">
      <alignment shrinkToFit="0" vertical="center" wrapText="1"/>
    </xf>
    <xf borderId="0" fillId="0" fontId="1" numFmtId="0" xfId="0" applyAlignment="1" applyFont="1">
      <alignment readingOrder="0" shrinkToFit="0" vertical="center" wrapText="1"/>
    </xf>
    <xf borderId="0" fillId="0" fontId="1" numFmtId="0" xfId="0" applyFont="1"/>
    <xf borderId="0" fillId="3" fontId="5" numFmtId="0" xfId="0" applyAlignment="1" applyFill="1" applyFont="1">
      <alignment horizontal="center" readingOrder="0" shrinkToFit="0" vertical="center" wrapText="0"/>
    </xf>
    <xf borderId="0" fillId="3" fontId="6" numFmtId="0" xfId="0" applyAlignment="1" applyFont="1">
      <alignment readingOrder="0" shrinkToFit="0" vertical="center" wrapText="0"/>
    </xf>
    <xf borderId="0" fillId="3" fontId="5" numFmtId="0" xfId="0" applyAlignment="1" applyFont="1">
      <alignment shrinkToFit="0" vertical="center" wrapText="0"/>
    </xf>
    <xf borderId="0" fillId="3" fontId="6" numFmtId="0" xfId="0" applyAlignment="1" applyFont="1">
      <alignment horizontal="center" vertical="center"/>
    </xf>
    <xf borderId="0" fillId="3" fontId="7" numFmtId="0" xfId="0" applyAlignment="1" applyFont="1">
      <alignment horizontal="center" readingOrder="0" shrinkToFit="0" vertical="center" wrapText="0"/>
    </xf>
    <xf borderId="0" fillId="3" fontId="6" numFmtId="0" xfId="0" applyAlignment="1" applyFont="1">
      <alignment horizontal="center" shrinkToFit="0" vertical="center" wrapText="1"/>
    </xf>
    <xf borderId="0" fillId="0" fontId="8" numFmtId="0" xfId="0" applyAlignment="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vertical="center"/>
    </xf>
    <xf borderId="0" fillId="0" fontId="1" numFmtId="0" xfId="0" applyAlignment="1" applyFont="1">
      <alignment horizontal="center" readingOrder="0" shrinkToFit="0" vertical="center" wrapText="1"/>
    </xf>
    <xf borderId="0" fillId="0" fontId="1" numFmtId="3" xfId="0" applyAlignment="1" applyFont="1" applyNumberFormat="1">
      <alignment horizontal="center" readingOrder="0" vertical="center"/>
    </xf>
    <xf borderId="0" fillId="0" fontId="9" numFmtId="0" xfId="0" applyAlignment="1" applyFont="1">
      <alignment vertical="center"/>
    </xf>
    <xf borderId="0" fillId="0" fontId="1" numFmtId="0" xfId="0" applyAlignment="1" applyFont="1">
      <alignment horizontal="center" shrinkToFit="0" vertical="center" wrapText="1"/>
    </xf>
    <xf borderId="0" fillId="4" fontId="1" numFmtId="0" xfId="0" applyAlignment="1" applyFill="1" applyFont="1">
      <alignment readingOrder="0" shrinkToFit="0" vertical="center" wrapText="1"/>
    </xf>
    <xf borderId="0" fillId="0" fontId="1" numFmtId="3" xfId="0" applyAlignment="1" applyFont="1" applyNumberFormat="1">
      <alignment vertical="center"/>
    </xf>
    <xf borderId="0" fillId="0" fontId="7" numFmtId="0" xfId="0" applyAlignment="1" applyFont="1">
      <alignment readingOrder="0" shrinkToFit="0" vertical="center" wrapText="1"/>
    </xf>
    <xf borderId="0" fillId="0" fontId="9" numFmtId="0" xfId="0" applyFont="1"/>
    <xf borderId="0" fillId="4" fontId="1" numFmtId="0" xfId="0" applyAlignment="1" applyFont="1">
      <alignment vertical="center"/>
    </xf>
    <xf borderId="0" fillId="0" fontId="1" numFmtId="3" xfId="0" applyAlignment="1" applyFont="1" applyNumberFormat="1">
      <alignment readingOrder="0" shrinkToFit="0" vertical="center" wrapText="1"/>
    </xf>
    <xf borderId="0" fillId="4" fontId="1" numFmtId="3" xfId="0" applyAlignment="1" applyFont="1" applyNumberFormat="1">
      <alignment horizontal="center" readingOrder="0" shrinkToFit="0" vertical="center" wrapText="1"/>
    </xf>
    <xf borderId="0" fillId="4" fontId="1" numFmtId="0" xfId="0" applyAlignment="1" applyFont="1">
      <alignment horizontal="center" readingOrder="0" shrinkToFit="0" vertical="center" wrapText="1"/>
    </xf>
    <xf borderId="0" fillId="4" fontId="1" numFmtId="0" xfId="0" applyAlignment="1" applyFont="1">
      <alignment vertical="center"/>
    </xf>
    <xf borderId="0" fillId="0" fontId="1" numFmtId="0" xfId="0" applyAlignment="1" applyFont="1">
      <alignment horizontal="center" readingOrder="0" vertical="center"/>
    </xf>
    <xf borderId="0" fillId="0" fontId="9" numFmtId="0" xfId="0" applyAlignment="1" applyFont="1">
      <alignment vertical="center"/>
    </xf>
    <xf borderId="0" fillId="4" fontId="8" numFmtId="0" xfId="0" applyAlignment="1" applyFont="1">
      <alignment readingOrder="0" shrinkToFit="0" vertical="center" wrapText="1"/>
    </xf>
    <xf borderId="0" fillId="4" fontId="1" numFmtId="3" xfId="0" applyAlignment="1" applyFont="1" applyNumberFormat="1">
      <alignment horizontal="center" vertical="center"/>
    </xf>
    <xf borderId="0" fillId="4" fontId="8" numFmtId="0" xfId="0" applyAlignment="1" applyFont="1">
      <alignment readingOrder="0" shrinkToFit="0" vertical="center" wrapText="1"/>
    </xf>
    <xf borderId="0" fillId="4" fontId="1" numFmtId="0" xfId="0" applyAlignment="1" applyFont="1">
      <alignment readingOrder="0" shrinkToFit="0" vertical="center" wrapText="1"/>
    </xf>
    <xf borderId="0" fillId="4" fontId="1" numFmtId="0" xfId="0" applyAlignment="1" applyFont="1">
      <alignment horizontal="center" readingOrder="0" shrinkToFit="0" vertical="center" wrapText="1"/>
    </xf>
    <xf borderId="0" fillId="4" fontId="1" numFmtId="0" xfId="0" applyAlignment="1" applyFont="1">
      <alignment horizontal="center" readingOrder="0" vertical="center"/>
    </xf>
    <xf borderId="0" fillId="4" fontId="8" numFmtId="0" xfId="0" applyAlignment="1" applyFont="1">
      <alignment shrinkToFit="0" vertical="center" wrapText="1"/>
    </xf>
    <xf borderId="0" fillId="4" fontId="1" numFmtId="0" xfId="0" applyAlignment="1" applyFont="1">
      <alignment shrinkToFit="0" vertical="center" wrapText="1"/>
    </xf>
    <xf borderId="0" fillId="4" fontId="1" numFmtId="0" xfId="0" applyAlignment="1" applyFont="1">
      <alignment horizontal="center" shrinkToFit="0" vertical="center" wrapText="1"/>
    </xf>
    <xf borderId="0" fillId="4" fontId="1" numFmtId="0" xfId="0" applyAlignment="1" applyFont="1">
      <alignment horizontal="center" vertical="center"/>
    </xf>
    <xf borderId="0" fillId="4" fontId="1" numFmtId="0" xfId="0" applyAlignment="1" applyFont="1">
      <alignment horizontal="center" shrinkToFit="0" vertical="center" wrapText="1"/>
    </xf>
    <xf borderId="0" fillId="3" fontId="5" numFmtId="3" xfId="0" applyAlignment="1" applyFont="1" applyNumberFormat="1">
      <alignment shrinkToFit="0" vertical="center" wrapText="0"/>
    </xf>
    <xf borderId="0" fillId="3" fontId="5" numFmtId="0" xfId="0" applyAlignment="1" applyFont="1">
      <alignment shrinkToFit="0" vertical="center" wrapText="0"/>
    </xf>
    <xf borderId="0" fillId="4" fontId="1" numFmtId="0" xfId="0" applyAlignment="1" applyFont="1">
      <alignment vertical="center"/>
    </xf>
    <xf borderId="0" fillId="4" fontId="1" numFmtId="3" xfId="0" applyAlignment="1" applyFont="1" applyNumberFormat="1">
      <alignment readingOrder="0" shrinkToFit="0" vertical="center" wrapText="1"/>
    </xf>
    <xf borderId="0" fillId="4" fontId="1" numFmtId="3" xfId="0" applyAlignment="1" applyFont="1" applyNumberFormat="1">
      <alignment horizontal="center" readingOrder="0" shrinkToFit="0" vertical="center" wrapText="1"/>
    </xf>
    <xf borderId="0" fillId="4" fontId="1" numFmtId="0" xfId="0" applyAlignment="1" applyFont="1">
      <alignment vertical="center"/>
    </xf>
    <xf borderId="0" fillId="4" fontId="9" numFmtId="0" xfId="0" applyAlignment="1" applyFont="1">
      <alignment vertical="center"/>
    </xf>
    <xf borderId="0" fillId="4" fontId="7" numFmtId="0" xfId="0" applyAlignment="1" applyFont="1">
      <alignment readingOrder="0" shrinkToFit="0" vertical="center" wrapText="1"/>
    </xf>
    <xf borderId="0" fillId="4" fontId="1" numFmtId="3" xfId="0" applyAlignment="1" applyFont="1" applyNumberFormat="1">
      <alignment readingOrder="0" shrinkToFit="0" vertical="center" wrapText="1"/>
    </xf>
    <xf borderId="0" fillId="4" fontId="1" numFmtId="3" xfId="0" applyAlignment="1" applyFont="1" applyNumberFormat="1">
      <alignment horizontal="center" readingOrder="0" vertical="center"/>
    </xf>
    <xf borderId="0" fillId="4" fontId="1" numFmtId="0" xfId="0" applyAlignment="1" applyFont="1">
      <alignment horizontal="center" readingOrder="0" vertical="center"/>
    </xf>
    <xf borderId="0" fillId="4" fontId="10" numFmtId="0" xfId="0" applyAlignment="1" applyFont="1">
      <alignment readingOrder="0" shrinkToFit="0" vertical="center" wrapText="1"/>
    </xf>
    <xf borderId="0" fillId="3" fontId="5" numFmtId="0" xfId="0" applyAlignment="1" applyFont="1">
      <alignment horizontal="center" vertical="center"/>
    </xf>
    <xf borderId="0" fillId="3" fontId="6" numFmtId="0" xfId="0" applyAlignment="1" applyFont="1">
      <alignment readingOrder="0" vertical="center"/>
    </xf>
    <xf borderId="0" fillId="3" fontId="9" numFmtId="0" xfId="0" applyAlignment="1" applyFont="1">
      <alignment vertical="center"/>
    </xf>
    <xf borderId="0" fillId="3" fontId="9" numFmtId="0" xfId="0" applyAlignment="1" applyFont="1">
      <alignment shrinkToFit="0" vertical="center" wrapText="1"/>
    </xf>
    <xf borderId="0" fillId="3" fontId="9" numFmtId="0" xfId="0" applyAlignment="1" applyFont="1">
      <alignment vertical="center"/>
    </xf>
    <xf borderId="0" fillId="0" fontId="11" numFmtId="0" xfId="0" applyAlignment="1" applyFont="1">
      <alignment vertical="center"/>
    </xf>
    <xf borderId="0" fillId="0" fontId="1" numFmtId="0" xfId="0" applyAlignment="1" applyFont="1">
      <alignment horizontal="center" shrinkToFit="0" vertical="center" wrapText="1"/>
    </xf>
    <xf borderId="0" fillId="4" fontId="1" numFmtId="3" xfId="0" applyAlignment="1" applyFont="1" applyNumberFormat="1">
      <alignment horizontal="center" readingOrder="0" vertical="center"/>
    </xf>
    <xf borderId="0" fillId="4" fontId="8" numFmtId="0" xfId="0" applyAlignment="1" applyFont="1">
      <alignment shrinkToFit="0" vertical="center" wrapText="1"/>
    </xf>
    <xf borderId="0" fillId="4" fontId="1" numFmtId="0" xfId="0" applyAlignment="1" applyFont="1">
      <alignment shrinkToFit="0" vertical="center" wrapText="1"/>
    </xf>
    <xf borderId="0" fillId="4" fontId="1" numFmtId="3" xfId="0" applyAlignment="1" applyFont="1" applyNumberFormat="1">
      <alignment readingOrder="0" shrinkToFit="0" vertical="center" wrapText="1"/>
    </xf>
    <xf borderId="0" fillId="4" fontId="12" numFmtId="3" xfId="0" applyAlignment="1" applyFont="1" applyNumberFormat="1">
      <alignment readingOrder="0" shrinkToFit="0" vertical="center" wrapText="1"/>
    </xf>
    <xf borderId="0" fillId="3" fontId="5" numFmtId="0" xfId="0" applyAlignment="1" applyFont="1">
      <alignment horizontal="center" vertical="center"/>
    </xf>
    <xf borderId="0" fillId="3" fontId="8" numFmtId="0" xfId="0" applyAlignment="1" applyFont="1">
      <alignment horizontal="center" readingOrder="0" vertical="center"/>
    </xf>
    <xf borderId="0" fillId="3" fontId="9" numFmtId="0" xfId="0" applyAlignment="1" applyFont="1">
      <alignment shrinkToFit="0" vertical="center" wrapText="1"/>
    </xf>
    <xf borderId="0" fillId="0" fontId="8" numFmtId="0" xfId="0" applyAlignment="1" applyFont="1">
      <alignment readingOrder="0" vertical="center"/>
    </xf>
    <xf borderId="0" fillId="0" fontId="11" numFmtId="0" xfId="0" applyAlignment="1" applyFont="1">
      <alignment vertical="center"/>
    </xf>
    <xf borderId="0" fillId="0" fontId="11" numFmtId="0" xfId="0" applyAlignment="1" applyFont="1">
      <alignment readingOrder="0" vertical="center"/>
    </xf>
    <xf borderId="0" fillId="0" fontId="11" numFmtId="1" xfId="0" applyAlignment="1" applyFont="1" applyNumberFormat="1">
      <alignment vertical="center"/>
    </xf>
    <xf borderId="0" fillId="0" fontId="11" numFmtId="0" xfId="0" applyAlignment="1" applyFont="1">
      <alignment shrinkToFit="0" vertical="center" wrapText="1"/>
    </xf>
    <xf borderId="0" fillId="3" fontId="1" numFmtId="0" xfId="0" applyAlignment="1" applyFont="1">
      <alignment horizontal="center" readingOrder="0" shrinkToFit="0" vertical="center" wrapText="0"/>
    </xf>
    <xf borderId="0" fillId="3" fontId="1" numFmtId="0" xfId="0" applyAlignment="1" applyFont="1">
      <alignment shrinkToFit="0" vertical="center" wrapText="0"/>
    </xf>
    <xf borderId="0" fillId="3" fontId="6" numFmtId="1" xfId="0" applyAlignment="1" applyFont="1" applyNumberFormat="1">
      <alignment horizontal="center" readingOrder="0" shrinkToFit="0" vertical="center" wrapText="0"/>
    </xf>
    <xf borderId="0" fillId="4" fontId="7" numFmtId="0" xfId="0" applyAlignment="1" applyFont="1">
      <alignment readingOrder="0" vertical="center"/>
    </xf>
    <xf borderId="0" fillId="0" fontId="1" numFmtId="1" xfId="0" applyAlignment="1" applyFont="1" applyNumberFormat="1">
      <alignment vertical="center"/>
    </xf>
    <xf borderId="0" fillId="0" fontId="7" numFmtId="0" xfId="0" applyAlignment="1" applyFont="1">
      <alignment readingOrder="0" vertical="center"/>
    </xf>
    <xf borderId="0" fillId="0" fontId="8" numFmtId="0" xfId="0" applyAlignment="1" applyFont="1">
      <alignment vertical="center"/>
    </xf>
    <xf borderId="0" fillId="0" fontId="1" numFmtId="0" xfId="0" applyFont="1"/>
    <xf borderId="0" fillId="3" fontId="6" numFmtId="0" xfId="0" applyAlignment="1" applyFont="1">
      <alignment horizontal="center" readingOrder="0" shrinkToFit="0" vertical="center" wrapText="0"/>
    </xf>
    <xf borderId="0" fillId="3" fontId="5" numFmtId="0" xfId="0" applyAlignment="1" applyFont="1">
      <alignment shrinkToFit="0" vertical="center" wrapText="1"/>
    </xf>
    <xf borderId="0" fillId="4" fontId="8" numFmtId="0" xfId="0" applyAlignment="1" applyFont="1">
      <alignment readingOrder="0" vertical="center"/>
    </xf>
    <xf borderId="0" fillId="0" fontId="1" numFmtId="3" xfId="0" applyAlignment="1" applyFont="1" applyNumberFormat="1">
      <alignment readingOrder="0" vertical="center"/>
    </xf>
    <xf borderId="0" fillId="0" fontId="8" numFmtId="0" xfId="0" applyAlignment="1" applyFont="1">
      <alignment horizontal="right" readingOrder="0" vertical="center"/>
    </xf>
    <xf borderId="0" fillId="0" fontId="1" numFmtId="0" xfId="0" applyAlignment="1" applyFont="1">
      <alignment shrinkToFit="0" vertical="center" wrapText="1"/>
    </xf>
    <xf borderId="3" fillId="0" fontId="4" numFmtId="0" xfId="0" applyAlignment="1" applyBorder="1" applyFont="1">
      <alignment horizontal="right" readingOrder="0" shrinkToFit="0" vertical="center" wrapText="0"/>
    </xf>
    <xf borderId="4" fillId="0" fontId="4" numFmtId="1" xfId="0" applyAlignment="1" applyBorder="1" applyFont="1" applyNumberFormat="1">
      <alignment horizontal="center" readingOrder="0" vertical="center"/>
    </xf>
    <xf borderId="4" fillId="0" fontId="13" numFmtId="0" xfId="0" applyBorder="1" applyFont="1"/>
    <xf borderId="4" fillId="0" fontId="14" numFmtId="0" xfId="0" applyAlignment="1" applyBorder="1" applyFont="1">
      <alignment horizontal="right" readingOrder="0" shrinkToFit="0" vertical="center" wrapText="1"/>
    </xf>
    <xf borderId="5" fillId="0" fontId="8" numFmtId="0" xfId="0" applyAlignment="1" applyBorder="1" applyFont="1">
      <alignment horizontal="left" readingOrder="0" shrinkToFit="0" vertical="center" wrapText="1"/>
    </xf>
    <xf borderId="0" fillId="4" fontId="15" numFmtId="0" xfId="0" applyAlignment="1" applyFont="1">
      <alignment readingOrder="0" shrinkToFit="0" vertical="center" wrapText="1"/>
    </xf>
    <xf borderId="6" fillId="0" fontId="13" numFmtId="0" xfId="0" applyBorder="1" applyFont="1"/>
    <xf borderId="7" fillId="0" fontId="13" numFmtId="0" xfId="0" applyBorder="1" applyFont="1"/>
    <xf borderId="0" fillId="0" fontId="14" numFmtId="0" xfId="0" applyAlignment="1" applyFont="1">
      <alignment horizontal="right" readingOrder="0" shrinkToFit="0" vertical="center" wrapText="1"/>
    </xf>
    <xf borderId="8" fillId="0" fontId="8" numFmtId="0" xfId="0" applyAlignment="1" applyBorder="1" applyFont="1">
      <alignment horizontal="left" readingOrder="0" shrinkToFit="0" vertical="center" wrapText="1"/>
    </xf>
    <xf borderId="9" fillId="0" fontId="4" numFmtId="0" xfId="0" applyAlignment="1" applyBorder="1" applyFont="1">
      <alignment horizontal="right" readingOrder="0" shrinkToFit="0" vertical="center" wrapText="0"/>
    </xf>
    <xf borderId="10" fillId="0" fontId="4" numFmtId="164" xfId="0" applyAlignment="1" applyBorder="1" applyFont="1" applyNumberFormat="1">
      <alignment horizontal="center" readingOrder="0" vertical="center"/>
    </xf>
    <xf borderId="10" fillId="0" fontId="13" numFmtId="0" xfId="0" applyBorder="1" applyFont="1"/>
    <xf borderId="10" fillId="0" fontId="1" numFmtId="0" xfId="0" applyAlignment="1" applyBorder="1" applyFont="1">
      <alignment readingOrder="0" shrinkToFit="0" vertical="center" wrapText="1"/>
    </xf>
    <xf borderId="11" fillId="0" fontId="1" numFmtId="0" xfId="0" applyAlignment="1" applyBorder="1" applyFont="1">
      <alignment readingOrder="0" shrinkToFit="0" vertical="center" wrapText="1"/>
    </xf>
    <xf borderId="0" fillId="0" fontId="16" numFmtId="0" xfId="0" applyAlignment="1" applyFont="1">
      <alignment horizontal="right" readingOrder="0" shrinkToFit="0" vertical="center" wrapText="0"/>
    </xf>
    <xf borderId="0" fillId="0" fontId="16" numFmtId="164" xfId="0" applyAlignment="1" applyFont="1" applyNumberFormat="1">
      <alignment horizontal="center" vertical="center"/>
    </xf>
    <xf borderId="0" fillId="0" fontId="15" numFmtId="0" xfId="0" applyAlignment="1" applyFont="1">
      <alignment readingOrder="0" vertical="center"/>
    </xf>
    <xf borderId="0" fillId="2" fontId="9" numFmtId="0" xfId="0" applyFont="1"/>
    <xf borderId="0" fillId="2" fontId="2" numFmtId="0" xfId="0" applyFont="1"/>
    <xf borderId="1" fillId="2" fontId="3" numFmtId="0" xfId="0" applyAlignment="1" applyBorder="1" applyFont="1">
      <alignment readingOrder="0" shrinkToFit="0" vertical="center" wrapText="1"/>
    </xf>
    <xf borderId="1" fillId="2" fontId="3" numFmtId="0" xfId="0" applyAlignment="1" applyBorder="1" applyFont="1">
      <alignment horizontal="center" shrinkToFit="0" vertical="center" wrapText="1"/>
    </xf>
    <xf borderId="0" fillId="3" fontId="6" numFmtId="0" xfId="0" applyAlignment="1" applyFont="1">
      <alignment horizontal="center"/>
    </xf>
    <xf borderId="0" fillId="3" fontId="6" numFmtId="0" xfId="0" applyAlignment="1" applyFont="1">
      <alignment vertical="bottom"/>
    </xf>
    <xf borderId="0" fillId="3" fontId="9" numFmtId="0" xfId="0" applyAlignment="1" applyFont="1">
      <alignment vertical="bottom"/>
    </xf>
    <xf borderId="0" fillId="3" fontId="9" numFmtId="0" xfId="0" applyAlignment="1" applyFont="1">
      <alignment vertical="bottom"/>
    </xf>
    <xf borderId="0" fillId="3" fontId="8" numFmtId="0" xfId="0" applyAlignment="1" applyFont="1">
      <alignment horizontal="center" vertical="bottom"/>
    </xf>
    <xf borderId="0" fillId="3" fontId="9" numFmtId="0" xfId="0" applyFont="1"/>
    <xf borderId="0" fillId="0" fontId="1" numFmtId="0" xfId="0" applyAlignment="1" applyFont="1">
      <alignment readingOrder="0" shrinkToFit="0" wrapText="1"/>
    </xf>
    <xf borderId="0" fillId="0" fontId="1" numFmtId="0" xfId="0" applyAlignment="1" applyFont="1">
      <alignment horizontal="center" readingOrder="0"/>
    </xf>
    <xf borderId="0" fillId="0" fontId="8" numFmtId="3" xfId="0" applyAlignment="1" applyFont="1" applyNumberFormat="1">
      <alignment readingOrder="0" vertical="center"/>
    </xf>
    <xf borderId="0" fillId="2" fontId="15" numFmtId="3" xfId="0" applyAlignment="1" applyFont="1" applyNumberFormat="1">
      <alignment horizontal="center" readingOrder="0" vertical="center"/>
    </xf>
    <xf borderId="0" fillId="2" fontId="15" numFmtId="3" xfId="0" applyAlignment="1" applyFont="1" applyNumberFormat="1">
      <alignment readingOrder="0" vertical="center"/>
    </xf>
    <xf borderId="0" fillId="2" fontId="1" numFmtId="3" xfId="0" applyAlignment="1" applyFont="1" applyNumberFormat="1">
      <alignment readingOrder="0" vertical="center"/>
    </xf>
    <xf borderId="0" fillId="2" fontId="16" numFmtId="0" xfId="0" applyAlignment="1" applyFont="1">
      <alignment horizontal="right" readingOrder="0" shrinkToFit="0" vertical="center" wrapText="0"/>
    </xf>
    <xf borderId="0" fillId="2" fontId="16" numFmtId="164" xfId="0" applyAlignment="1" applyFont="1" applyNumberFormat="1">
      <alignment horizontal="center" vertical="center"/>
    </xf>
    <xf borderId="0" fillId="2" fontId="15" numFmtId="0" xfId="0" applyAlignment="1" applyFont="1">
      <alignment readingOrder="0" vertical="center"/>
    </xf>
    <xf borderId="0" fillId="2" fontId="1" numFmtId="0" xfId="0" applyAlignment="1" applyFont="1">
      <alignment horizontal="center" shrinkToFit="0" vertical="center" wrapText="1"/>
    </xf>
    <xf borderId="0" fillId="2" fontId="1" numFmtId="0" xfId="0" applyAlignment="1" applyFont="1">
      <alignment vertical="center"/>
    </xf>
    <xf borderId="0" fillId="2" fontId="1" numFmtId="0" xfId="0" applyAlignment="1" applyFont="1">
      <alignment vertical="center"/>
    </xf>
    <xf borderId="0" fillId="3" fontId="5" numFmtId="0" xfId="0" applyAlignment="1" applyFont="1">
      <alignment horizontal="center" readingOrder="0" shrinkToFit="0" vertical="top" wrapText="0"/>
    </xf>
    <xf borderId="0" fillId="3" fontId="6" numFmtId="0" xfId="0" applyAlignment="1" applyFont="1">
      <alignment readingOrder="0" shrinkToFit="0" vertical="top" wrapText="0"/>
    </xf>
    <xf borderId="0" fillId="3" fontId="5" numFmtId="0" xfId="0" applyAlignment="1" applyFont="1">
      <alignment shrinkToFit="0" vertical="top" wrapText="0"/>
    </xf>
    <xf borderId="0" fillId="3" fontId="6" numFmtId="0" xfId="0" applyAlignment="1" applyFont="1">
      <alignment horizontal="center" vertical="top"/>
    </xf>
    <xf borderId="0" fillId="3" fontId="7" numFmtId="0" xfId="0" applyAlignment="1" applyFont="1">
      <alignment horizontal="center" readingOrder="0" shrinkToFit="0" vertical="top" wrapText="0"/>
    </xf>
    <xf borderId="0" fillId="3" fontId="6" numFmtId="0" xfId="0" applyAlignment="1" applyFont="1">
      <alignment horizontal="center" shrinkToFit="0" vertical="top" wrapText="1"/>
    </xf>
    <xf borderId="0" fillId="0" fontId="11" numFmtId="0" xfId="0" applyAlignment="1" applyFont="1">
      <alignment vertical="top"/>
    </xf>
    <xf borderId="0" fillId="0" fontId="8"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vertical="top"/>
    </xf>
    <xf borderId="0" fillId="0" fontId="1" numFmtId="0" xfId="0" applyAlignment="1" applyFont="1">
      <alignment horizontal="center" readingOrder="0" shrinkToFit="0" vertical="top" wrapText="1"/>
    </xf>
    <xf borderId="0" fillId="0" fontId="17" numFmtId="0" xfId="0" applyAlignment="1" applyFont="1">
      <alignment readingOrder="0" shrinkToFit="0" vertical="top" wrapText="1"/>
    </xf>
    <xf borderId="0" fillId="4" fontId="18" numFmtId="0" xfId="0" applyAlignment="1" applyFont="1">
      <alignment readingOrder="0" vertical="top"/>
    </xf>
    <xf borderId="0" fillId="4" fontId="11" numFmtId="0" xfId="0" applyAlignment="1" applyFont="1">
      <alignment vertical="top"/>
    </xf>
    <xf borderId="0" fillId="4" fontId="8" numFmtId="0" xfId="0" applyAlignment="1" applyFont="1">
      <alignment readingOrder="0" vertical="top"/>
    </xf>
    <xf borderId="0" fillId="4" fontId="1" numFmtId="0" xfId="0" applyAlignment="1" applyFont="1">
      <alignment readingOrder="0" shrinkToFit="0" vertical="top" wrapText="1"/>
    </xf>
    <xf borderId="0" fillId="4" fontId="1" numFmtId="0" xfId="0" applyAlignment="1" applyFont="1">
      <alignment readingOrder="0" shrinkToFit="0" vertical="top" wrapText="1"/>
    </xf>
    <xf borderId="0" fillId="4" fontId="1" numFmtId="0" xfId="0" applyAlignment="1" applyFont="1">
      <alignment readingOrder="0" vertical="top"/>
    </xf>
    <xf borderId="0" fillId="4" fontId="1" numFmtId="0" xfId="0" applyAlignment="1" applyFont="1">
      <alignment vertical="top"/>
    </xf>
    <xf borderId="0" fillId="4" fontId="18" numFmtId="0" xfId="0" applyAlignment="1" applyFont="1">
      <alignment readingOrder="0" shrinkToFit="0" vertical="top" wrapText="1"/>
    </xf>
    <xf borderId="0" fillId="3" fontId="5" numFmtId="3" xfId="0" applyAlignment="1" applyFont="1" applyNumberFormat="1">
      <alignment shrinkToFit="0" vertical="top" wrapText="0"/>
    </xf>
    <xf borderId="0" fillId="4" fontId="1" numFmtId="0" xfId="0" applyAlignment="1" applyFont="1">
      <alignment vertical="top"/>
    </xf>
    <xf borderId="0" fillId="4" fontId="19" numFmtId="0" xfId="0" applyAlignment="1" applyFont="1">
      <alignment readingOrder="0" shrinkToFit="0" vertical="center" wrapText="1"/>
    </xf>
    <xf borderId="0" fillId="4" fontId="20" numFmtId="0" xfId="0" applyAlignment="1" applyFont="1">
      <alignment readingOrder="0" shrinkToFit="0" vertical="center" wrapText="1"/>
    </xf>
    <xf borderId="0" fillId="4" fontId="1" numFmtId="3" xfId="0" applyAlignment="1" applyFont="1" applyNumberFormat="1">
      <alignment readingOrder="0" shrinkToFit="0" vertical="top" wrapText="1"/>
    </xf>
    <xf borderId="0" fillId="4" fontId="1" numFmtId="3" xfId="0" applyAlignment="1" applyFont="1" applyNumberFormat="1">
      <alignment horizontal="center" readingOrder="0" vertical="top"/>
    </xf>
    <xf borderId="0" fillId="4" fontId="1" numFmtId="0" xfId="0" applyAlignment="1" applyFont="1">
      <alignment horizontal="center" readingOrder="0" shrinkToFit="0" vertical="top" wrapText="1"/>
    </xf>
    <xf borderId="0" fillId="0" fontId="1" numFmtId="0" xfId="0" applyAlignment="1" applyFont="1">
      <alignment readingOrder="0"/>
    </xf>
    <xf borderId="0" fillId="4" fontId="19" numFmtId="0" xfId="0" applyAlignment="1" applyFont="1">
      <alignment readingOrder="0" shrinkToFit="0" vertical="center" wrapText="1"/>
    </xf>
    <xf borderId="0" fillId="4" fontId="20" numFmtId="0" xfId="0" applyAlignment="1" applyFont="1">
      <alignment readingOrder="0" shrinkToFit="0" vertical="center" wrapText="1"/>
    </xf>
    <xf borderId="0" fillId="3" fontId="6" numFmtId="0" xfId="0" applyAlignment="1" applyFont="1">
      <alignment horizontal="center" readingOrder="0" vertical="top"/>
    </xf>
    <xf borderId="0" fillId="0" fontId="21" numFmtId="0" xfId="0" applyAlignment="1" applyFont="1">
      <alignment readingOrder="0" vertical="center"/>
    </xf>
    <xf borderId="0" fillId="0" fontId="20" numFmtId="0" xfId="0" applyAlignment="1" applyFont="1">
      <alignment readingOrder="0" shrinkToFit="0" vertical="center" wrapText="1"/>
    </xf>
    <xf borderId="0" fillId="0" fontId="1" numFmtId="0" xfId="0" applyAlignment="1" applyFont="1">
      <alignment readingOrder="0" vertical="center"/>
    </xf>
    <xf borderId="10" fillId="0" fontId="1" numFmtId="0" xfId="0" applyBorder="1" applyFont="1"/>
    <xf borderId="10" fillId="0" fontId="22" numFmtId="0" xfId="0" applyBorder="1" applyFont="1"/>
    <xf borderId="0" fillId="0" fontId="4" numFmtId="0" xfId="0" applyAlignment="1" applyFont="1">
      <alignment horizontal="right" readingOrder="0" shrinkToFit="0" vertical="center" wrapText="0"/>
    </xf>
    <xf borderId="12" fillId="0" fontId="1" numFmtId="0" xfId="0" applyBorder="1" applyFont="1"/>
    <xf borderId="0" fillId="0" fontId="11" numFmtId="0" xfId="0" applyAlignment="1" applyFont="1">
      <alignment readingOrder="0"/>
    </xf>
    <xf borderId="0" fillId="2" fontId="1" numFmtId="0" xfId="0" applyAlignment="1" applyFont="1">
      <alignment readingOrder="0" shrinkToFit="0" vertical="center" wrapText="0"/>
    </xf>
    <xf borderId="13" fillId="3" fontId="6" numFmtId="0" xfId="0" applyAlignment="1" applyBorder="1" applyFont="1">
      <alignment readingOrder="0"/>
    </xf>
    <xf borderId="14" fillId="3" fontId="5" numFmtId="0" xfId="0" applyBorder="1" applyFont="1"/>
    <xf borderId="15" fillId="3" fontId="5" numFmtId="0" xfId="0" applyBorder="1" applyFont="1"/>
    <xf borderId="0" fillId="3" fontId="5" numFmtId="0" xfId="0" applyFont="1"/>
    <xf borderId="0" fillId="3" fontId="6" numFmtId="0" xfId="0" applyAlignment="1" applyFont="1">
      <alignment readingOrder="0"/>
    </xf>
    <xf borderId="0" fillId="3" fontId="6" numFmtId="0" xfId="0" applyAlignment="1" applyFont="1">
      <alignment horizontal="center" readingOrder="0" shrinkToFit="0" wrapText="0"/>
    </xf>
    <xf borderId="0" fillId="3" fontId="6" numFmtId="0" xfId="0" applyAlignment="1" applyFont="1">
      <alignment horizontal="center" readingOrder="0"/>
    </xf>
    <xf borderId="0" fillId="0" fontId="8" numFmtId="0" xfId="0" applyAlignment="1" applyFont="1">
      <alignment horizontal="right" readingOrder="0"/>
    </xf>
    <xf borderId="16" fillId="0" fontId="8" numFmtId="0" xfId="0" applyAlignment="1" applyBorder="1" applyFont="1">
      <alignment horizontal="right" readingOrder="0"/>
    </xf>
    <xf borderId="0" fillId="0" fontId="1" numFmtId="0" xfId="0" applyAlignment="1" applyFont="1">
      <alignment horizontal="right" readingOrder="0"/>
    </xf>
    <xf borderId="17" fillId="0" fontId="20" numFmtId="0" xfId="0" applyAlignment="1" applyBorder="1" applyFont="1">
      <alignment horizontal="right"/>
    </xf>
    <xf borderId="0" fillId="0" fontId="23" numFmtId="0" xfId="0" applyAlignment="1" applyFont="1">
      <alignment readingOrder="0" shrinkToFit="0" wrapText="0"/>
    </xf>
    <xf borderId="0" fillId="0" fontId="1" numFmtId="0" xfId="0" applyAlignment="1" applyFont="1">
      <alignment horizontal="center"/>
    </xf>
    <xf borderId="17" fillId="0" fontId="20" numFmtId="0" xfId="0" applyAlignment="1" applyBorder="1" applyFont="1">
      <alignment horizontal="right" readingOrder="0"/>
    </xf>
    <xf borderId="0" fillId="0" fontId="1" numFmtId="0" xfId="0" applyAlignment="1" applyFont="1">
      <alignment readingOrder="0" shrinkToFit="0" wrapText="0"/>
    </xf>
    <xf borderId="0" fillId="0" fontId="1" numFmtId="165" xfId="0" applyAlignment="1" applyFont="1" applyNumberFormat="1">
      <alignment horizontal="right" readingOrder="0"/>
    </xf>
    <xf borderId="0" fillId="0" fontId="1" numFmtId="0" xfId="0" applyAlignment="1" applyFont="1">
      <alignment horizontal="left" readingOrder="0"/>
    </xf>
    <xf borderId="0" fillId="0" fontId="1" numFmtId="166" xfId="0" applyAlignment="1" applyFont="1" applyNumberFormat="1">
      <alignment horizontal="center" readingOrder="0"/>
    </xf>
    <xf borderId="0" fillId="0" fontId="1" numFmtId="0" xfId="0" applyAlignment="1" applyFont="1">
      <alignment readingOrder="0" shrinkToFit="0" vertical="top" wrapText="0"/>
    </xf>
    <xf borderId="0" fillId="0" fontId="1" numFmtId="166" xfId="0" applyAlignment="1" applyFont="1" applyNumberFormat="1">
      <alignment horizontal="right" readingOrder="0"/>
    </xf>
    <xf borderId="0" fillId="0" fontId="24" numFmtId="0" xfId="0" applyAlignment="1" applyFont="1">
      <alignment horizontal="right" readingOrder="0" shrinkToFit="0" vertical="top" wrapText="1"/>
    </xf>
    <xf borderId="16" fillId="3" fontId="6" numFmtId="0" xfId="0" applyAlignment="1" applyBorder="1" applyFont="1">
      <alignment readingOrder="0"/>
    </xf>
    <xf borderId="17" fillId="3" fontId="5" numFmtId="0" xfId="0" applyBorder="1" applyFont="1"/>
    <xf borderId="0" fillId="0" fontId="1" numFmtId="0" xfId="0" applyAlignment="1" applyFont="1">
      <alignment horizontal="right"/>
    </xf>
    <xf borderId="0" fillId="0" fontId="5" numFmtId="0" xfId="0" applyAlignment="1" applyFont="1">
      <alignment horizontal="left" readingOrder="0" shrinkToFit="0" vertical="top" wrapText="1"/>
    </xf>
    <xf borderId="0" fillId="0" fontId="5" numFmtId="0" xfId="0" applyAlignment="1" applyFont="1">
      <alignment shrinkToFit="0" wrapText="0"/>
    </xf>
    <xf borderId="0" fillId="0" fontId="5" numFmtId="0" xfId="0" applyFont="1"/>
    <xf borderId="16" fillId="5" fontId="8" numFmtId="0" xfId="0" applyAlignment="1" applyBorder="1" applyFill="1" applyFont="1">
      <alignment horizontal="left" readingOrder="0"/>
    </xf>
    <xf borderId="0" fillId="5" fontId="1" numFmtId="166" xfId="0" applyAlignment="1" applyFont="1" applyNumberFormat="1">
      <alignment horizontal="right" readingOrder="0"/>
    </xf>
    <xf borderId="17" fillId="5" fontId="20" numFmtId="0" xfId="0" applyAlignment="1" applyBorder="1" applyFont="1">
      <alignment horizontal="right"/>
    </xf>
    <xf borderId="0" fillId="0" fontId="24" numFmtId="0" xfId="0" applyAlignment="1" applyFont="1">
      <alignment horizontal="left" readingOrder="0" shrinkToFit="0" vertical="top" wrapText="1"/>
    </xf>
    <xf borderId="0" fillId="0" fontId="1" numFmtId="0" xfId="0" applyAlignment="1" applyFont="1">
      <alignment shrinkToFit="0" wrapText="0"/>
    </xf>
    <xf borderId="0" fillId="0" fontId="1" numFmtId="9" xfId="0" applyAlignment="1" applyFont="1" applyNumberFormat="1">
      <alignment horizontal="center" readingOrder="0"/>
    </xf>
    <xf borderId="16" fillId="0" fontId="8" numFmtId="0" xfId="0" applyAlignment="1" applyBorder="1" applyFont="1">
      <alignment horizontal="right" readingOrder="0" vertical="bottom"/>
    </xf>
    <xf borderId="0" fillId="0" fontId="1" numFmtId="167" xfId="0" applyAlignment="1" applyFont="1" applyNumberFormat="1">
      <alignment horizontal="center" readingOrder="0"/>
    </xf>
    <xf borderId="0" fillId="0" fontId="8" numFmtId="0" xfId="0" applyAlignment="1" applyFont="1">
      <alignment horizontal="right" readingOrder="0" vertical="bottom"/>
    </xf>
    <xf borderId="0" fillId="0" fontId="24" numFmtId="0" xfId="0" applyAlignment="1" applyFont="1">
      <alignment horizontal="left" readingOrder="0" shrinkToFit="0" vertical="top" wrapText="0"/>
    </xf>
    <xf borderId="0" fillId="5" fontId="1" numFmtId="166" xfId="0" applyAlignment="1" applyFont="1" applyNumberFormat="1">
      <alignment horizontal="center" readingOrder="0"/>
    </xf>
    <xf borderId="18" fillId="0" fontId="8" numFmtId="0" xfId="0" applyAlignment="1" applyBorder="1" applyFont="1">
      <alignment horizontal="right" readingOrder="0" vertical="bottom"/>
    </xf>
    <xf borderId="19" fillId="0" fontId="1" numFmtId="0" xfId="0" applyAlignment="1" applyBorder="1" applyFont="1">
      <alignment horizontal="center" readingOrder="0"/>
    </xf>
    <xf borderId="20" fillId="0" fontId="20" numFmtId="0" xfId="0" applyAlignment="1" applyBorder="1" applyFont="1">
      <alignment horizontal="right"/>
    </xf>
    <xf borderId="0" fillId="0" fontId="20" numFmtId="0" xfId="0" applyAlignment="1" applyFont="1">
      <alignment horizontal="right"/>
    </xf>
    <xf borderId="21" fillId="6" fontId="6" numFmtId="0" xfId="0" applyAlignment="1" applyBorder="1" applyFill="1" applyFont="1">
      <alignment readingOrder="0"/>
    </xf>
    <xf borderId="21" fillId="6" fontId="5" numFmtId="0" xfId="0" applyAlignment="1" applyBorder="1" applyFont="1">
      <alignment horizontal="center"/>
    </xf>
    <xf borderId="21" fillId="6" fontId="5" numFmtId="0" xfId="0" applyBorder="1" applyFont="1"/>
    <xf borderId="21" fillId="0" fontId="1" numFmtId="0" xfId="0" applyAlignment="1" applyBorder="1" applyFont="1">
      <alignment horizontal="right"/>
    </xf>
    <xf borderId="21" fillId="6" fontId="6" numFmtId="0" xfId="0" applyAlignment="1" applyBorder="1" applyFont="1">
      <alignment horizontal="center" readingOrder="0" shrinkToFit="0" wrapText="0"/>
    </xf>
    <xf borderId="21" fillId="6" fontId="6" numFmtId="0" xfId="0" applyAlignment="1" applyBorder="1" applyFont="1">
      <alignment horizontal="center" readingOrder="0"/>
    </xf>
    <xf borderId="0" fillId="0" fontId="1" numFmtId="164" xfId="0" applyAlignment="1" applyFont="1" applyNumberFormat="1">
      <alignment horizontal="center" readingOrder="0"/>
    </xf>
    <xf borderId="0" fillId="0" fontId="20" numFmtId="0" xfId="0" applyAlignment="1" applyFont="1">
      <alignment horizontal="right" readingOrder="0"/>
    </xf>
    <xf borderId="0" fillId="0" fontId="1" numFmtId="0" xfId="0" applyAlignment="1" applyFont="1">
      <alignment horizontal="center" shrinkToFit="0" wrapText="0"/>
    </xf>
    <xf borderId="0" fillId="0" fontId="1" numFmtId="14" xfId="0" applyAlignment="1" applyFont="1" applyNumberFormat="1">
      <alignment horizontal="center"/>
    </xf>
    <xf borderId="0" fillId="0" fontId="1" numFmtId="166" xfId="0" applyAlignment="1" applyFont="1" applyNumberFormat="1">
      <alignment horizontal="center" shrinkToFit="0" wrapText="0"/>
    </xf>
    <xf borderId="0" fillId="0" fontId="1" numFmtId="166" xfId="0" applyAlignment="1" applyFont="1" applyNumberFormat="1">
      <alignment horizontal="center"/>
    </xf>
    <xf borderId="0" fillId="0" fontId="8" numFmtId="0" xfId="0" applyAlignment="1" applyFont="1">
      <alignment horizontal="right" vertical="bottom"/>
    </xf>
    <xf borderId="0" fillId="0" fontId="8" numFmtId="0" xfId="0" applyAlignment="1" applyFont="1">
      <alignment horizontal="right" vertical="bottom"/>
    </xf>
    <xf borderId="0" fillId="0" fontId="1" numFmtId="0" xfId="0" applyAlignment="1" applyFont="1">
      <alignment horizontal="center" vertical="center"/>
    </xf>
    <xf borderId="0" fillId="0" fontId="1" numFmtId="164" xfId="0" applyAlignment="1" applyFont="1" applyNumberFormat="1">
      <alignment horizontal="center" readingOrder="0" shrinkToFit="0" vertical="center" wrapText="0"/>
    </xf>
    <xf borderId="0" fillId="0" fontId="1" numFmtId="9" xfId="0" applyAlignment="1" applyFont="1" applyNumberFormat="1">
      <alignment horizontal="center"/>
    </xf>
    <xf borderId="0" fillId="6" fontId="25" numFmtId="0" xfId="0" applyAlignment="1" applyFont="1">
      <alignment horizontal="center" readingOrder="0" vertical="center"/>
    </xf>
    <xf borderId="0" fillId="6" fontId="6" numFmtId="0" xfId="0" applyAlignment="1" applyFont="1">
      <alignment readingOrder="0"/>
    </xf>
    <xf borderId="0" fillId="6" fontId="6" numFmtId="0" xfId="0" applyFont="1"/>
    <xf borderId="0" fillId="6" fontId="6" numFmtId="0" xfId="0" applyAlignment="1" applyFont="1">
      <alignment shrinkToFit="0" wrapText="0"/>
    </xf>
    <xf borderId="0" fillId="7" fontId="8" numFmtId="0" xfId="0" applyAlignment="1" applyFill="1" applyFont="1">
      <alignment horizontal="right"/>
    </xf>
    <xf borderId="0" fillId="7" fontId="8" numFmtId="0" xfId="0" applyAlignment="1" applyFont="1">
      <alignment horizontal="center"/>
    </xf>
    <xf borderId="0" fillId="7" fontId="8" numFmtId="0" xfId="0" applyAlignment="1" applyFont="1">
      <alignment horizontal="center" readingOrder="0"/>
    </xf>
    <xf borderId="0" fillId="0" fontId="1" numFmtId="3" xfId="0" applyAlignment="1" applyFont="1" applyNumberFormat="1">
      <alignment shrinkToFit="0" wrapText="0"/>
    </xf>
    <xf borderId="0" fillId="0" fontId="1" numFmtId="166" xfId="0" applyFont="1" applyNumberFormat="1"/>
    <xf borderId="0" fillId="0" fontId="8" numFmtId="0" xfId="0" applyAlignment="1" applyFont="1">
      <alignment horizontal="right"/>
    </xf>
    <xf borderId="0" fillId="0" fontId="1" numFmtId="1" xfId="0" applyAlignment="1" applyFont="1" applyNumberFormat="1">
      <alignment horizontal="center"/>
    </xf>
    <xf borderId="0" fillId="0" fontId="1" numFmtId="1" xfId="0" applyFont="1" applyNumberFormat="1"/>
    <xf borderId="0" fillId="0" fontId="8" numFmtId="0" xfId="0" applyAlignment="1" applyFont="1">
      <alignment horizontal="left" readingOrder="0" vertical="bottom"/>
    </xf>
    <xf borderId="0" fillId="0" fontId="8" numFmtId="1" xfId="0" applyAlignment="1" applyFont="1" applyNumberFormat="1">
      <alignment horizontal="right"/>
    </xf>
    <xf borderId="0" fillId="0" fontId="26" numFmtId="0" xfId="0" applyAlignment="1" applyFont="1">
      <alignment horizontal="right" readingOrder="0"/>
    </xf>
    <xf borderId="0" fillId="0" fontId="20" numFmtId="166" xfId="0" applyAlignment="1" applyFont="1" applyNumberFormat="1">
      <alignment horizontal="right" readingOrder="0"/>
    </xf>
    <xf borderId="0" fillId="0" fontId="20" numFmtId="166" xfId="0" applyAlignment="1" applyFont="1" applyNumberFormat="1">
      <alignment horizontal="right"/>
    </xf>
    <xf borderId="0" fillId="0" fontId="1" numFmtId="49" xfId="0" applyAlignment="1" applyFont="1" applyNumberFormat="1">
      <alignment horizontal="center" readingOrder="0"/>
    </xf>
    <xf borderId="0" fillId="0" fontId="1" numFmtId="49" xfId="0" applyAlignment="1" applyFont="1" applyNumberFormat="1">
      <alignment horizontal="center"/>
    </xf>
    <xf borderId="0" fillId="3" fontId="5" numFmtId="0" xfId="0" applyAlignment="1" applyFont="1">
      <alignment horizontal="center"/>
    </xf>
    <xf borderId="0" fillId="3" fontId="9" numFmtId="0" xfId="0" applyFont="1"/>
    <xf borderId="0" fillId="3" fontId="8" numFmtId="0" xfId="0" applyAlignment="1" applyFont="1">
      <alignment horizontal="center"/>
    </xf>
    <xf borderId="0" fillId="0" fontId="9" numFmtId="0" xfId="0" applyFont="1"/>
    <xf borderId="0" fillId="0" fontId="8" numFmtId="0" xfId="0" applyAlignment="1" applyFont="1">
      <alignment readingOrder="0" shrinkToFit="0" wrapText="1"/>
    </xf>
    <xf borderId="0" fillId="0" fontId="1" numFmtId="0" xfId="0" applyAlignment="1" applyFont="1">
      <alignment horizontal="center"/>
    </xf>
    <xf borderId="0" fillId="3" fontId="1" numFmtId="0" xfId="0" applyFont="1"/>
    <xf borderId="0" fillId="3" fontId="8" numFmtId="0" xfId="0" applyAlignment="1" applyFont="1">
      <alignment horizontal="center" readingOrder="0"/>
    </xf>
    <xf borderId="0" fillId="3" fontId="1" numFmtId="0" xfId="0" applyAlignment="1" applyFont="1">
      <alignment horizontal="center"/>
    </xf>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Details!$G$37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Lbls>
            <c:showLegendKey val="0"/>
            <c:showVal val="0"/>
            <c:showCatName val="0"/>
            <c:showSerName val="0"/>
            <c:showPercent val="1"/>
            <c:showBubbleSize val="0"/>
            <c:showLeaderLines val="1"/>
          </c:dLbls>
          <c:cat>
            <c:strRef>
              <c:f>Details!$F$38:$F$49</c:f>
            </c:strRef>
          </c:cat>
          <c:val>
            <c:numRef>
              <c:f>Details!$G$38:$G$49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000000"/>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Details!$C$37:$C$38</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Details!$B$39:$B$44</c:f>
            </c:strRef>
          </c:cat>
          <c:val>
            <c:numRef>
              <c:f>Details!$C$39:$C$44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142875</xdr:rowOff>
    </xdr:from>
    <xdr:ext cx="2362200"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50</xdr:row>
      <xdr:rowOff>19050</xdr:rowOff>
    </xdr:from>
    <xdr:ext cx="10525125" cy="46386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123825</xdr:colOff>
      <xdr:row>74</xdr:row>
      <xdr:rowOff>19050</xdr:rowOff>
    </xdr:from>
    <xdr:ext cx="10525125" cy="48958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381000</xdr:colOff>
      <xdr:row>0</xdr:row>
      <xdr:rowOff>123825</xdr:rowOff>
    </xdr:from>
    <xdr:ext cx="2362200" cy="371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knowledge.hubspot.com/integrations/use-hubspots-integration-with-docusign" TargetMode="External"/><Relationship Id="rId3" Type="http://schemas.openxmlformats.org/officeDocument/2006/relationships/hyperlink" Target="https://kb.bullhorn.com/bh4sf/Content/BH4SF/Topics/sandboxRefreshHelp.htm"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riA95M7xNTFTNwPcW2Ira6z9p5SBf0B25sfgrTmuG50/edit?gid=0"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4fDmynzdEigsuU_KtYA9DFUixVnMCVe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3.63"/>
    <col customWidth="1" min="2" max="2" width="36.0"/>
    <col customWidth="1" min="3" max="4" width="36.63"/>
    <col customWidth="1" min="5" max="5" width="45.0"/>
    <col customWidth="1" min="6" max="7" width="12.5"/>
    <col customWidth="1" min="8" max="8" width="16.5"/>
    <col customWidth="1" min="9" max="9" width="16.38"/>
    <col customWidth="1" min="10" max="10" width="12.5"/>
  </cols>
  <sheetData>
    <row r="1" ht="54.0" customHeight="1">
      <c r="A1" s="1" t="s">
        <v>0</v>
      </c>
      <c r="C1" s="2" t="s">
        <v>1</v>
      </c>
      <c r="F1" s="1"/>
      <c r="G1" s="1"/>
      <c r="H1" s="1"/>
      <c r="I1" s="1"/>
      <c r="J1" s="1"/>
    </row>
    <row r="2" ht="29.25" customHeight="1">
      <c r="A2" s="3"/>
      <c r="B2" s="4" t="s">
        <v>2</v>
      </c>
      <c r="C2" s="5" t="s">
        <v>3</v>
      </c>
      <c r="D2" s="5" t="s">
        <v>4</v>
      </c>
      <c r="E2" s="4" t="s">
        <v>5</v>
      </c>
      <c r="F2" s="5" t="s">
        <v>6</v>
      </c>
      <c r="G2" s="5" t="s">
        <v>7</v>
      </c>
      <c r="H2" s="4" t="s">
        <v>8</v>
      </c>
      <c r="I2" s="4" t="s">
        <v>9</v>
      </c>
      <c r="J2" s="4" t="s">
        <v>10</v>
      </c>
    </row>
    <row r="3">
      <c r="A3" s="6"/>
      <c r="B3" s="7"/>
      <c r="C3" s="7"/>
      <c r="D3" s="7"/>
      <c r="E3" s="7"/>
      <c r="F3" s="7"/>
      <c r="G3" s="7"/>
      <c r="H3" s="7"/>
      <c r="I3" s="8"/>
      <c r="J3" s="7"/>
    </row>
    <row r="4">
      <c r="A4" s="6"/>
      <c r="B4" s="9" t="s">
        <v>11</v>
      </c>
      <c r="C4" s="10"/>
      <c r="D4" s="10"/>
      <c r="E4" s="9" t="s">
        <v>12</v>
      </c>
      <c r="F4" s="10"/>
      <c r="G4" s="10"/>
      <c r="H4" s="10"/>
      <c r="I4" s="11"/>
      <c r="J4" s="10"/>
    </row>
    <row r="5" outlineLevel="1">
      <c r="A5" s="6"/>
      <c r="B5" s="12" t="s">
        <v>13</v>
      </c>
      <c r="E5" s="12" t="s">
        <v>14</v>
      </c>
      <c r="H5" s="13"/>
      <c r="I5" s="8"/>
      <c r="J5" s="13"/>
    </row>
    <row r="6">
      <c r="A6" s="6"/>
      <c r="B6" s="13"/>
      <c r="E6" s="13"/>
    </row>
    <row r="7" ht="24.0" customHeight="1" collapsed="1">
      <c r="A7" s="14" t="s">
        <v>15</v>
      </c>
      <c r="B7" s="15" t="s">
        <v>16</v>
      </c>
      <c r="C7" s="16"/>
      <c r="D7" s="16"/>
      <c r="E7" s="16"/>
      <c r="F7" s="17">
        <f>IFERROR(__xludf.DUMMYFUNCTION("ROUNDUP(
  (
    SUM(
      INDIRECT(
        ""F""&amp;(ROW()+1)&amp;"":F""&amp;
        IFERROR(
          INDEX(
            FILTER(
              ROW(A:A),
              REGEXMATCH(A:A, ""^[•◆■※⊳]""),
              ROW(A:A) &gt; ROW()
            ),
            1
  "&amp;"        )-1,
          999
        )
      )
    )+
    SUM(
      INDIRECT(
        ""G""&amp;(ROW()+1)&amp;"":G""&amp;
        IFERROR(
          INDEX(
            FILTER(
              ROW(A:A),
              REGEXMATCH(A:A, ""^[•◆■※⊳]""),
              ROW(A:A) "&amp;"&gt; ROW()
            ),
            1
          )-1,
          999
        )
      )
    )
  )/2
)"),65.0)</f>
        <v>65</v>
      </c>
      <c r="H7" s="18" t="s">
        <v>17</v>
      </c>
      <c r="I7" s="19"/>
      <c r="J7" s="16"/>
    </row>
    <row r="8" hidden="1" outlineLevel="1">
      <c r="A8" s="6"/>
      <c r="B8" s="20" t="s">
        <v>18</v>
      </c>
      <c r="C8" s="12" t="s">
        <v>19</v>
      </c>
      <c r="D8" s="12" t="s">
        <v>20</v>
      </c>
      <c r="E8" s="12" t="s">
        <v>21</v>
      </c>
      <c r="F8" s="21">
        <v>12.0</v>
      </c>
      <c r="G8" s="21">
        <v>15.0</v>
      </c>
      <c r="H8" s="22"/>
      <c r="I8" s="23" t="s">
        <v>22</v>
      </c>
      <c r="J8" s="6"/>
    </row>
    <row r="9" hidden="1" outlineLevel="1">
      <c r="A9" s="22"/>
      <c r="B9" s="20" t="s">
        <v>23</v>
      </c>
      <c r="C9" s="12" t="s">
        <v>24</v>
      </c>
      <c r="D9" s="12" t="s">
        <v>25</v>
      </c>
      <c r="E9" s="12" t="s">
        <v>26</v>
      </c>
      <c r="F9" s="21">
        <v>8.0</v>
      </c>
      <c r="G9" s="21">
        <v>12.0</v>
      </c>
      <c r="H9" s="22"/>
      <c r="I9" s="23" t="s">
        <v>22</v>
      </c>
      <c r="J9" s="22"/>
    </row>
    <row r="10" hidden="1" outlineLevel="1">
      <c r="A10" s="22"/>
      <c r="B10" s="20" t="s">
        <v>27</v>
      </c>
      <c r="C10" s="12" t="s">
        <v>28</v>
      </c>
      <c r="D10" s="12" t="s">
        <v>29</v>
      </c>
      <c r="E10" s="12" t="s">
        <v>30</v>
      </c>
      <c r="F10" s="21">
        <v>8.0</v>
      </c>
      <c r="G10" s="21">
        <v>12.0</v>
      </c>
      <c r="H10" s="22"/>
      <c r="I10" s="23" t="s">
        <v>22</v>
      </c>
      <c r="J10" s="22"/>
    </row>
    <row r="11" hidden="1" outlineLevel="1">
      <c r="A11" s="22"/>
      <c r="B11" s="20" t="s">
        <v>31</v>
      </c>
      <c r="C11" s="12" t="s">
        <v>32</v>
      </c>
      <c r="D11" s="12" t="s">
        <v>33</v>
      </c>
      <c r="E11" s="12" t="s">
        <v>34</v>
      </c>
      <c r="F11" s="24">
        <v>4.0</v>
      </c>
      <c r="G11" s="21">
        <v>4.0</v>
      </c>
      <c r="H11" s="25"/>
      <c r="I11" s="26" t="s">
        <v>35</v>
      </c>
      <c r="J11" s="22"/>
    </row>
    <row r="12" hidden="1" outlineLevel="1">
      <c r="A12" s="22"/>
      <c r="B12" s="20" t="s">
        <v>36</v>
      </c>
      <c r="C12" s="27" t="s">
        <v>37</v>
      </c>
      <c r="D12" s="12" t="s">
        <v>38</v>
      </c>
      <c r="E12" s="12" t="s">
        <v>39</v>
      </c>
      <c r="F12" s="24">
        <v>26.0</v>
      </c>
      <c r="G12" s="21">
        <v>28.0</v>
      </c>
      <c r="H12" s="22"/>
      <c r="I12" s="26" t="s">
        <v>35</v>
      </c>
      <c r="J12" s="22"/>
    </row>
    <row r="13">
      <c r="A13" s="22"/>
      <c r="B13" s="22"/>
      <c r="C13" s="28"/>
      <c r="D13" s="22"/>
      <c r="E13" s="22"/>
      <c r="F13" s="28"/>
      <c r="G13" s="22"/>
      <c r="H13" s="22"/>
      <c r="I13" s="23"/>
      <c r="J13" s="22"/>
    </row>
    <row r="14" ht="24.0" customHeight="1" collapsed="1">
      <c r="A14" s="14" t="s">
        <v>15</v>
      </c>
      <c r="B14" s="15" t="s">
        <v>40</v>
      </c>
      <c r="C14" s="16"/>
      <c r="D14" s="16"/>
      <c r="E14" s="16"/>
      <c r="F14" s="17">
        <f>IFERROR(__xludf.DUMMYFUNCTION("ROUNDUP(
  (
    SUM(
      INDIRECT(
        ""F""&amp;(ROW()+1)&amp;"":F""&amp;
        IFERROR(
          INDEX(
            FILTER(
              ROW(A:A),
              REGEXMATCH(A:A, ""^[•◆■※⊳]""),
              ROW(A:A) &gt; ROW()
            ),
            1
  "&amp;"        )-1,
          999
        )
      )
    )+
    SUM(
      INDIRECT(
        ""G""&amp;(ROW()+1)&amp;"":G""&amp;
        IFERROR(
          INDEX(
            FILTER(
              ROW(A:A),
              REGEXMATCH(A:A, ""^[•◆■※⊳]""),
              ROW(A:A) "&amp;"&gt; ROW()
            ),
            1
          )-1,
          999
        )
      )
    )
  )/2
)"),34.0)</f>
        <v>34</v>
      </c>
      <c r="H14" s="18" t="s">
        <v>41</v>
      </c>
      <c r="I14" s="19"/>
      <c r="J14" s="16"/>
    </row>
    <row r="15" hidden="1" outlineLevel="1">
      <c r="A15" s="22"/>
      <c r="B15" s="29" t="s">
        <v>42</v>
      </c>
      <c r="C15" s="27" t="s">
        <v>43</v>
      </c>
      <c r="D15" s="8" t="s">
        <v>44</v>
      </c>
      <c r="E15" s="12" t="s">
        <v>45</v>
      </c>
      <c r="F15" s="21">
        <v>6.0</v>
      </c>
      <c r="G15" s="21">
        <v>8.0</v>
      </c>
      <c r="H15" s="22"/>
      <c r="I15" s="23" t="s">
        <v>22</v>
      </c>
      <c r="J15" s="22"/>
    </row>
    <row r="16" hidden="1" outlineLevel="1">
      <c r="A16" s="22"/>
      <c r="B16" s="20" t="s">
        <v>46</v>
      </c>
      <c r="C16" s="12" t="s">
        <v>47</v>
      </c>
      <c r="D16" s="12" t="s">
        <v>48</v>
      </c>
      <c r="E16" s="12" t="s">
        <v>49</v>
      </c>
      <c r="F16" s="21">
        <v>6.0</v>
      </c>
      <c r="G16" s="21">
        <v>8.0</v>
      </c>
      <c r="H16" s="22"/>
      <c r="I16" s="23" t="s">
        <v>22</v>
      </c>
      <c r="J16" s="22"/>
    </row>
    <row r="17" hidden="1" outlineLevel="1">
      <c r="A17" s="6"/>
      <c r="B17" s="29" t="s">
        <v>50</v>
      </c>
      <c r="C17" s="12" t="s">
        <v>51</v>
      </c>
      <c r="D17" s="12" t="s">
        <v>52</v>
      </c>
      <c r="E17" s="12" t="s">
        <v>53</v>
      </c>
      <c r="F17" s="21">
        <v>2.0</v>
      </c>
      <c r="G17" s="21">
        <v>3.0</v>
      </c>
      <c r="H17" s="30"/>
      <c r="I17" s="26" t="s">
        <v>35</v>
      </c>
      <c r="J17" s="6"/>
    </row>
    <row r="18" hidden="1" outlineLevel="1">
      <c r="A18" s="31"/>
      <c r="B18" s="20" t="s">
        <v>54</v>
      </c>
      <c r="C18" s="12" t="s">
        <v>55</v>
      </c>
      <c r="D18" s="12" t="s">
        <v>56</v>
      </c>
      <c r="E18" s="32" t="s">
        <v>57</v>
      </c>
      <c r="F18" s="33">
        <v>10.0</v>
      </c>
      <c r="G18" s="34">
        <v>12.0</v>
      </c>
      <c r="H18" s="35"/>
      <c r="I18" s="26" t="s">
        <v>35</v>
      </c>
      <c r="J18" s="35"/>
    </row>
    <row r="19" hidden="1" outlineLevel="1">
      <c r="A19" s="22"/>
      <c r="B19" s="20" t="s">
        <v>58</v>
      </c>
      <c r="C19" s="27" t="s">
        <v>59</v>
      </c>
      <c r="D19" s="12" t="s">
        <v>60</v>
      </c>
      <c r="E19" s="12" t="s">
        <v>61</v>
      </c>
      <c r="F19" s="24">
        <v>6.0</v>
      </c>
      <c r="G19" s="36">
        <v>6.0</v>
      </c>
      <c r="H19" s="22"/>
      <c r="I19" s="23" t="s">
        <v>22</v>
      </c>
      <c r="J19" s="22"/>
    </row>
    <row r="20">
      <c r="A20" s="22"/>
      <c r="B20" s="22"/>
      <c r="C20" s="28"/>
      <c r="D20" s="22"/>
      <c r="E20" s="22"/>
      <c r="F20" s="28"/>
      <c r="G20" s="22"/>
      <c r="H20" s="22"/>
      <c r="I20" s="23"/>
      <c r="J20" s="22"/>
    </row>
    <row r="21" ht="24.0" customHeight="1" collapsed="1">
      <c r="A21" s="14" t="s">
        <v>15</v>
      </c>
      <c r="B21" s="15" t="s">
        <v>62</v>
      </c>
      <c r="C21" s="16"/>
      <c r="D21" s="16"/>
      <c r="E21" s="16"/>
      <c r="F21" s="17">
        <f>IFERROR(__xludf.DUMMYFUNCTION("ROUNDUP(
  (
    SUM(
      INDIRECT(
        ""F""&amp;(ROW()+1)&amp;"":F""&amp;
        IFERROR(
          INDEX(
            FILTER(
              ROW(A:A),
              REGEXMATCH(A:A, ""^[•◆■※⊳]""),
              ROW(A:A) &gt; ROW()
            ),
            1
  "&amp;"        )-1,
          999
        )
      )
    )+
    SUM(
      INDIRECT(
        ""G""&amp;(ROW()+1)&amp;"":G""&amp;
        IFERROR(
          INDEX(
            FILTER(
              ROW(A:A),
              REGEXMATCH(A:A, ""^[•◆■※⊳]""),
              ROW(A:A) "&amp;"&gt; ROW()
            ),
            1
          )-1,
          999
        )
      )
    )
  )/2
)"),36.0)</f>
        <v>36</v>
      </c>
      <c r="H21" s="18" t="s">
        <v>41</v>
      </c>
      <c r="I21" s="19"/>
      <c r="J21" s="16"/>
    </row>
    <row r="22" hidden="1" outlineLevel="1">
      <c r="A22" s="37"/>
      <c r="B22" s="20" t="s">
        <v>63</v>
      </c>
      <c r="C22" s="12" t="s">
        <v>64</v>
      </c>
      <c r="D22" s="12" t="s">
        <v>65</v>
      </c>
      <c r="E22" s="12" t="s">
        <v>66</v>
      </c>
      <c r="F22" s="21">
        <v>4.0</v>
      </c>
      <c r="G22" s="21">
        <v>6.0</v>
      </c>
      <c r="H22" s="37"/>
      <c r="I22" s="23" t="s">
        <v>67</v>
      </c>
      <c r="J22" s="37"/>
    </row>
    <row r="23" hidden="1" outlineLevel="1">
      <c r="A23" s="31"/>
      <c r="B23" s="38" t="s">
        <v>68</v>
      </c>
      <c r="C23" s="32" t="s">
        <v>69</v>
      </c>
      <c r="D23" s="12" t="s">
        <v>70</v>
      </c>
      <c r="E23" s="12" t="s">
        <v>71</v>
      </c>
      <c r="F23" s="39">
        <v>8.0</v>
      </c>
      <c r="G23" s="34">
        <v>10.0</v>
      </c>
      <c r="H23" s="31"/>
      <c r="I23" s="23" t="s">
        <v>67</v>
      </c>
      <c r="J23" s="31"/>
    </row>
    <row r="24" hidden="1" outlineLevel="1">
      <c r="A24" s="31"/>
      <c r="B24" s="40" t="s">
        <v>72</v>
      </c>
      <c r="C24" s="41" t="s">
        <v>73</v>
      </c>
      <c r="D24" s="41" t="s">
        <v>74</v>
      </c>
      <c r="E24" s="41" t="s">
        <v>75</v>
      </c>
      <c r="F24" s="39">
        <v>8.0</v>
      </c>
      <c r="G24" s="34">
        <v>10.0</v>
      </c>
      <c r="H24" s="31"/>
      <c r="I24" s="23" t="s">
        <v>67</v>
      </c>
      <c r="J24" s="31"/>
    </row>
    <row r="25" hidden="1" outlineLevel="1">
      <c r="A25" s="31"/>
      <c r="B25" s="40" t="s">
        <v>76</v>
      </c>
      <c r="C25" s="41" t="s">
        <v>77</v>
      </c>
      <c r="D25" s="41" t="s">
        <v>78</v>
      </c>
      <c r="E25" s="41" t="s">
        <v>79</v>
      </c>
      <c r="F25" s="42">
        <v>12.0</v>
      </c>
      <c r="G25" s="43">
        <v>14.0</v>
      </c>
      <c r="H25" s="31"/>
      <c r="I25" s="23" t="s">
        <v>67</v>
      </c>
      <c r="J25" s="31"/>
    </row>
    <row r="26">
      <c r="A26" s="31"/>
      <c r="B26" s="44"/>
      <c r="C26" s="45"/>
      <c r="D26" s="45"/>
      <c r="E26" s="45"/>
      <c r="F26" s="46"/>
      <c r="G26" s="47"/>
      <c r="H26" s="31"/>
      <c r="I26" s="48"/>
      <c r="J26" s="31"/>
    </row>
    <row r="27" ht="24.0" customHeight="1" collapsed="1">
      <c r="A27" s="14" t="s">
        <v>15</v>
      </c>
      <c r="B27" s="15" t="s">
        <v>80</v>
      </c>
      <c r="C27" s="49"/>
      <c r="D27" s="50"/>
      <c r="E27" s="16"/>
      <c r="F27" s="17">
        <f>IFERROR(__xludf.DUMMYFUNCTION("ROUNDUP(
  (
    SUM(
      INDIRECT(
        ""F""&amp;(ROW()+1)&amp;"":F""&amp;
        IFERROR(
          INDEX(
            FILTER(
              ROW(A:A),
              REGEXMATCH(A:A, ""^[•◆■※⊳]""),
              ROW(A:A) &gt; ROW()
            ),
            1
  "&amp;"        )-1,
          999
        )
      )
    )+
    SUM(
      INDIRECT(
        ""G""&amp;(ROW()+1)&amp;"":G""&amp;
        IFERROR(
          INDEX(
            FILTER(
              ROW(A:A),
              REGEXMATCH(A:A, ""^[•◆■※⊳]""),
              ROW(A:A) "&amp;"&gt; ROW()
            ),
            1
          )-1,
          999
        )
      )
    )
  )/2
)"),41.0)</f>
        <v>41</v>
      </c>
      <c r="H27" s="18" t="s">
        <v>41</v>
      </c>
      <c r="I27" s="19"/>
      <c r="J27" s="16"/>
    </row>
    <row r="28" hidden="1" outlineLevel="1">
      <c r="A28" s="51"/>
      <c r="B28" s="40" t="s">
        <v>81</v>
      </c>
      <c r="C28" s="52" t="s">
        <v>82</v>
      </c>
      <c r="D28" s="41" t="s">
        <v>83</v>
      </c>
      <c r="E28" s="41" t="s">
        <v>84</v>
      </c>
      <c r="F28" s="53">
        <v>2.0</v>
      </c>
      <c r="G28" s="42">
        <v>2.0</v>
      </c>
      <c r="H28" s="54"/>
      <c r="I28" s="26" t="s">
        <v>67</v>
      </c>
      <c r="J28" s="51"/>
    </row>
    <row r="29" hidden="1" outlineLevel="1">
      <c r="A29" s="55"/>
      <c r="B29" s="56" t="s">
        <v>85</v>
      </c>
      <c r="C29" s="57" t="s">
        <v>86</v>
      </c>
      <c r="D29" s="27" t="s">
        <v>87</v>
      </c>
      <c r="E29" s="27" t="s">
        <v>88</v>
      </c>
      <c r="F29" s="53">
        <v>2.0</v>
      </c>
      <c r="G29" s="42">
        <v>2.0</v>
      </c>
      <c r="H29" s="55"/>
      <c r="I29" s="26" t="s">
        <v>67</v>
      </c>
      <c r="J29" s="55"/>
    </row>
    <row r="30" hidden="1" outlineLevel="1">
      <c r="A30" s="25"/>
      <c r="B30" s="29" t="s">
        <v>89</v>
      </c>
      <c r="C30" s="32" t="s">
        <v>90</v>
      </c>
      <c r="D30" s="12" t="s">
        <v>91</v>
      </c>
      <c r="E30" s="12" t="s">
        <v>92</v>
      </c>
      <c r="F30" s="24">
        <v>6.0</v>
      </c>
      <c r="G30" s="21">
        <v>8.0</v>
      </c>
      <c r="H30" s="25"/>
      <c r="I30" s="26" t="s">
        <v>67</v>
      </c>
      <c r="J30" s="25"/>
    </row>
    <row r="31" hidden="1" outlineLevel="1">
      <c r="A31" s="6"/>
      <c r="B31" s="20" t="s">
        <v>93</v>
      </c>
      <c r="C31" s="32" t="s">
        <v>94</v>
      </c>
      <c r="D31" s="12" t="s">
        <v>95</v>
      </c>
      <c r="E31" s="12" t="s">
        <v>96</v>
      </c>
      <c r="F31" s="24">
        <v>6.0</v>
      </c>
      <c r="G31" s="21">
        <v>8.0</v>
      </c>
      <c r="H31" s="6"/>
      <c r="I31" s="23" t="s">
        <v>67</v>
      </c>
      <c r="J31" s="6"/>
    </row>
    <row r="32" hidden="1" outlineLevel="1">
      <c r="A32" s="31"/>
      <c r="B32" s="40" t="s">
        <v>97</v>
      </c>
      <c r="C32" s="52" t="s">
        <v>98</v>
      </c>
      <c r="D32" s="41" t="s">
        <v>99</v>
      </c>
      <c r="E32" s="41" t="s">
        <v>100</v>
      </c>
      <c r="F32" s="58">
        <v>6.0</v>
      </c>
      <c r="G32" s="59">
        <v>8.0</v>
      </c>
      <c r="H32" s="35"/>
      <c r="I32" s="23" t="s">
        <v>67</v>
      </c>
      <c r="J32" s="31"/>
    </row>
    <row r="33" hidden="1" outlineLevel="1">
      <c r="A33" s="31"/>
      <c r="B33" s="38" t="s">
        <v>101</v>
      </c>
      <c r="C33" s="57" t="s">
        <v>102</v>
      </c>
      <c r="D33" s="27" t="s">
        <v>103</v>
      </c>
      <c r="E33" s="27" t="s">
        <v>104</v>
      </c>
      <c r="F33" s="53">
        <v>6.0</v>
      </c>
      <c r="G33" s="42">
        <v>8.0</v>
      </c>
      <c r="H33" s="51"/>
      <c r="I33" s="23" t="s">
        <v>67</v>
      </c>
      <c r="J33" s="6"/>
    </row>
    <row r="34" hidden="1" outlineLevel="1">
      <c r="A34" s="31"/>
      <c r="B34" s="40" t="s">
        <v>105</v>
      </c>
      <c r="C34" s="52" t="s">
        <v>106</v>
      </c>
      <c r="D34" s="41"/>
      <c r="E34" s="60" t="s">
        <v>107</v>
      </c>
      <c r="F34" s="58">
        <v>8.0</v>
      </c>
      <c r="G34" s="59">
        <v>10.0</v>
      </c>
      <c r="H34" s="35"/>
      <c r="I34" s="23" t="s">
        <v>67</v>
      </c>
      <c r="J34" s="31"/>
    </row>
    <row r="35">
      <c r="A35" s="31"/>
      <c r="B35" s="31"/>
      <c r="C35" s="31"/>
      <c r="D35" s="31"/>
      <c r="E35" s="31"/>
      <c r="F35" s="31"/>
      <c r="G35" s="31"/>
      <c r="H35" s="31"/>
      <c r="I35" s="48"/>
      <c r="J35" s="31"/>
    </row>
    <row r="36" ht="24.0" customHeight="1" collapsed="1">
      <c r="A36" s="61" t="s">
        <v>15</v>
      </c>
      <c r="B36" s="62" t="s">
        <v>108</v>
      </c>
      <c r="C36" s="63"/>
      <c r="D36" s="63"/>
      <c r="E36" s="63"/>
      <c r="F36" s="17">
        <f>IFERROR(__xludf.DUMMYFUNCTION("ROUNDUP(
  (
    SUM(
      INDIRECT(
        ""F""&amp;(ROW()+1)&amp;"":F""&amp;
        IFERROR(
          INDEX(
            FILTER(
              ROW(A:A),
              REGEXMATCH(A:A, ""^[•◆■※⊳]""),
              ROW(A:A) &gt; ROW()
            ),
            1
  "&amp;"        )-1,
          999
        )
      )
    )+
    SUM(
      INDIRECT(
        ""G""&amp;(ROW()+1)&amp;"":G""&amp;
        IFERROR(
          INDEX(
            FILTER(
              ROW(A:A),
              REGEXMATCH(A:A, ""^[•◆■※⊳]""),
              ROW(A:A) "&amp;"&gt; ROW()
            ),
            1
          )-1,
          999
        )
      )
    )
  )/2
)"),10.0)</f>
        <v>10</v>
      </c>
      <c r="H36" s="18" t="s">
        <v>17</v>
      </c>
      <c r="I36" s="64"/>
      <c r="J36" s="65"/>
    </row>
    <row r="37" hidden="1" outlineLevel="1">
      <c r="A37" s="37"/>
      <c r="B37" s="20" t="s">
        <v>109</v>
      </c>
      <c r="C37" s="12" t="s">
        <v>110</v>
      </c>
      <c r="D37" s="12" t="s">
        <v>111</v>
      </c>
      <c r="E37" s="12" t="s">
        <v>112</v>
      </c>
      <c r="F37" s="21">
        <v>10.0</v>
      </c>
      <c r="G37" s="21">
        <v>10.0</v>
      </c>
      <c r="H37" s="37"/>
      <c r="I37" s="23" t="s">
        <v>113</v>
      </c>
      <c r="J37" s="37"/>
    </row>
    <row r="38">
      <c r="A38" s="66"/>
      <c r="B38" s="66"/>
      <c r="C38" s="66"/>
      <c r="D38" s="66"/>
      <c r="E38" s="66"/>
      <c r="F38" s="66"/>
      <c r="G38" s="66"/>
      <c r="H38" s="66"/>
      <c r="I38" s="67"/>
      <c r="J38" s="66"/>
    </row>
    <row r="39" ht="24.0" customHeight="1" collapsed="1">
      <c r="A39" s="14" t="s">
        <v>15</v>
      </c>
      <c r="B39" s="15" t="s">
        <v>114</v>
      </c>
      <c r="C39" s="50"/>
      <c r="D39" s="50"/>
      <c r="E39" s="50"/>
      <c r="F39" s="17">
        <f>IFERROR(__xludf.DUMMYFUNCTION("ROUNDUP(
  (
    SUM(
      INDIRECT(
        ""F""&amp;(ROW()+1)&amp;"":F""&amp;
        IFERROR(
          INDEX(
            FILTER(
              ROW(A:A),
              REGEXMATCH(A:A, ""^[•◆■※⊳]""),
              ROW(A:A) &gt; ROW()
            ),
            1
  "&amp;"        )-1,
          999
        )
      )
    )+
    SUM(
      INDIRECT(
        ""G""&amp;(ROW()+1)&amp;"":G""&amp;
        IFERROR(
          INDEX(
            FILTER(
              ROW(A:A),
              REGEXMATCH(A:A, ""^[•◆■※⊳]""),
              ROW(A:A) "&amp;"&gt; ROW()
            ),
            1
          )-1,
          999
        )
      )
    )
  )/2
)"),32.0)</f>
        <v>32</v>
      </c>
      <c r="H39" s="18" t="s">
        <v>17</v>
      </c>
      <c r="I39" s="19"/>
      <c r="J39" s="16"/>
    </row>
    <row r="40" hidden="1" outlineLevel="1">
      <c r="A40" s="31"/>
      <c r="B40" s="38" t="s">
        <v>115</v>
      </c>
      <c r="C40" s="27" t="s">
        <v>116</v>
      </c>
      <c r="D40" s="27" t="s">
        <v>117</v>
      </c>
      <c r="E40" s="27" t="s">
        <v>118</v>
      </c>
      <c r="F40" s="33">
        <v>6.0</v>
      </c>
      <c r="G40" s="34">
        <v>8.0</v>
      </c>
      <c r="H40" s="31"/>
      <c r="I40" s="23" t="s">
        <v>67</v>
      </c>
      <c r="J40" s="31"/>
    </row>
    <row r="41" hidden="1" outlineLevel="1">
      <c r="A41" s="31"/>
      <c r="B41" s="38" t="s">
        <v>119</v>
      </c>
      <c r="C41" s="27" t="s">
        <v>120</v>
      </c>
      <c r="D41" s="27" t="s">
        <v>121</v>
      </c>
      <c r="E41" s="27" t="s">
        <v>122</v>
      </c>
      <c r="F41" s="68">
        <v>20.0</v>
      </c>
      <c r="G41" s="43">
        <v>30.0</v>
      </c>
      <c r="H41" s="31"/>
      <c r="I41" s="23" t="s">
        <v>123</v>
      </c>
      <c r="J41" s="31"/>
    </row>
    <row r="42">
      <c r="A42" s="31"/>
      <c r="B42" s="69"/>
      <c r="C42" s="70"/>
      <c r="D42" s="70"/>
      <c r="E42" s="70"/>
      <c r="F42" s="39"/>
      <c r="G42" s="47"/>
      <c r="H42" s="31"/>
      <c r="I42" s="48"/>
      <c r="J42" s="31"/>
    </row>
    <row r="43" ht="24.0" customHeight="1">
      <c r="A43" s="14" t="s">
        <v>15</v>
      </c>
      <c r="B43" s="15" t="s">
        <v>124</v>
      </c>
      <c r="C43" s="16"/>
      <c r="D43" s="16"/>
      <c r="E43" s="49"/>
      <c r="F43" s="17">
        <f>IFERROR(__xludf.DUMMYFUNCTION("ROUNDUP(
  (
    SUM(
      INDIRECT(
        ""F""&amp;(ROW()+1)&amp;"":F""&amp;
        IFERROR(
          INDEX(
            FILTER(
              ROW(A:A),
              REGEXMATCH(A:A, ""^[•◆■※⊳]""),
              ROW(A:A) &gt; ROW()
            ),
            1
  "&amp;"        )-1,
          999
        )
      )
    )+
    SUM(
      INDIRECT(
        ""G""&amp;(ROW()+1)&amp;"":G""&amp;
        IFERROR(
          INDEX(
            FILTER(
              ROW(A:A),
              REGEXMATCH(A:A, ""^[•◆■※⊳]""),
              ROW(A:A) "&amp;"&gt; ROW()
            ),
            1
          )-1,
          999
        )
      )
    )
  )/2
)"),189.0)</f>
        <v>189</v>
      </c>
      <c r="H43" s="18" t="s">
        <v>17</v>
      </c>
      <c r="I43" s="19"/>
      <c r="J43" s="16"/>
    </row>
    <row r="44" outlineLevel="1">
      <c r="A44" s="31"/>
      <c r="B44" s="38" t="s">
        <v>125</v>
      </c>
      <c r="C44" s="27" t="s">
        <v>126</v>
      </c>
      <c r="D44" s="27" t="s">
        <v>127</v>
      </c>
      <c r="E44" s="71" t="s">
        <v>128</v>
      </c>
      <c r="F44" s="33">
        <v>10.0</v>
      </c>
      <c r="G44" s="34">
        <v>12.0</v>
      </c>
      <c r="H44" s="31"/>
      <c r="I44" s="23" t="s">
        <v>35</v>
      </c>
      <c r="J44" s="31"/>
    </row>
    <row r="45" outlineLevel="1">
      <c r="A45" s="31"/>
      <c r="B45" s="38" t="s">
        <v>129</v>
      </c>
      <c r="C45" s="27" t="s">
        <v>130</v>
      </c>
      <c r="D45" s="27" t="s">
        <v>131</v>
      </c>
      <c r="E45" s="72" t="s">
        <v>132</v>
      </c>
      <c r="F45" s="68">
        <v>18.0</v>
      </c>
      <c r="G45" s="34">
        <v>20.0</v>
      </c>
      <c r="H45" s="31"/>
      <c r="I45" s="23" t="s">
        <v>123</v>
      </c>
      <c r="J45" s="31"/>
    </row>
    <row r="46" outlineLevel="1">
      <c r="A46" s="51"/>
      <c r="B46" s="38" t="s">
        <v>133</v>
      </c>
      <c r="C46" s="57" t="s">
        <v>134</v>
      </c>
      <c r="D46" s="27" t="s">
        <v>135</v>
      </c>
      <c r="E46" s="27" t="s">
        <v>136</v>
      </c>
      <c r="F46" s="53">
        <v>3.0</v>
      </c>
      <c r="G46" s="42">
        <v>4.0</v>
      </c>
      <c r="H46" s="51"/>
      <c r="I46" s="23" t="s">
        <v>35</v>
      </c>
      <c r="J46" s="22"/>
    </row>
    <row r="47" outlineLevel="1">
      <c r="A47" s="31"/>
      <c r="B47" s="38" t="s">
        <v>137</v>
      </c>
      <c r="C47" s="27" t="s">
        <v>138</v>
      </c>
      <c r="D47" s="27" t="s">
        <v>139</v>
      </c>
      <c r="E47" s="57" t="s">
        <v>140</v>
      </c>
      <c r="F47" s="68">
        <v>45.0</v>
      </c>
      <c r="G47" s="34">
        <v>60.0</v>
      </c>
      <c r="H47" s="31"/>
      <c r="I47" s="23" t="s">
        <v>35</v>
      </c>
      <c r="J47" s="31"/>
    </row>
    <row r="48" outlineLevel="1">
      <c r="A48" s="54"/>
      <c r="B48" s="38" t="s">
        <v>141</v>
      </c>
      <c r="C48" s="27" t="s">
        <v>142</v>
      </c>
      <c r="D48" s="27" t="s">
        <v>139</v>
      </c>
      <c r="E48" s="52" t="s">
        <v>143</v>
      </c>
      <c r="F48" s="68">
        <v>45.0</v>
      </c>
      <c r="G48" s="34">
        <v>60.0</v>
      </c>
      <c r="H48" s="54"/>
      <c r="I48" s="23" t="s">
        <v>35</v>
      </c>
      <c r="J48" s="54"/>
    </row>
    <row r="49" outlineLevel="1">
      <c r="A49" s="35"/>
      <c r="B49" s="40" t="s">
        <v>144</v>
      </c>
      <c r="C49" s="41" t="s">
        <v>145</v>
      </c>
      <c r="D49" s="41" t="s">
        <v>146</v>
      </c>
      <c r="E49" s="41" t="s">
        <v>147</v>
      </c>
      <c r="F49" s="53">
        <v>45.0</v>
      </c>
      <c r="G49" s="42">
        <v>55.0</v>
      </c>
      <c r="H49" s="35"/>
      <c r="I49" s="23" t="s">
        <v>123</v>
      </c>
      <c r="J49" s="35"/>
    </row>
    <row r="50" ht="57.0" customHeight="1" outlineLevel="1">
      <c r="A50" s="35"/>
      <c r="B50" s="40" t="s">
        <v>148</v>
      </c>
      <c r="C50" s="41"/>
      <c r="D50" s="41"/>
      <c r="E50" s="41" t="s">
        <v>149</v>
      </c>
      <c r="F50" s="53"/>
      <c r="G50" s="42"/>
      <c r="H50" s="35"/>
      <c r="I50" s="23" t="s">
        <v>123</v>
      </c>
      <c r="J50" s="35"/>
    </row>
    <row r="51">
      <c r="A51" s="6"/>
      <c r="B51" s="6"/>
      <c r="C51" s="22"/>
      <c r="D51" s="22"/>
      <c r="E51" s="22"/>
      <c r="F51" s="6"/>
      <c r="G51" s="6"/>
      <c r="H51" s="6"/>
      <c r="I51" s="26"/>
      <c r="J51" s="6"/>
    </row>
    <row r="52" ht="24.0" customHeight="1">
      <c r="A52" s="73" t="s">
        <v>15</v>
      </c>
      <c r="B52" s="62" t="s">
        <v>150</v>
      </c>
      <c r="C52" s="65"/>
      <c r="D52" s="65"/>
      <c r="E52" s="65"/>
      <c r="F52" s="17">
        <f>IFERROR(__xludf.DUMMYFUNCTION("ROUNDUP(
  (
    SUM(
      INDIRECT(
        ""F""&amp;(ROW()+1)&amp;"":F""&amp;
        IFERROR(
          INDEX(
            FILTER(
              ROW(A:A),
              REGEXMATCH(A:A, ""^[•◆■※⊳]""),
              ROW(A:A) &gt; ROW()
            ),
            1
  "&amp;"        )-1,
          999
        )
      )
    )+
    SUM(
      INDIRECT(
        ""G""&amp;(ROW()+1)&amp;"":G""&amp;
        IFERROR(
          INDEX(
            FILTER(
              ROW(A:A),
              REGEXMATCH(A:A, ""^[•◆■※⊳]""),
              ROW(A:A) "&amp;"&gt; ROW()
            ),
            1
          )-1,
          999
        )
      )
    )
  )/2
)"),12.0)</f>
        <v>12</v>
      </c>
      <c r="H52" s="74" t="s">
        <v>41</v>
      </c>
      <c r="I52" s="75"/>
      <c r="J52" s="63"/>
    </row>
    <row r="53" outlineLevel="1">
      <c r="A53" s="22"/>
      <c r="B53" s="76" t="s">
        <v>151</v>
      </c>
      <c r="C53" s="12" t="s">
        <v>152</v>
      </c>
      <c r="D53" s="12" t="s">
        <v>153</v>
      </c>
      <c r="E53" s="12" t="s">
        <v>154</v>
      </c>
      <c r="F53" s="21">
        <v>6.0</v>
      </c>
      <c r="G53" s="21">
        <v>6.0</v>
      </c>
      <c r="H53" s="22"/>
      <c r="I53" s="23" t="s">
        <v>67</v>
      </c>
      <c r="J53" s="22"/>
    </row>
    <row r="54" outlineLevel="1">
      <c r="A54" s="22"/>
      <c r="B54" s="76" t="s">
        <v>155</v>
      </c>
      <c r="C54" s="12" t="s">
        <v>156</v>
      </c>
      <c r="D54" s="12" t="s">
        <v>157</v>
      </c>
      <c r="E54" s="12" t="s">
        <v>158</v>
      </c>
      <c r="F54" s="21">
        <v>6.0</v>
      </c>
      <c r="G54" s="21">
        <v>6.0</v>
      </c>
      <c r="H54" s="22"/>
      <c r="I54" s="23" t="s">
        <v>67</v>
      </c>
      <c r="J54" s="22"/>
    </row>
    <row r="55">
      <c r="A55" s="6"/>
      <c r="B55" s="6"/>
      <c r="C55" s="22"/>
      <c r="D55" s="22"/>
      <c r="E55" s="22"/>
      <c r="F55" s="6"/>
      <c r="G55" s="6"/>
      <c r="H55" s="6"/>
      <c r="I55" s="26"/>
      <c r="J55" s="6"/>
    </row>
    <row r="56" ht="24.0" customHeight="1" collapsed="1">
      <c r="A56" s="73" t="s">
        <v>15</v>
      </c>
      <c r="B56" s="62" t="s">
        <v>159</v>
      </c>
      <c r="C56" s="65"/>
      <c r="D56" s="65"/>
      <c r="E56" s="65"/>
      <c r="F56" s="17">
        <f>IFERROR(__xludf.DUMMYFUNCTION("ROUNDUP(
  (
    SUM(
      INDIRECT(
        ""F""&amp;(ROW()+1)&amp;"":F""&amp;
        IFERROR(
          INDEX(
            FILTER(
              ROW(A:A),
              REGEXMATCH(A:A, ""^[•◆■※⊳]""),
              ROW(A:A) &gt; ROW()
            ),
            1
  "&amp;"        )-1,
          999
        )
      )
    )+
    SUM(
      INDIRECT(
        ""G""&amp;(ROW()+1)&amp;"":G""&amp;
        IFERROR(
          INDEX(
            FILTER(
              ROW(A:A),
              REGEXMATCH(A:A, ""^[•◆■※⊳]""),
              ROW(A:A) "&amp;"&gt; ROW()
            ),
            1
          )-1,
          999
        )
      )
    )
  )/2
)"),29.0)</f>
        <v>29</v>
      </c>
      <c r="H56" s="74" t="s">
        <v>41</v>
      </c>
      <c r="I56" s="75"/>
      <c r="J56" s="63"/>
    </row>
    <row r="57" hidden="1" outlineLevel="1">
      <c r="A57" s="22"/>
      <c r="B57" s="76" t="s">
        <v>160</v>
      </c>
      <c r="C57" s="12" t="s">
        <v>161</v>
      </c>
      <c r="D57" s="12" t="s">
        <v>162</v>
      </c>
      <c r="E57" s="12" t="s">
        <v>163</v>
      </c>
      <c r="F57" s="21">
        <v>10.0</v>
      </c>
      <c r="G57" s="21">
        <v>12.0</v>
      </c>
      <c r="H57" s="22"/>
      <c r="I57" s="23" t="s">
        <v>67</v>
      </c>
      <c r="J57" s="22"/>
    </row>
    <row r="58" hidden="1" outlineLevel="1">
      <c r="A58" s="22"/>
      <c r="B58" s="76" t="s">
        <v>164</v>
      </c>
      <c r="C58" s="12" t="s">
        <v>165</v>
      </c>
      <c r="D58" s="12" t="s">
        <v>166</v>
      </c>
      <c r="E58" s="12" t="s">
        <v>167</v>
      </c>
      <c r="F58" s="21">
        <v>8.0</v>
      </c>
      <c r="G58" s="21">
        <v>10.0</v>
      </c>
      <c r="H58" s="22"/>
      <c r="I58" s="23" t="s">
        <v>67</v>
      </c>
      <c r="J58" s="22"/>
    </row>
    <row r="59" hidden="1" outlineLevel="1">
      <c r="A59" s="22"/>
      <c r="B59" s="76" t="s">
        <v>168</v>
      </c>
      <c r="C59" s="12" t="s">
        <v>169</v>
      </c>
      <c r="D59" s="12" t="s">
        <v>170</v>
      </c>
      <c r="E59" s="12" t="s">
        <v>171</v>
      </c>
      <c r="F59" s="21">
        <v>8.0</v>
      </c>
      <c r="G59" s="21">
        <v>10.0</v>
      </c>
      <c r="H59" s="22"/>
      <c r="I59" s="23" t="s">
        <v>67</v>
      </c>
      <c r="J59" s="22"/>
    </row>
    <row r="60">
      <c r="A60" s="77"/>
      <c r="B60" s="77"/>
      <c r="C60" s="66"/>
      <c r="D60" s="66"/>
      <c r="E60" s="78"/>
      <c r="F60" s="79"/>
      <c r="G60" s="79"/>
      <c r="H60" s="66"/>
      <c r="I60" s="80"/>
      <c r="J60" s="66"/>
    </row>
    <row r="61" ht="24.0" customHeight="1">
      <c r="A61" s="61" t="s">
        <v>15</v>
      </c>
      <c r="B61" s="62" t="s">
        <v>172</v>
      </c>
      <c r="C61" s="63"/>
      <c r="D61" s="63"/>
      <c r="E61" s="63"/>
      <c r="F61" s="17">
        <f>IFERROR(__xludf.DUMMYFUNCTION("ROUNDUP(
  (
    SUM(
      INDIRECT(
        ""F""&amp;(ROW()+1)&amp;"":F""&amp;
        IFERROR(
          INDEX(
            FILTER(
              ROW(A:A),
              REGEXMATCH(A:A, ""^[•◆■※⊳]""),
              ROW(A:A) &gt; ROW()
            ),
            1
  "&amp;"        )-1,
          999
        )
      )
    )+
    SUM(
      INDIRECT(
        ""G""&amp;(ROW()+1)&amp;"":G""&amp;
        IFERROR(
          INDEX(
            FILTER(
              ROW(A:A),
              REGEXMATCH(A:A, ""^[•◆■※⊳]""),
              ROW(A:A) "&amp;"&gt; ROW()
            ),
            1
          )-1,
          999
        )
      )
    )
  )/2
)"),18.0)</f>
        <v>18</v>
      </c>
      <c r="H61" s="74" t="s">
        <v>41</v>
      </c>
      <c r="I61" s="64"/>
      <c r="J61" s="65"/>
    </row>
    <row r="62" outlineLevel="1">
      <c r="A62" s="37"/>
      <c r="B62" s="20" t="s">
        <v>173</v>
      </c>
      <c r="C62" s="12" t="s">
        <v>174</v>
      </c>
      <c r="D62" s="12" t="s">
        <v>175</v>
      </c>
      <c r="E62" s="12" t="s">
        <v>176</v>
      </c>
      <c r="F62" s="21">
        <v>8.0</v>
      </c>
      <c r="G62" s="21">
        <v>10.0</v>
      </c>
      <c r="H62" s="37"/>
      <c r="I62" s="23" t="s">
        <v>67</v>
      </c>
      <c r="J62" s="37"/>
    </row>
    <row r="63" outlineLevel="1">
      <c r="A63" s="37"/>
      <c r="B63" s="20" t="s">
        <v>177</v>
      </c>
      <c r="C63" s="12" t="s">
        <v>178</v>
      </c>
      <c r="D63" s="12" t="s">
        <v>179</v>
      </c>
      <c r="E63" s="12" t="s">
        <v>180</v>
      </c>
      <c r="F63" s="21">
        <v>8.0</v>
      </c>
      <c r="G63" s="21">
        <v>10.0</v>
      </c>
      <c r="H63" s="37"/>
      <c r="I63" s="23" t="s">
        <v>67</v>
      </c>
      <c r="J63" s="37"/>
    </row>
    <row r="64">
      <c r="A64" s="66"/>
      <c r="B64" s="66"/>
      <c r="C64" s="66"/>
      <c r="D64" s="66"/>
      <c r="E64" s="66"/>
      <c r="F64" s="66"/>
      <c r="G64" s="66"/>
      <c r="H64" s="66"/>
      <c r="I64" s="67"/>
      <c r="J64" s="66"/>
    </row>
    <row r="65" ht="24.0" customHeight="1">
      <c r="A65" s="81" t="s">
        <v>181</v>
      </c>
      <c r="B65" s="15" t="s">
        <v>182</v>
      </c>
      <c r="C65" s="82"/>
      <c r="D65" s="82"/>
      <c r="E65" s="82"/>
      <c r="F65" s="83">
        <f>IFERROR(__xludf.DUMMYFUNCTION("ROUNDUP(
  (
    SUM(
      FILTER(
        INDIRECT(""F4:F"" &amp; ROW()-1),
        LEFT(INDIRECT(""A4:A"" &amp; ROW()-1),1)=""•""
      )
    )
  ) * 
  Details!C12
)"),94.0)</f>
        <v>94</v>
      </c>
      <c r="H65" s="82"/>
      <c r="I65" s="81" t="s">
        <v>113</v>
      </c>
      <c r="J65" s="82"/>
    </row>
    <row r="66" ht="54.0" customHeight="1" outlineLevel="1">
      <c r="A66" s="22"/>
      <c r="B66" s="84" t="s">
        <v>183</v>
      </c>
      <c r="C66" s="12" t="s">
        <v>184</v>
      </c>
      <c r="D66" s="12" t="s">
        <v>185</v>
      </c>
      <c r="E66" s="12" t="s">
        <v>186</v>
      </c>
      <c r="F66" s="22"/>
      <c r="G66" s="22"/>
      <c r="H66" s="22"/>
      <c r="I66" s="67"/>
      <c r="J66" s="22"/>
    </row>
    <row r="67" ht="54.0" customHeight="1" outlineLevel="1">
      <c r="A67" s="22"/>
      <c r="B67" s="29" t="s">
        <v>187</v>
      </c>
      <c r="F67" s="22"/>
      <c r="G67" s="85"/>
      <c r="H67" s="22"/>
      <c r="I67" s="67"/>
      <c r="J67" s="22"/>
    </row>
    <row r="68" ht="54.0" customHeight="1" outlineLevel="1">
      <c r="A68" s="22"/>
      <c r="B68" s="86" t="s">
        <v>188</v>
      </c>
      <c r="F68" s="85"/>
      <c r="G68" s="85"/>
      <c r="H68" s="22"/>
      <c r="I68" s="67"/>
      <c r="J68" s="22"/>
    </row>
    <row r="69">
      <c r="A69" s="22"/>
      <c r="B69" s="22"/>
      <c r="C69" s="22"/>
      <c r="D69" s="87"/>
      <c r="E69" s="22"/>
      <c r="F69" s="22"/>
      <c r="G69" s="22"/>
      <c r="H69" s="22"/>
      <c r="I69" s="67"/>
      <c r="J69" s="88"/>
    </row>
    <row r="70" ht="24.0" customHeight="1">
      <c r="A70" s="14" t="s">
        <v>189</v>
      </c>
      <c r="B70" s="15" t="s">
        <v>190</v>
      </c>
      <c r="C70" s="50"/>
      <c r="D70" s="50"/>
      <c r="E70" s="50"/>
      <c r="F70" s="89">
        <f>Details!C19*Details!C20</f>
        <v>30</v>
      </c>
      <c r="H70" s="50"/>
      <c r="I70" s="90"/>
      <c r="J70" s="50"/>
    </row>
    <row r="71" ht="54.75" customHeight="1" outlineLevel="1">
      <c r="A71" s="22"/>
      <c r="B71" s="91" t="s">
        <v>191</v>
      </c>
      <c r="C71" s="12" t="s">
        <v>192</v>
      </c>
      <c r="D71" s="22"/>
      <c r="E71" s="92"/>
      <c r="F71" s="93" t="s">
        <v>193</v>
      </c>
      <c r="G71" s="21">
        <f>Details!C19</f>
        <v>30</v>
      </c>
      <c r="H71" s="22"/>
      <c r="I71" s="23"/>
      <c r="J71" s="22"/>
    </row>
    <row r="72" ht="54.75" customHeight="1" outlineLevel="1">
      <c r="A72" s="22"/>
      <c r="B72" s="91"/>
      <c r="C72" s="12"/>
      <c r="D72" s="22"/>
      <c r="E72" s="92"/>
      <c r="F72" s="93" t="s">
        <v>194</v>
      </c>
      <c r="G72" s="21">
        <f>Details!C20</f>
        <v>1</v>
      </c>
      <c r="H72" s="22"/>
      <c r="I72" s="23"/>
      <c r="J72" s="22"/>
    </row>
    <row r="73">
      <c r="A73" s="22"/>
      <c r="B73" s="22"/>
      <c r="C73" s="22"/>
      <c r="D73" s="22"/>
      <c r="E73" s="22"/>
      <c r="F73" s="22"/>
      <c r="G73" s="22"/>
      <c r="H73" s="22"/>
      <c r="I73" s="94"/>
      <c r="J73" s="22"/>
    </row>
    <row r="74">
      <c r="A74" s="22"/>
      <c r="B74" s="22"/>
      <c r="C74" s="22"/>
      <c r="D74" s="22"/>
      <c r="E74" s="22"/>
      <c r="F74" s="22"/>
      <c r="G74" s="22"/>
      <c r="H74" s="22"/>
      <c r="I74" s="94"/>
      <c r="J74" s="22"/>
    </row>
    <row r="75" ht="23.25" customHeight="1">
      <c r="A75" s="24" t="s">
        <v>195</v>
      </c>
      <c r="B75" s="92"/>
      <c r="C75" s="22"/>
      <c r="D75" s="22"/>
      <c r="E75" s="95" t="s">
        <v>196</v>
      </c>
      <c r="F75" s="96">
        <f>SUMIFS(F:F, A:A, "*•*") + SUMIFS(F:F, A:A, "*◆*") + SUMIFS(F:F, A:A, "*■*")</f>
        <v>590</v>
      </c>
      <c r="G75" s="97"/>
      <c r="H75" s="98" t="s">
        <v>197</v>
      </c>
      <c r="I75" s="99">
        <f t="array" ref="I75">INDIRECT("Details!G27")</f>
        <v>524.4</v>
      </c>
      <c r="J75" s="100"/>
    </row>
    <row r="76" ht="23.25" customHeight="1">
      <c r="A76" s="24"/>
      <c r="B76" s="92"/>
      <c r="C76" s="22"/>
      <c r="D76" s="22"/>
      <c r="E76" s="101"/>
      <c r="F76" s="102"/>
      <c r="G76" s="102"/>
      <c r="H76" s="103" t="s">
        <v>198</v>
      </c>
      <c r="I76" s="104">
        <f t="array" ref="I76">INDIRECT("Details!H27")</f>
        <v>650.4</v>
      </c>
      <c r="J76" s="100"/>
    </row>
    <row r="77" ht="46.5" customHeight="1">
      <c r="A77" s="24" t="s">
        <v>199</v>
      </c>
      <c r="B77" s="92"/>
      <c r="C77" s="92"/>
      <c r="D77" s="92"/>
      <c r="E77" s="105" t="s">
        <v>200</v>
      </c>
      <c r="F77" s="106">
        <f>IFERROR(__xludf.DUMMYFUNCTION("ARRAYFORMULA(
  SUM(
    IF(
      REGEXMATCH(INDIRECT(""A4:A"" &amp; MATCH(""※"",A:A,0)-1), ""^[•◆■]""),
      INDIRECT(""F4:F"" &amp; MATCH(""※"",A:A,0)-1) * 
      IF(
        REGEXMATCH(INDIRECT(""A4:A"" &amp; MATCH(""※"",A:A,0)-1), ""^[•◆]""),
        Details!$C"&amp;"$11,
        IF(
          REGEXMATCH(INDIRECT(""A4:A"" &amp; MATCH(""※"",A:A,0)-1), ""^■""),
          Details!$C$18,
          0
        )
      ),
      0
    )
  )
)"),139830.0)</f>
        <v>139830</v>
      </c>
      <c r="G77" s="107"/>
      <c r="H77" s="108"/>
      <c r="I77" s="109"/>
      <c r="J77" s="100"/>
    </row>
    <row r="78" ht="46.5" customHeight="1">
      <c r="A78" s="92"/>
      <c r="B78" s="92"/>
      <c r="C78" s="92"/>
      <c r="D78" s="92"/>
      <c r="E78" s="110"/>
      <c r="F78" s="111"/>
      <c r="G78" s="111"/>
      <c r="H78" s="112"/>
      <c r="I78" s="67"/>
      <c r="J78" s="22"/>
    </row>
    <row r="79" ht="54.0" customHeight="1">
      <c r="A79" s="113"/>
      <c r="B79" s="114" t="s">
        <v>201</v>
      </c>
      <c r="C79" s="113"/>
      <c r="D79" s="113"/>
      <c r="E79" s="113"/>
      <c r="F79" s="113"/>
    </row>
    <row r="80" ht="29.25" customHeight="1">
      <c r="A80" s="3"/>
      <c r="B80" s="115"/>
      <c r="C80" s="5" t="s">
        <v>3</v>
      </c>
      <c r="D80" s="5" t="s">
        <v>4</v>
      </c>
      <c r="E80" s="4" t="s">
        <v>5</v>
      </c>
      <c r="F80" s="5" t="s">
        <v>6</v>
      </c>
      <c r="G80" s="5" t="s">
        <v>7</v>
      </c>
      <c r="H80" s="4" t="s">
        <v>8</v>
      </c>
      <c r="I80" s="4"/>
      <c r="J80" s="116"/>
    </row>
    <row r="81" collapsed="1">
      <c r="A81" s="117" t="s">
        <v>202</v>
      </c>
      <c r="B81" s="118" t="s">
        <v>203</v>
      </c>
      <c r="C81" s="119"/>
      <c r="D81" s="119"/>
      <c r="E81" s="119"/>
      <c r="F81" s="120"/>
      <c r="H81" s="121" t="s">
        <v>204</v>
      </c>
      <c r="I81" s="122"/>
      <c r="J81" s="120"/>
    </row>
    <row r="82" ht="43.5" hidden="1" customHeight="1" outlineLevel="1">
      <c r="A82" s="22"/>
      <c r="B82" s="20" t="s">
        <v>205</v>
      </c>
      <c r="C82" s="12"/>
      <c r="D82" s="12"/>
      <c r="E82" s="12"/>
      <c r="F82" s="21"/>
      <c r="G82" s="21"/>
      <c r="H82" s="22"/>
      <c r="I82" s="23"/>
      <c r="J82" s="22"/>
    </row>
    <row r="83" ht="43.5" hidden="1" customHeight="1" outlineLevel="1">
      <c r="A83" s="22"/>
      <c r="B83" s="20" t="s">
        <v>206</v>
      </c>
      <c r="C83" s="12"/>
      <c r="D83" s="12"/>
      <c r="E83" s="12"/>
      <c r="F83" s="21"/>
      <c r="G83" s="21"/>
      <c r="H83" s="22"/>
      <c r="I83" s="23"/>
      <c r="J83" s="22"/>
    </row>
    <row r="84" ht="43.5" hidden="1" customHeight="1" outlineLevel="1">
      <c r="A84" s="22"/>
      <c r="B84" s="20" t="s">
        <v>207</v>
      </c>
      <c r="C84" s="12"/>
      <c r="D84" s="12"/>
      <c r="E84" s="12"/>
      <c r="F84" s="21"/>
      <c r="G84" s="21"/>
      <c r="H84" s="22"/>
      <c r="I84" s="23"/>
      <c r="J84" s="22"/>
    </row>
    <row r="85" ht="43.5" hidden="1" customHeight="1" outlineLevel="1">
      <c r="A85" s="31"/>
      <c r="B85" s="38" t="s">
        <v>208</v>
      </c>
      <c r="C85" s="27"/>
      <c r="D85" s="27"/>
      <c r="E85" s="27"/>
      <c r="F85" s="68"/>
      <c r="G85" s="43"/>
      <c r="H85" s="31"/>
      <c r="I85" s="23"/>
      <c r="J85" s="31"/>
    </row>
    <row r="86" ht="43.5" hidden="1" customHeight="1" outlineLevel="1">
      <c r="A86" s="6"/>
      <c r="B86" s="20" t="s">
        <v>209</v>
      </c>
      <c r="C86" s="123"/>
      <c r="D86" s="123"/>
      <c r="E86" s="123"/>
      <c r="F86" s="124"/>
      <c r="G86" s="124"/>
      <c r="H86" s="13"/>
      <c r="I86" s="26"/>
      <c r="J86" s="13"/>
    </row>
    <row r="87" ht="43.5" hidden="1" customHeight="1" outlineLevel="1">
      <c r="A87" s="6"/>
      <c r="B87" s="20" t="s">
        <v>210</v>
      </c>
      <c r="C87" s="123"/>
      <c r="D87" s="123"/>
      <c r="E87" s="123"/>
      <c r="F87" s="124"/>
      <c r="G87" s="124"/>
      <c r="H87" s="13"/>
      <c r="I87" s="26"/>
      <c r="J87" s="13"/>
    </row>
    <row r="88" ht="43.5" hidden="1" customHeight="1" outlineLevel="1">
      <c r="A88" s="22"/>
      <c r="B88" s="20" t="s">
        <v>211</v>
      </c>
      <c r="C88" s="12"/>
      <c r="D88" s="12"/>
      <c r="E88" s="12"/>
      <c r="F88" s="21"/>
      <c r="G88" s="21"/>
      <c r="H88" s="22"/>
      <c r="I88" s="23"/>
      <c r="J88" s="22"/>
    </row>
    <row r="89">
      <c r="A89" s="92"/>
      <c r="B89" s="125"/>
      <c r="C89" s="92"/>
      <c r="D89" s="92"/>
      <c r="E89" s="110"/>
      <c r="F89" s="111"/>
      <c r="G89" s="111"/>
      <c r="H89" s="112"/>
      <c r="I89" s="67"/>
      <c r="J89" s="22"/>
    </row>
    <row r="90" ht="46.5" customHeight="1">
      <c r="A90" s="126" t="s">
        <v>212</v>
      </c>
      <c r="B90" s="127" t="s">
        <v>213</v>
      </c>
      <c r="C90" s="128"/>
      <c r="D90" s="128"/>
      <c r="E90" s="129"/>
      <c r="F90" s="130"/>
      <c r="G90" s="130"/>
      <c r="H90" s="131"/>
      <c r="I90" s="132"/>
      <c r="J90" s="133"/>
    </row>
  </sheetData>
  <mergeCells count="26">
    <mergeCell ref="A1:B1"/>
    <mergeCell ref="C1:E1"/>
    <mergeCell ref="B5:D5"/>
    <mergeCell ref="E5:G5"/>
    <mergeCell ref="B6:D6"/>
    <mergeCell ref="E6:J6"/>
    <mergeCell ref="F7:G7"/>
    <mergeCell ref="F14:G14"/>
    <mergeCell ref="F21:G21"/>
    <mergeCell ref="F27:G27"/>
    <mergeCell ref="F36:G36"/>
    <mergeCell ref="F39:G39"/>
    <mergeCell ref="F43:G43"/>
    <mergeCell ref="F52:G52"/>
    <mergeCell ref="E75:E76"/>
    <mergeCell ref="F75:G76"/>
    <mergeCell ref="F77:G77"/>
    <mergeCell ref="F79:J79"/>
    <mergeCell ref="F81:G81"/>
    <mergeCell ref="F56:G56"/>
    <mergeCell ref="F61:G61"/>
    <mergeCell ref="F65:G65"/>
    <mergeCell ref="C66:C68"/>
    <mergeCell ref="D66:D68"/>
    <mergeCell ref="E66:E68"/>
    <mergeCell ref="F70:G70"/>
  </mergeCells>
  <dataValidations>
    <dataValidation type="list" allowBlank="1" showErrorMessage="1" sqref="H7 H14 H21 H27 H36 H39 H43 H52 H56 H61 H81">
      <formula1>"High,Standard,Low"</formula1>
    </dataValidation>
    <dataValidation type="list" allowBlank="1" showErrorMessage="1" sqref="I8:I12 I15:I19 I22:I25 I28:I34 I37 I40:I41 I44:I50 I53:I54 I57:I59 I62:I63 I65">
      <formula1>"Consulting,Development,Project Management,Solutions Engineering,Strategy"</formula1>
    </dataValidation>
  </dataValidations>
  <hyperlinks>
    <hyperlink r:id="rId2" location="use-docusign-events-to-trigger-workflow-actions-marketing-hub-sales-hub-operations-hub-and-service-hub-professional-and-enterprise" ref="E34"/>
    <hyperlink r:id="rId3" ref="E45"/>
  </hyperlinks>
  <printOptions gridLines="1" horizontalCentered="1"/>
  <pageMargins bottom="0.75" footer="0.0" header="0.0" left="0.25" right="0.25" top="0.75"/>
  <pageSetup fitToWidth="0" cellComments="atEnd" orientation="portrait" pageOrder="overThenDown" paperHeight="48in" paperWidth="11i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75"/>
    <col customWidth="1" min="2" max="2" width="39.0"/>
    <col customWidth="1" min="3" max="3" width="53.38"/>
    <col customWidth="1" min="4" max="4" width="69.25"/>
    <col customWidth="1" min="5" max="5" width="96.13"/>
    <col customWidth="1" min="6" max="6" width="10.63"/>
    <col customWidth="1" min="7" max="7" width="11.13"/>
    <col customWidth="1" min="8" max="8" width="9.75"/>
    <col customWidth="1" min="9" max="9" width="12.63"/>
    <col customWidth="1" min="10" max="10" width="14.63"/>
  </cols>
  <sheetData>
    <row r="1" ht="54.0" customHeight="1">
      <c r="A1" s="134"/>
      <c r="C1" s="2" t="s">
        <v>1</v>
      </c>
      <c r="F1" s="1"/>
      <c r="G1" s="1"/>
      <c r="H1" s="1"/>
      <c r="I1" s="1"/>
      <c r="J1" s="1"/>
    </row>
    <row r="2" ht="29.25" customHeight="1">
      <c r="A2" s="3"/>
      <c r="B2" s="4" t="s">
        <v>2</v>
      </c>
      <c r="C2" s="5" t="s">
        <v>3</v>
      </c>
      <c r="D2" s="5" t="s">
        <v>4</v>
      </c>
      <c r="E2" s="4" t="s">
        <v>5</v>
      </c>
      <c r="F2" s="5" t="s">
        <v>6</v>
      </c>
      <c r="G2" s="5" t="s">
        <v>7</v>
      </c>
      <c r="H2" s="4" t="s">
        <v>8</v>
      </c>
      <c r="I2" s="4" t="s">
        <v>9</v>
      </c>
      <c r="J2" s="4" t="s">
        <v>10</v>
      </c>
    </row>
    <row r="3">
      <c r="A3" s="6"/>
      <c r="B3" s="7"/>
      <c r="C3" s="7"/>
      <c r="D3" s="7"/>
      <c r="E3" s="7"/>
      <c r="F3" s="7"/>
      <c r="G3" s="7"/>
      <c r="H3" s="7"/>
      <c r="I3" s="8"/>
      <c r="J3" s="7"/>
    </row>
    <row r="4">
      <c r="A4" s="6"/>
      <c r="B4" s="9" t="s">
        <v>11</v>
      </c>
      <c r="C4" s="10"/>
      <c r="D4" s="10"/>
      <c r="E4" s="9" t="s">
        <v>12</v>
      </c>
      <c r="F4" s="10"/>
      <c r="G4" s="10"/>
      <c r="H4" s="10"/>
      <c r="I4" s="11"/>
      <c r="J4" s="10"/>
    </row>
    <row r="5" outlineLevel="1">
      <c r="A5" s="6"/>
      <c r="B5" s="12"/>
      <c r="E5" s="12"/>
      <c r="H5" s="13"/>
      <c r="I5" s="8"/>
      <c r="J5" s="13"/>
    </row>
    <row r="6">
      <c r="A6" s="6"/>
      <c r="B6" s="13"/>
      <c r="E6" s="13"/>
    </row>
    <row r="7">
      <c r="A7" s="135" t="s">
        <v>15</v>
      </c>
      <c r="B7" s="136" t="s">
        <v>214</v>
      </c>
      <c r="C7" s="137"/>
      <c r="D7" s="137"/>
      <c r="E7" s="137"/>
      <c r="F7" s="138">
        <f>IFERROR(__xludf.DUMMYFUNCTION("ROUNDUP(
  (
    SUM(
      INDIRECT(
        ""F""&amp;(ROW()+1)&amp;"":F""&amp;
        IFERROR(
          INDEX(
            FILTER(
              ROW(A:A),
              REGEXMATCH(A:A, ""^[•◆■※⊳]""),
              ROW(A:A) &gt; ROW()
            ),
            1
  "&amp;"        )-1,
          999
        )
      )
    )+
    SUM(
      INDIRECT(
        ""G""&amp;(ROW()+1)&amp;"":G""&amp;
        IFERROR(
          INDEX(
            FILTER(
              ROW(A:A),
              REGEXMATCH(A:A, ""^[•◆■※⊳]""),
              ROW(A:A) "&amp;"&gt; ROW()
            ),
            1
          )-1,
          999
        )
      )
    )
  )/2
)"),50.0)</f>
        <v>50</v>
      </c>
      <c r="H7" s="139" t="s">
        <v>41</v>
      </c>
      <c r="I7" s="140"/>
      <c r="J7" s="137"/>
      <c r="K7" s="141"/>
      <c r="L7" s="141"/>
      <c r="M7" s="141"/>
      <c r="N7" s="141"/>
      <c r="O7" s="141"/>
      <c r="P7" s="141"/>
      <c r="Q7" s="141"/>
      <c r="R7" s="141"/>
      <c r="S7" s="141"/>
      <c r="T7" s="141"/>
      <c r="U7" s="141"/>
      <c r="V7" s="141"/>
      <c r="W7" s="141"/>
      <c r="X7" s="141"/>
      <c r="Y7" s="141"/>
      <c r="Z7" s="141"/>
    </row>
    <row r="8">
      <c r="A8" s="141"/>
      <c r="B8" s="142" t="s">
        <v>215</v>
      </c>
      <c r="C8" s="143" t="s">
        <v>216</v>
      </c>
      <c r="D8" s="143" t="s">
        <v>217</v>
      </c>
      <c r="E8" s="143" t="s">
        <v>218</v>
      </c>
      <c r="F8" s="144">
        <v>6.0</v>
      </c>
      <c r="G8" s="144">
        <v>12.0</v>
      </c>
      <c r="H8" s="145"/>
      <c r="I8" s="146" t="s">
        <v>67</v>
      </c>
      <c r="J8" s="143" t="s">
        <v>219</v>
      </c>
      <c r="K8" s="145"/>
      <c r="L8" s="141"/>
      <c r="M8" s="141"/>
      <c r="N8" s="141"/>
      <c r="O8" s="141"/>
      <c r="P8" s="141"/>
      <c r="Q8" s="141"/>
      <c r="R8" s="141"/>
      <c r="S8" s="141"/>
      <c r="T8" s="141"/>
      <c r="U8" s="141"/>
      <c r="V8" s="141"/>
      <c r="W8" s="141"/>
      <c r="X8" s="141"/>
      <c r="Y8" s="141"/>
      <c r="Z8" s="141"/>
    </row>
    <row r="9">
      <c r="A9" s="141"/>
      <c r="B9" s="142" t="s">
        <v>220</v>
      </c>
      <c r="C9" s="143" t="s">
        <v>221</v>
      </c>
      <c r="D9" s="143" t="s">
        <v>222</v>
      </c>
      <c r="E9" s="143" t="s">
        <v>223</v>
      </c>
      <c r="F9" s="144">
        <v>12.0</v>
      </c>
      <c r="G9" s="144">
        <v>18.0</v>
      </c>
      <c r="H9" s="145"/>
      <c r="I9" s="146" t="s">
        <v>123</v>
      </c>
      <c r="J9" s="143" t="s">
        <v>219</v>
      </c>
      <c r="K9" s="145"/>
      <c r="L9" s="141"/>
      <c r="M9" s="141"/>
      <c r="N9" s="141"/>
      <c r="O9" s="141"/>
      <c r="P9" s="141"/>
      <c r="Q9" s="141"/>
      <c r="R9" s="141"/>
      <c r="S9" s="141"/>
      <c r="T9" s="141"/>
      <c r="U9" s="141"/>
      <c r="V9" s="141"/>
      <c r="W9" s="141"/>
      <c r="X9" s="141"/>
      <c r="Y9" s="141"/>
      <c r="Z9" s="141"/>
    </row>
    <row r="10">
      <c r="A10" s="141"/>
      <c r="B10" s="142" t="s">
        <v>224</v>
      </c>
      <c r="C10" s="143" t="s">
        <v>225</v>
      </c>
      <c r="D10" s="143" t="s">
        <v>226</v>
      </c>
      <c r="E10" s="147" t="s">
        <v>227</v>
      </c>
      <c r="F10" s="144">
        <v>3.0</v>
      </c>
      <c r="G10" s="144">
        <v>6.0</v>
      </c>
      <c r="H10" s="145"/>
      <c r="I10" s="148" t="s">
        <v>67</v>
      </c>
      <c r="J10" s="143" t="s">
        <v>219</v>
      </c>
      <c r="K10" s="145"/>
      <c r="L10" s="141"/>
      <c r="M10" s="141"/>
      <c r="N10" s="141"/>
      <c r="O10" s="141"/>
      <c r="P10" s="141"/>
      <c r="Q10" s="141"/>
      <c r="R10" s="141"/>
      <c r="S10" s="141"/>
      <c r="T10" s="141"/>
      <c r="U10" s="141"/>
      <c r="V10" s="141"/>
      <c r="W10" s="141"/>
      <c r="X10" s="141"/>
      <c r="Y10" s="141"/>
      <c r="Z10" s="141"/>
    </row>
    <row r="11">
      <c r="A11" s="149"/>
      <c r="B11" s="150" t="s">
        <v>228</v>
      </c>
      <c r="C11" s="151" t="s">
        <v>229</v>
      </c>
      <c r="D11" s="151" t="s">
        <v>230</v>
      </c>
      <c r="E11" s="152" t="s">
        <v>231</v>
      </c>
      <c r="F11" s="153">
        <v>8.0</v>
      </c>
      <c r="G11" s="153">
        <v>10.0</v>
      </c>
      <c r="H11" s="154"/>
      <c r="I11" s="148" t="s">
        <v>22</v>
      </c>
      <c r="J11" s="151" t="s">
        <v>219</v>
      </c>
      <c r="K11" s="154"/>
      <c r="L11" s="149"/>
      <c r="M11" s="149"/>
      <c r="N11" s="149"/>
      <c r="O11" s="149"/>
      <c r="P11" s="149"/>
      <c r="Q11" s="149"/>
      <c r="R11" s="149"/>
      <c r="S11" s="149"/>
      <c r="T11" s="149"/>
      <c r="U11" s="149"/>
      <c r="V11" s="149"/>
      <c r="W11" s="149"/>
      <c r="X11" s="149"/>
      <c r="Y11" s="149"/>
      <c r="Z11" s="149"/>
    </row>
    <row r="12">
      <c r="A12" s="141"/>
      <c r="B12" s="142" t="s">
        <v>232</v>
      </c>
      <c r="C12" s="143" t="s">
        <v>233</v>
      </c>
      <c r="D12" s="143" t="s">
        <v>234</v>
      </c>
      <c r="E12" s="143" t="s">
        <v>235</v>
      </c>
      <c r="F12" s="144">
        <v>10.0</v>
      </c>
      <c r="G12" s="144">
        <v>14.0</v>
      </c>
      <c r="H12" s="145"/>
      <c r="I12" s="148" t="s">
        <v>22</v>
      </c>
      <c r="J12" s="155" t="s">
        <v>236</v>
      </c>
      <c r="K12" s="145"/>
      <c r="L12" s="141"/>
      <c r="M12" s="141"/>
      <c r="N12" s="141"/>
      <c r="O12" s="141"/>
      <c r="P12" s="141"/>
      <c r="Q12" s="141"/>
      <c r="R12" s="141"/>
      <c r="S12" s="141"/>
      <c r="T12" s="141"/>
      <c r="U12" s="141"/>
      <c r="V12" s="141"/>
      <c r="W12" s="141"/>
      <c r="X12" s="141"/>
      <c r="Y12" s="141"/>
      <c r="Z12" s="141"/>
    </row>
    <row r="13">
      <c r="A13" s="135" t="s">
        <v>15</v>
      </c>
      <c r="B13" s="136" t="s">
        <v>237</v>
      </c>
      <c r="C13" s="137"/>
      <c r="D13" s="137"/>
      <c r="E13" s="137"/>
      <c r="F13" s="138">
        <f>IFERROR(__xludf.DUMMYFUNCTION("ROUNDUP(
  (
    SUM(
      INDIRECT(
        ""F""&amp;(ROW()+1)&amp;"":F""&amp;
        IFERROR(
          INDEX(
            FILTER(
              ROW(A:A),
              REGEXMATCH(A:A, ""^[•◆■※⊳]""),
              ROW(A:A) &gt; ROW()
            ),
            1
  "&amp;"        )-1,
          999
        )
      )
    )+
    SUM(
      INDIRECT(
        ""G""&amp;(ROW()+1)&amp;"":G""&amp;
        IFERROR(
          INDEX(
            FILTER(
              ROW(A:A),
              REGEXMATCH(A:A, ""^[•◆■※⊳]""),
              ROW(A:A) "&amp;"&gt; ROW()
            ),
            1
          )-1,
          999
        )
      )
    )
  )/2
)"),24.0)</f>
        <v>24</v>
      </c>
      <c r="H13" s="139" t="s">
        <v>17</v>
      </c>
      <c r="I13" s="140"/>
      <c r="J13" s="137"/>
      <c r="K13" s="145"/>
      <c r="L13" s="141"/>
      <c r="M13" s="141"/>
      <c r="N13" s="141"/>
      <c r="O13" s="141"/>
      <c r="P13" s="141"/>
      <c r="Q13" s="141"/>
      <c r="R13" s="141"/>
      <c r="S13" s="141"/>
      <c r="T13" s="141"/>
      <c r="U13" s="141"/>
      <c r="V13" s="141"/>
      <c r="W13" s="141"/>
      <c r="X13" s="141"/>
      <c r="Y13" s="141"/>
      <c r="Z13" s="141"/>
    </row>
    <row r="14">
      <c r="A14" s="141"/>
      <c r="B14" s="142" t="s">
        <v>238</v>
      </c>
      <c r="C14" s="143" t="s">
        <v>239</v>
      </c>
      <c r="D14" s="143" t="s">
        <v>240</v>
      </c>
      <c r="E14" s="143" t="s">
        <v>241</v>
      </c>
      <c r="F14" s="144">
        <v>8.0</v>
      </c>
      <c r="G14" s="144">
        <v>12.0</v>
      </c>
      <c r="H14" s="145"/>
      <c r="I14" s="146" t="s">
        <v>67</v>
      </c>
      <c r="J14" s="143" t="s">
        <v>219</v>
      </c>
      <c r="K14" s="145"/>
      <c r="L14" s="141"/>
      <c r="M14" s="141"/>
      <c r="N14" s="141"/>
      <c r="O14" s="141"/>
      <c r="P14" s="141"/>
      <c r="Q14" s="141"/>
      <c r="R14" s="141"/>
      <c r="S14" s="141"/>
      <c r="T14" s="141"/>
      <c r="U14" s="141"/>
      <c r="V14" s="141"/>
      <c r="W14" s="141"/>
      <c r="X14" s="141"/>
      <c r="Y14" s="141"/>
      <c r="Z14" s="141"/>
    </row>
    <row r="15">
      <c r="A15" s="141"/>
      <c r="B15" s="142" t="s">
        <v>242</v>
      </c>
      <c r="C15" s="143" t="s">
        <v>243</v>
      </c>
      <c r="D15" s="143" t="s">
        <v>244</v>
      </c>
      <c r="E15" s="143" t="s">
        <v>245</v>
      </c>
      <c r="F15" s="144">
        <v>12.0</v>
      </c>
      <c r="G15" s="144">
        <v>16.0</v>
      </c>
      <c r="H15" s="145"/>
      <c r="I15" s="146" t="s">
        <v>67</v>
      </c>
      <c r="J15" s="143" t="s">
        <v>219</v>
      </c>
      <c r="K15" s="145"/>
      <c r="L15" s="141"/>
      <c r="M15" s="141"/>
      <c r="N15" s="141"/>
      <c r="O15" s="141"/>
      <c r="P15" s="141"/>
      <c r="Q15" s="141"/>
      <c r="R15" s="141"/>
      <c r="S15" s="141"/>
      <c r="T15" s="141"/>
      <c r="U15" s="141"/>
      <c r="V15" s="141"/>
      <c r="W15" s="141"/>
      <c r="X15" s="141"/>
      <c r="Y15" s="141"/>
      <c r="Z15" s="141"/>
    </row>
    <row r="16" ht="24.0" customHeight="1">
      <c r="A16" s="135" t="s">
        <v>15</v>
      </c>
      <c r="B16" s="136" t="s">
        <v>246</v>
      </c>
      <c r="C16" s="137"/>
      <c r="D16" s="137"/>
      <c r="E16" s="156"/>
      <c r="F16" s="138">
        <f>(sum(F17:F19)+sum(G17:G19))/2</f>
        <v>52.5</v>
      </c>
      <c r="H16" s="139" t="s">
        <v>41</v>
      </c>
      <c r="I16" s="140"/>
      <c r="J16" s="140"/>
      <c r="K16" s="145"/>
      <c r="L16" s="141"/>
      <c r="M16" s="141"/>
      <c r="N16" s="141"/>
      <c r="O16" s="141"/>
      <c r="P16" s="141"/>
      <c r="Q16" s="141"/>
      <c r="R16" s="141"/>
      <c r="S16" s="141"/>
      <c r="T16" s="141"/>
      <c r="U16" s="141"/>
      <c r="V16" s="141"/>
      <c r="W16" s="141"/>
      <c r="X16" s="141"/>
      <c r="Y16" s="141"/>
      <c r="Z16" s="141"/>
    </row>
    <row r="17" outlineLevel="1">
      <c r="A17" s="157"/>
      <c r="B17" s="158" t="s">
        <v>137</v>
      </c>
      <c r="C17" s="159" t="s">
        <v>138</v>
      </c>
      <c r="D17" s="159" t="s">
        <v>139</v>
      </c>
      <c r="E17" s="160" t="s">
        <v>247</v>
      </c>
      <c r="F17" s="161">
        <v>15.0</v>
      </c>
      <c r="G17" s="162">
        <v>20.0</v>
      </c>
      <c r="H17" s="157"/>
      <c r="I17" s="146" t="s">
        <v>123</v>
      </c>
      <c r="J17" s="144" t="s">
        <v>248</v>
      </c>
      <c r="K17" s="145"/>
      <c r="L17" s="141"/>
      <c r="M17" s="141"/>
      <c r="N17" s="141"/>
      <c r="O17" s="141"/>
      <c r="P17" s="141"/>
      <c r="Q17" s="141"/>
      <c r="R17" s="141"/>
      <c r="S17" s="141"/>
      <c r="T17" s="141"/>
      <c r="U17" s="141"/>
      <c r="V17" s="141"/>
      <c r="W17" s="141"/>
      <c r="X17" s="141"/>
      <c r="Y17" s="141"/>
      <c r="Z17" s="141"/>
    </row>
    <row r="18">
      <c r="B18" s="158" t="s">
        <v>141</v>
      </c>
      <c r="C18" s="159" t="s">
        <v>142</v>
      </c>
      <c r="D18" s="159" t="s">
        <v>139</v>
      </c>
      <c r="E18" s="163" t="s">
        <v>249</v>
      </c>
      <c r="F18" s="163">
        <v>15.0</v>
      </c>
      <c r="G18" s="163">
        <v>20.0</v>
      </c>
      <c r="H18" s="88"/>
      <c r="I18" s="88"/>
      <c r="J18" s="88"/>
      <c r="K18" s="88"/>
    </row>
    <row r="19">
      <c r="B19" s="164" t="s">
        <v>144</v>
      </c>
      <c r="C19" s="165" t="s">
        <v>145</v>
      </c>
      <c r="D19" s="165" t="s">
        <v>146</v>
      </c>
      <c r="E19" s="165" t="s">
        <v>147</v>
      </c>
      <c r="F19" s="163">
        <v>15.0</v>
      </c>
      <c r="G19" s="163">
        <v>20.0</v>
      </c>
      <c r="H19" s="88"/>
      <c r="I19" s="88"/>
      <c r="J19" s="88"/>
      <c r="K19" s="88"/>
    </row>
    <row r="20" ht="24.0" customHeight="1">
      <c r="A20" s="81" t="s">
        <v>181</v>
      </c>
      <c r="B20" s="15" t="s">
        <v>250</v>
      </c>
      <c r="C20" s="82"/>
      <c r="D20" s="82"/>
      <c r="E20" s="82"/>
      <c r="F20" s="166">
        <v>30.0</v>
      </c>
      <c r="H20" s="139" t="s">
        <v>41</v>
      </c>
      <c r="I20" s="81" t="s">
        <v>113</v>
      </c>
      <c r="J20" s="82"/>
      <c r="K20" s="88"/>
    </row>
    <row r="21" outlineLevel="1">
      <c r="A21" s="22"/>
      <c r="B21" s="167" t="s">
        <v>188</v>
      </c>
      <c r="C21" s="168" t="s">
        <v>184</v>
      </c>
      <c r="D21" s="168" t="s">
        <v>185</v>
      </c>
      <c r="E21" s="168" t="s">
        <v>251</v>
      </c>
      <c r="F21" s="169">
        <v>30.0</v>
      </c>
      <c r="G21" s="169">
        <v>30.0</v>
      </c>
      <c r="H21" s="22"/>
      <c r="I21" s="67"/>
      <c r="J21" s="22"/>
      <c r="K21" s="88"/>
    </row>
    <row r="22">
      <c r="B22" s="88"/>
      <c r="C22" s="88"/>
      <c r="D22" s="88"/>
      <c r="E22" s="88"/>
      <c r="F22" s="88"/>
      <c r="G22" s="88"/>
      <c r="H22" s="88"/>
      <c r="J22" s="88"/>
      <c r="K22" s="88"/>
    </row>
    <row r="23">
      <c r="B23" s="88"/>
      <c r="C23" s="88"/>
      <c r="D23" s="88"/>
      <c r="E23" s="88"/>
      <c r="F23" s="88"/>
      <c r="G23" s="88"/>
      <c r="H23" s="88"/>
      <c r="I23" s="170"/>
      <c r="J23" s="171"/>
      <c r="K23" s="88"/>
    </row>
    <row r="24">
      <c r="B24" s="88"/>
      <c r="C24" s="88"/>
      <c r="D24" s="88"/>
      <c r="E24" s="95" t="s">
        <v>196</v>
      </c>
      <c r="F24" s="96">
        <f>sum(I24+I25)/2</f>
        <v>156</v>
      </c>
      <c r="G24" s="97"/>
      <c r="H24" s="98" t="s">
        <v>197</v>
      </c>
      <c r="I24" s="88">
        <f>sum(F21,F17:F19,F14:F15,F8:F12)</f>
        <v>134</v>
      </c>
      <c r="J24" s="172"/>
      <c r="K24" s="173"/>
    </row>
    <row r="25">
      <c r="B25" s="88"/>
      <c r="C25" s="88"/>
      <c r="D25" s="88"/>
      <c r="E25" s="101"/>
      <c r="F25" s="102"/>
      <c r="G25" s="102"/>
      <c r="H25" s="103" t="s">
        <v>198</v>
      </c>
      <c r="I25" s="88">
        <f>sum(G21,G17:G19,G14:G15,G8:G12)</f>
        <v>178</v>
      </c>
      <c r="K25" s="173"/>
    </row>
    <row r="26">
      <c r="B26" s="88"/>
      <c r="C26" s="88"/>
      <c r="D26" s="88"/>
      <c r="E26" s="105" t="s">
        <v>200</v>
      </c>
      <c r="F26" s="106"/>
      <c r="G26" s="107"/>
      <c r="H26" s="108"/>
      <c r="I26" s="106"/>
      <c r="J26" s="107"/>
      <c r="K26" s="173"/>
    </row>
    <row r="27">
      <c r="B27" s="88"/>
      <c r="C27" s="88"/>
      <c r="D27" s="88"/>
      <c r="E27" s="88"/>
      <c r="F27" s="88"/>
      <c r="G27" s="88"/>
      <c r="H27" s="88"/>
      <c r="I27" s="88"/>
      <c r="J27" s="88"/>
      <c r="K27" s="88"/>
    </row>
    <row r="28">
      <c r="B28" s="88"/>
      <c r="C28" s="88"/>
      <c r="D28" s="88"/>
      <c r="E28" s="88"/>
      <c r="F28" s="88"/>
      <c r="G28" s="88"/>
      <c r="H28" s="88"/>
      <c r="I28" s="88"/>
      <c r="J28" s="88"/>
      <c r="K28" s="88"/>
    </row>
    <row r="29">
      <c r="B29" s="88"/>
      <c r="C29" s="88"/>
      <c r="D29" s="88"/>
      <c r="E29" s="88"/>
      <c r="F29" s="88"/>
      <c r="G29" s="88"/>
      <c r="H29" s="88"/>
      <c r="I29" s="88"/>
      <c r="J29" s="88"/>
      <c r="K29" s="88"/>
    </row>
    <row r="30">
      <c r="B30" s="88"/>
      <c r="C30" s="88"/>
      <c r="D30" s="88"/>
      <c r="E30" s="88"/>
      <c r="F30" s="88"/>
      <c r="G30" s="88"/>
      <c r="H30" s="88"/>
      <c r="I30" s="88"/>
      <c r="J30" s="88"/>
      <c r="K30" s="88"/>
    </row>
    <row r="31">
      <c r="B31" s="88"/>
      <c r="C31" s="88"/>
      <c r="D31" s="88"/>
      <c r="E31" s="88"/>
      <c r="F31" s="88"/>
      <c r="G31" s="88"/>
      <c r="H31" s="88"/>
      <c r="I31" s="88"/>
      <c r="J31" s="88"/>
      <c r="K31" s="88"/>
    </row>
    <row r="37">
      <c r="I37" s="174" t="s">
        <v>252</v>
      </c>
    </row>
  </sheetData>
  <mergeCells count="15">
    <mergeCell ref="F13:G13"/>
    <mergeCell ref="F16:G16"/>
    <mergeCell ref="F20:G20"/>
    <mergeCell ref="E24:E25"/>
    <mergeCell ref="F24:G25"/>
    <mergeCell ref="J24:J25"/>
    <mergeCell ref="F26:G26"/>
    <mergeCell ref="I26:J26"/>
    <mergeCell ref="A1:B1"/>
    <mergeCell ref="C1:E1"/>
    <mergeCell ref="B5:D5"/>
    <mergeCell ref="E5:G5"/>
    <mergeCell ref="B6:D6"/>
    <mergeCell ref="E6:J6"/>
    <mergeCell ref="F7:G7"/>
  </mergeCells>
  <dataValidations>
    <dataValidation type="list" allowBlank="1" showErrorMessage="1" sqref="H7 H13 H16 H20">
      <formula1>"High,Standard,Low"</formula1>
    </dataValidation>
    <dataValidation type="list" allowBlank="1" showErrorMessage="1" sqref="I8:I12 I14:I15 I17 I20">
      <formula1>"Consulting,Development,Project Management,Solutions Engineering,Strategy"</formula1>
    </dataValidation>
  </dataValidations>
  <hyperlinks>
    <hyperlink r:id="rId2" location="gid=0" ref="E10"/>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9.5"/>
    <col customWidth="1" min="3" max="4" width="17.63"/>
    <col customWidth="1" min="5" max="5" width="5.75"/>
    <col customWidth="1" min="6" max="6" width="36.5"/>
    <col customWidth="1" min="9" max="9" width="6.0"/>
  </cols>
  <sheetData>
    <row r="1" ht="54.0" customHeight="1">
      <c r="A1" s="134"/>
      <c r="B1" s="134"/>
      <c r="D1" s="2" t="s">
        <v>253</v>
      </c>
      <c r="G1" s="175" t="s">
        <v>254</v>
      </c>
      <c r="H1" s="1"/>
      <c r="I1" s="1"/>
    </row>
    <row r="2">
      <c r="A2" s="14" t="s">
        <v>15</v>
      </c>
      <c r="B2" s="176" t="s">
        <v>255</v>
      </c>
      <c r="C2" s="177"/>
      <c r="D2" s="178"/>
      <c r="E2" s="179"/>
      <c r="F2" s="180" t="s">
        <v>256</v>
      </c>
      <c r="G2" s="181"/>
      <c r="H2" s="182"/>
      <c r="I2" s="182"/>
    </row>
    <row r="3">
      <c r="A3" s="183"/>
      <c r="B3" s="184" t="s">
        <v>257</v>
      </c>
      <c r="C3" s="185" t="s">
        <v>258</v>
      </c>
      <c r="D3" s="186"/>
      <c r="E3" s="88"/>
      <c r="F3" s="183" t="s">
        <v>259</v>
      </c>
      <c r="G3" s="187" t="s">
        <v>260</v>
      </c>
      <c r="H3" s="88"/>
      <c r="I3" s="188"/>
    </row>
    <row r="4">
      <c r="A4" s="183"/>
      <c r="B4" s="184" t="s">
        <v>261</v>
      </c>
      <c r="C4" s="163">
        <v>3.51103249E10</v>
      </c>
      <c r="D4" s="189"/>
      <c r="E4" s="88"/>
      <c r="F4" s="183" t="s">
        <v>262</v>
      </c>
      <c r="G4" s="190"/>
      <c r="H4" s="88"/>
      <c r="I4" s="188"/>
    </row>
    <row r="5">
      <c r="A5" s="183"/>
      <c r="B5" s="184" t="s">
        <v>263</v>
      </c>
      <c r="C5" s="191">
        <v>45828.27013888889</v>
      </c>
      <c r="D5" s="189"/>
      <c r="E5" s="88"/>
      <c r="F5" s="183" t="s">
        <v>264</v>
      </c>
      <c r="G5" s="192"/>
      <c r="H5" s="88"/>
      <c r="I5" s="188"/>
    </row>
    <row r="6">
      <c r="A6" s="183"/>
      <c r="B6" s="184" t="s">
        <v>265</v>
      </c>
      <c r="C6" s="193"/>
      <c r="D6" s="189" t="s">
        <v>266</v>
      </c>
      <c r="E6" s="163"/>
      <c r="F6" s="183" t="s">
        <v>267</v>
      </c>
      <c r="G6" s="194"/>
      <c r="H6" s="88"/>
      <c r="I6" s="188"/>
    </row>
    <row r="7">
      <c r="A7" s="183"/>
      <c r="B7" s="184" t="s">
        <v>268</v>
      </c>
      <c r="C7" s="193"/>
      <c r="D7" s="189" t="s">
        <v>269</v>
      </c>
      <c r="E7" s="163"/>
      <c r="H7" s="143"/>
      <c r="I7" s="143"/>
    </row>
    <row r="8">
      <c r="A8" s="183"/>
      <c r="B8" s="184"/>
      <c r="C8" s="195"/>
      <c r="D8" s="186"/>
      <c r="E8" s="88"/>
      <c r="F8" s="196"/>
      <c r="G8" s="143"/>
      <c r="H8" s="143"/>
      <c r="I8" s="143"/>
    </row>
    <row r="9">
      <c r="A9" s="180"/>
      <c r="B9" s="197" t="s">
        <v>270</v>
      </c>
      <c r="C9" s="179"/>
      <c r="D9" s="198"/>
      <c r="E9" s="199"/>
      <c r="F9" s="200"/>
      <c r="G9" s="201"/>
      <c r="H9" s="202"/>
      <c r="I9" s="202"/>
    </row>
    <row r="10">
      <c r="A10" s="183"/>
      <c r="B10" s="203" t="s">
        <v>271</v>
      </c>
      <c r="C10" s="204"/>
      <c r="D10" s="205"/>
      <c r="E10" s="88"/>
      <c r="F10" s="206"/>
      <c r="G10" s="207"/>
      <c r="H10" s="88"/>
      <c r="I10" s="88"/>
    </row>
    <row r="11">
      <c r="A11" s="183"/>
      <c r="B11" s="184" t="s">
        <v>272</v>
      </c>
      <c r="C11" s="193">
        <v>237.0</v>
      </c>
      <c r="D11" s="189" t="s">
        <v>273</v>
      </c>
      <c r="E11" s="88"/>
      <c r="F11" s="206"/>
      <c r="G11" s="207"/>
      <c r="H11" s="88"/>
      <c r="I11" s="88"/>
    </row>
    <row r="12">
      <c r="A12" s="183"/>
      <c r="B12" s="184" t="s">
        <v>274</v>
      </c>
      <c r="C12" s="208">
        <v>0.2</v>
      </c>
      <c r="D12" s="186"/>
      <c r="E12" s="199"/>
      <c r="F12" s="206"/>
      <c r="G12" s="207"/>
      <c r="H12" s="88"/>
      <c r="I12" s="88"/>
    </row>
    <row r="13">
      <c r="A13" s="183"/>
      <c r="B13" s="209" t="s">
        <v>275</v>
      </c>
      <c r="C13" s="210">
        <v>45852.0</v>
      </c>
      <c r="D13" s="186"/>
      <c r="E13" s="88"/>
      <c r="F13" s="206"/>
      <c r="G13" s="207"/>
      <c r="H13" s="88"/>
      <c r="I13" s="88"/>
    </row>
    <row r="14">
      <c r="A14" s="211"/>
      <c r="B14" s="209" t="s">
        <v>276</v>
      </c>
      <c r="C14" s="124">
        <v>5.0</v>
      </c>
      <c r="D14" s="189" t="s">
        <v>277</v>
      </c>
      <c r="E14" s="88"/>
      <c r="F14" s="206"/>
      <c r="G14" s="207"/>
      <c r="H14" s="88"/>
      <c r="I14" s="88"/>
    </row>
    <row r="15">
      <c r="A15" s="211"/>
      <c r="B15" s="209" t="s">
        <v>278</v>
      </c>
      <c r="C15" s="210">
        <f>C13+(C14*30)</f>
        <v>46002</v>
      </c>
      <c r="D15" s="189"/>
      <c r="E15" s="88"/>
      <c r="F15" s="206"/>
      <c r="G15" s="190"/>
      <c r="H15" s="163"/>
      <c r="I15" s="88"/>
    </row>
    <row r="16">
      <c r="A16" s="211"/>
      <c r="B16" s="184"/>
      <c r="C16" s="193"/>
      <c r="D16" s="186"/>
      <c r="E16" s="88"/>
      <c r="F16" s="206"/>
      <c r="G16" s="212"/>
      <c r="H16" s="88"/>
      <c r="I16" s="88"/>
    </row>
    <row r="17">
      <c r="A17" s="183"/>
      <c r="B17" s="203" t="s">
        <v>279</v>
      </c>
      <c r="C17" s="213"/>
      <c r="D17" s="205"/>
      <c r="E17" s="88"/>
      <c r="F17" s="206"/>
      <c r="G17" s="207"/>
      <c r="H17" s="88"/>
      <c r="I17" s="88"/>
    </row>
    <row r="18">
      <c r="A18" s="211"/>
      <c r="B18" s="184" t="s">
        <v>280</v>
      </c>
      <c r="C18" s="193">
        <v>237.0</v>
      </c>
      <c r="D18" s="189" t="s">
        <v>281</v>
      </c>
      <c r="E18" s="88"/>
      <c r="F18" s="206"/>
      <c r="G18" s="207"/>
      <c r="H18" s="88"/>
      <c r="I18" s="88"/>
    </row>
    <row r="19">
      <c r="A19" s="211"/>
      <c r="B19" s="209" t="s">
        <v>282</v>
      </c>
      <c r="C19" s="124">
        <v>30.0</v>
      </c>
      <c r="D19" s="189" t="s">
        <v>283</v>
      </c>
      <c r="E19" s="88"/>
      <c r="F19" s="206"/>
      <c r="G19" s="207"/>
      <c r="H19" s="88"/>
      <c r="I19" s="88"/>
    </row>
    <row r="20">
      <c r="A20" s="211"/>
      <c r="B20" s="209" t="s">
        <v>284</v>
      </c>
      <c r="C20" s="124">
        <v>1.0</v>
      </c>
      <c r="D20" s="189" t="s">
        <v>285</v>
      </c>
      <c r="E20" s="88"/>
      <c r="F20" s="206"/>
      <c r="G20" s="207"/>
      <c r="H20" s="88"/>
      <c r="I20" s="88"/>
    </row>
    <row r="21">
      <c r="A21" s="211"/>
      <c r="B21" s="214"/>
      <c r="C21" s="215"/>
      <c r="D21" s="216"/>
      <c r="E21" s="88"/>
      <c r="F21" s="206"/>
      <c r="G21" s="207"/>
      <c r="H21" s="88"/>
      <c r="I21" s="88"/>
    </row>
    <row r="22">
      <c r="A22" s="211"/>
      <c r="B22" s="211"/>
      <c r="C22" s="124"/>
      <c r="D22" s="217"/>
      <c r="E22" s="88"/>
      <c r="F22" s="88"/>
      <c r="G22" s="207"/>
      <c r="H22" s="88"/>
      <c r="I22" s="88"/>
    </row>
    <row r="23">
      <c r="A23" s="218"/>
      <c r="B23" s="218" t="s">
        <v>286</v>
      </c>
      <c r="C23" s="219"/>
      <c r="D23" s="220"/>
      <c r="E23" s="221"/>
      <c r="F23" s="218" t="s">
        <v>287</v>
      </c>
      <c r="G23" s="222" t="s">
        <v>288</v>
      </c>
      <c r="H23" s="223" t="s">
        <v>289</v>
      </c>
      <c r="I23" s="223"/>
    </row>
    <row r="24">
      <c r="A24" s="211"/>
      <c r="B24" s="211" t="s">
        <v>290</v>
      </c>
      <c r="C24" s="224">
        <f t="array" ref="C24">INDEX(Overview!F:G, MATCH("⚑", Overview!A:A, 0), 1)</f>
        <v>139830</v>
      </c>
      <c r="D24" s="225" t="s">
        <v>291</v>
      </c>
      <c r="E24" s="88"/>
      <c r="F24" s="183" t="s">
        <v>292</v>
      </c>
      <c r="G24" s="226">
        <f>IFERROR(__xludf.DUMMYFUNCTION("ARRAYFORMULA(
  SUMIFS(
    Overview!F:F, 
    Overview!F:F, ""&gt;0"",
    Overview!A:A, ""&lt;&gt;•*"",
    Overview!A:A, ""&lt;&gt;◆*"",
    ROW(Overview!A:A), ""&gt;""&amp;MIN(IF(REGEXMATCH(Overview!A:A,""^•""),ROW(Overview!A:A))),
    ROW(Overview!A:A), ""&lt;""&amp;MIN(IF(REGEX"&amp;"MATCH(Overview!A:A,""^※|^◆""),ROW(Overview!A:A),99999))
  )
)"),412.0)</f>
        <v>412</v>
      </c>
      <c r="H24" s="188">
        <f>IFERROR(__xludf.DUMMYFUNCTION("ARRAYFORMULA(
  SUMIFS(
    Overview!G:G, 
    Overview!G:G, ""&gt;0"",
    Overview!A:A, ""&lt;&gt;•*"",
    Overview!A:A, ""&lt;&gt;◆*"",
    ROW(Overview!A:A), ""&gt;""&amp;MIN(IF(REGEXMATCH(Overview!A:A,""^•""),ROW(Overview!A:A))),
    ROW(Overview!A:A), ""&lt;""&amp;MIN(IF(REGEX"&amp;"MATCH(Overview!A:A,""^◆""),ROW(Overview!A:A),99999))
  )
)"),517.0)</f>
        <v>517</v>
      </c>
      <c r="I24" s="188"/>
    </row>
    <row r="25">
      <c r="A25" s="211"/>
      <c r="B25" s="211" t="s">
        <v>293</v>
      </c>
      <c r="C25" s="124">
        <f>SUMIFS(Overview!F:F, Overview!A:A, "*•*") + SUMIFS(Overview!F:F, Overview!A:A, "*◆*") + SUMIFS(Overview!F:F, Overview!A:A, "*■*")</f>
        <v>590</v>
      </c>
      <c r="D25" s="225" t="s">
        <v>294</v>
      </c>
      <c r="E25" s="88"/>
      <c r="F25" s="183" t="s">
        <v>295</v>
      </c>
      <c r="G25" s="226">
        <f>G24 * C12</f>
        <v>82.4</v>
      </c>
      <c r="H25" s="188">
        <f>H24 * C12</f>
        <v>103.4</v>
      </c>
      <c r="I25" s="188"/>
    </row>
    <row r="26">
      <c r="A26" s="211"/>
      <c r="B26" s="211" t="s">
        <v>296</v>
      </c>
      <c r="C26" s="188">
        <f>SUMIFS(Overview!F:F, Overview!A:A, "*•*") + SUMIFS(Overview!F:F, Overview!A:A, "*◆*")</f>
        <v>560</v>
      </c>
      <c r="D26" s="225" t="s">
        <v>297</v>
      </c>
      <c r="E26" s="88"/>
      <c r="F26" s="183" t="s">
        <v>298</v>
      </c>
      <c r="G26" s="226">
        <f t="array" ref="G26">INDEX(Overview!F:G, MATCH("■*", Overview!A:A, 0), 1)</f>
        <v>30</v>
      </c>
      <c r="H26" s="188">
        <f t="array" ref="H26">INDEX(Overview!F:G, MATCH("■*", Overview!A:A, 0), 1)</f>
        <v>30</v>
      </c>
      <c r="I26" s="188"/>
    </row>
    <row r="27">
      <c r="A27" s="211"/>
      <c r="B27" s="211" t="s">
        <v>299</v>
      </c>
      <c r="C27" s="188">
        <f>SUMIFS(Overview!F:F, Overview!A:A, "*■*")</f>
        <v>30</v>
      </c>
      <c r="D27" s="217"/>
      <c r="E27" s="88"/>
      <c r="F27" s="183" t="s">
        <v>300</v>
      </c>
      <c r="G27" s="226">
        <f t="shared" ref="G27:H27" si="1">SUM(G24:G26)</f>
        <v>524.4</v>
      </c>
      <c r="H27" s="188">
        <f t="shared" si="1"/>
        <v>650.4</v>
      </c>
      <c r="I27" s="188"/>
    </row>
    <row r="28">
      <c r="A28" s="211"/>
      <c r="B28" s="211" t="s">
        <v>301</v>
      </c>
      <c r="C28" s="227">
        <f>EDATE(C13, C14)</f>
        <v>46005</v>
      </c>
      <c r="D28" s="217"/>
      <c r="E28" s="88"/>
      <c r="F28" s="183" t="s">
        <v>302</v>
      </c>
      <c r="G28" s="228">
        <f>G27*C11</f>
        <v>124282.8</v>
      </c>
      <c r="H28" s="229">
        <f>H27*C11</f>
        <v>154144.8</v>
      </c>
      <c r="I28" s="188"/>
    </row>
    <row r="29">
      <c r="A29" s="230"/>
      <c r="B29" s="211" t="s">
        <v>303</v>
      </c>
      <c r="C29" s="188">
        <f>roundup(C26/C14,0)</f>
        <v>112</v>
      </c>
      <c r="D29" s="217"/>
      <c r="E29" s="88"/>
      <c r="F29" s="88"/>
      <c r="G29" s="88"/>
      <c r="H29" s="88"/>
      <c r="I29" s="188"/>
    </row>
    <row r="30">
      <c r="A30" s="231"/>
      <c r="B30" s="211" t="s">
        <v>304</v>
      </c>
      <c r="C30" s="188">
        <f>roundup(C29/4.3,0)</f>
        <v>27</v>
      </c>
      <c r="D30" s="217"/>
      <c r="E30" s="88"/>
      <c r="F30" s="183" t="s">
        <v>305</v>
      </c>
      <c r="G30" s="232">
        <f>SUMIFS(Overview!F:F, Overview!A:A, "*•*") + SUMIFS(Overview!F:F, Overview!A:A, "*◆*") + SUMIFS(Overview!F:F, Overview!A:A, "*■*")</f>
        <v>590</v>
      </c>
      <c r="I30" s="188"/>
    </row>
    <row r="31">
      <c r="A31" s="211"/>
      <c r="B31" s="211" t="s">
        <v>306</v>
      </c>
      <c r="C31" s="188">
        <f>C30*1.2</f>
        <v>32.4</v>
      </c>
      <c r="D31" s="225"/>
      <c r="E31" s="88"/>
      <c r="F31" s="183" t="s">
        <v>307</v>
      </c>
      <c r="G31" s="233">
        <f t="array" ref="G31">INDEX(Overview!F:G, MATCH("⚑", Overview!A:A, 0), 1)</f>
        <v>139830</v>
      </c>
      <c r="I31" s="88"/>
    </row>
    <row r="32">
      <c r="A32" s="211"/>
      <c r="B32" s="211" t="s">
        <v>308</v>
      </c>
      <c r="C32" s="188">
        <f>C30*0.5</f>
        <v>13.5</v>
      </c>
      <c r="D32" s="225"/>
      <c r="E32" s="88"/>
      <c r="F32" s="163"/>
      <c r="G32" s="163"/>
      <c r="H32" s="88"/>
      <c r="I32" s="88"/>
    </row>
    <row r="33">
      <c r="A33" s="88"/>
      <c r="B33" s="211" t="s">
        <v>309</v>
      </c>
      <c r="C33" s="234">
        <f>C40/C45</f>
        <v>0.1683079678</v>
      </c>
      <c r="D33" s="225" t="s">
        <v>310</v>
      </c>
      <c r="E33" s="88"/>
      <c r="F33" s="88"/>
      <c r="G33" s="207"/>
      <c r="H33" s="88"/>
      <c r="I33" s="88"/>
    </row>
    <row r="34">
      <c r="A34" s="88"/>
      <c r="B34" s="211" t="s">
        <v>311</v>
      </c>
      <c r="C34" s="234">
        <f>C42/C45</f>
        <v>0.2936436885</v>
      </c>
      <c r="D34" s="225" t="s">
        <v>312</v>
      </c>
      <c r="E34" s="88"/>
      <c r="F34" s="88"/>
      <c r="G34" s="207"/>
      <c r="H34" s="88"/>
      <c r="I34" s="88"/>
    </row>
    <row r="35">
      <c r="A35" s="88"/>
      <c r="B35" s="88"/>
      <c r="C35" s="88"/>
      <c r="D35" s="88"/>
      <c r="E35" s="88"/>
      <c r="F35" s="88"/>
      <c r="G35" s="207"/>
      <c r="H35" s="88"/>
      <c r="I35" s="88"/>
    </row>
    <row r="36">
      <c r="A36" s="88"/>
      <c r="B36" s="88"/>
      <c r="C36" s="88"/>
      <c r="D36" s="88"/>
      <c r="E36" s="88"/>
      <c r="F36" s="88"/>
      <c r="G36" s="207"/>
      <c r="H36" s="88"/>
      <c r="I36" s="88"/>
    </row>
    <row r="37">
      <c r="A37" s="235" t="s">
        <v>195</v>
      </c>
      <c r="B37" s="236" t="s">
        <v>313</v>
      </c>
      <c r="C37" s="237"/>
      <c r="D37" s="237"/>
      <c r="E37" s="199"/>
      <c r="F37" s="236" t="s">
        <v>314</v>
      </c>
      <c r="G37" s="238"/>
      <c r="H37" s="237"/>
      <c r="I37" s="237"/>
    </row>
    <row r="38">
      <c r="A38" s="239"/>
      <c r="B38" s="239" t="str">
        <f>IFERROR(__xludf.DUMMYFUNCTION("LET(
  square_row, MATCH(""■"", Overview!A:A, 0) - 1,
  valid_range, SEQUENCE(square_row),
  raw_calcs, QUERY(
    ARRAYFORMULA({
      IF(INDIRECT(""Overview!I1:I""&amp;square_row) = """", ""Unassigned"", INDIRECT(""Overview!I1:I""&amp;square_row)),
      IF(
  "&amp;"      REGEXMATCH(INDIRECT(""Overview!A1:A""&amp;square_row), ""•""),
        0,
        IF(
          REGEXMATCH(INDIRECT(""Overview!A1:A""&amp;square_row), ""◆""),
          INDIRECT(""Overview!F1:F""&amp;square_row),
          (INDIRECT(""Overview!F1:F""&amp;square_row"&amp;") + INDIRECT(""Overview!G1:G""&amp;square_row))/2
        )
      )
    }),
    ""select Col1, sum(Col2) 
     where Col1 is not null 
     and Col2 is not null 
     group by Col1 
     label Col1 'Function', sum(Col2) 'Hours'"",
    0
  ),
  functions, {""F"&amp;"unction"", ""Hours""; 
              ""Consulting"", IFERROR(VLOOKUP(""Consulting"", raw_calcs, 2, FALSE), 0);
              ""Development"", IFERROR(VLOOKUP(""Development"", raw_calcs, 2, FALSE), 0);
              ""Project Management"", IFERROR(VLOOKUP("&amp;"""Project Management"", raw_calcs, 2, FALSE), 0);
              ""Solutions Engineering"", IFERROR(VLOOKUP(""Solutions Engineering"", raw_calcs, 2, FALSE), 0);
              ""Strategy"", IFERROR(VLOOKUP(""Strategy"", raw_calcs, 2, FALSE), 0);
           "&amp;"   ""Unassigned"", IFERROR(VLOOKUP(""Unassigned"", raw_calcs, 2, FALSE), 0)},
  functions
)"),"Function")</f>
        <v>Function</v>
      </c>
      <c r="C38" s="240" t="str">
        <f>IFERROR(__xludf.DUMMYFUNCTION("""COMPUTED_VALUE"""),"Hours")</f>
        <v>Hours</v>
      </c>
      <c r="D38" s="241" t="s">
        <v>315</v>
      </c>
      <c r="E38" s="88"/>
      <c r="F38" s="207" t="str">
        <f>IFERROR(__xludf.DUMMYFUNCTION("QUERY(
  Overview!A7:F99, 
  ""select B, F where (A = '•' or A = '◆' or A = '■') and B is not null""
)"),"Discovery + Requirements Gathering: Gather and document ForceBrand's business + project requirements")</f>
        <v>Discovery + Requirements Gathering: Gather and document ForceBrand's business + project requirements</v>
      </c>
      <c r="G38" s="242">
        <f>IFERROR(__xludf.DUMMYFUNCTION("""COMPUTED_VALUE"""),65.0)</f>
        <v>65</v>
      </c>
      <c r="H38" s="243">
        <f>G38*C11</f>
        <v>15405</v>
      </c>
      <c r="I38" s="88"/>
    </row>
    <row r="39">
      <c r="A39" s="244"/>
      <c r="B39" s="244" t="str">
        <f>IFERROR(__xludf.DUMMYFUNCTION("""COMPUTED_VALUE"""),"Consulting")</f>
        <v>Consulting</v>
      </c>
      <c r="C39" s="245">
        <f>IFERROR(__xludf.DUMMYFUNCTION("""COMPUTED_VALUE"""),143.0)</f>
        <v>143</v>
      </c>
      <c r="D39" s="208">
        <f t="shared" ref="D39:D44" si="2">C39/$C$45</f>
        <v>0.2560429722</v>
      </c>
      <c r="E39" s="88"/>
      <c r="F39" s="207" t="str">
        <f>IFERROR(__xludf.DUMMYFUNCTION("""COMPUTED_VALUE"""),"Solutions Engineering / Project Planning / Final Scope Validation: Define and design a HubSpot instance to meet ForceBrand's needs")</f>
        <v>Solutions Engineering / Project Planning / Final Scope Validation: Define and design a HubSpot instance to meet ForceBrand's needs</v>
      </c>
      <c r="G39" s="242">
        <f>IFERROR(__xludf.DUMMYFUNCTION("""COMPUTED_VALUE"""),34.0)</f>
        <v>34</v>
      </c>
      <c r="H39" s="243">
        <f>G39*C11</f>
        <v>8058</v>
      </c>
      <c r="I39" s="88"/>
    </row>
    <row r="40">
      <c r="A40" s="244"/>
      <c r="B40" s="244" t="str">
        <f>IFERROR(__xludf.DUMMYFUNCTION("""COMPUTED_VALUE"""),"Development")</f>
        <v>Development</v>
      </c>
      <c r="C40" s="245">
        <f>IFERROR(__xludf.DUMMYFUNCTION("""COMPUTED_VALUE"""),94.0)</f>
        <v>94</v>
      </c>
      <c r="D40" s="208">
        <f t="shared" si="2"/>
        <v>0.1683079678</v>
      </c>
      <c r="E40" s="88"/>
      <c r="F40" s="207" t="str">
        <f>IFERROR(__xludf.DUMMYFUNCTION("""COMPUTED_VALUE"""),"HubSpot Implementation - Marketing Hub: Primarily consult and support updates of ForceBrand's marketing process and HubSpot functionality")</f>
        <v>HubSpot Implementation - Marketing Hub: Primarily consult and support updates of ForceBrand's marketing process and HubSpot functionality</v>
      </c>
      <c r="G40" s="242">
        <f>IFERROR(__xludf.DUMMYFUNCTION("""COMPUTED_VALUE"""),36.0)</f>
        <v>36</v>
      </c>
      <c r="H40" s="243">
        <f>G40*C11</f>
        <v>8532</v>
      </c>
      <c r="I40" s="88"/>
    </row>
    <row r="41">
      <c r="A41" s="244"/>
      <c r="B41" s="244" t="str">
        <f>IFERROR(__xludf.DUMMYFUNCTION("""COMPUTED_VALUE"""),"Project Management")</f>
        <v>Project Management</v>
      </c>
      <c r="C41" s="245">
        <f>IFERROR(__xludf.DUMMYFUNCTION("""COMPUTED_VALUE"""),104.0)</f>
        <v>104</v>
      </c>
      <c r="D41" s="208">
        <f t="shared" si="2"/>
        <v>0.1862130707</v>
      </c>
      <c r="E41" s="88"/>
      <c r="F41" s="207" t="str">
        <f>IFERROR(__xludf.DUMMYFUNCTION("""COMPUTED_VALUE"""),"HubSpot Implementation - Sales Hub: Implement HubSpot Sales Hub that aligns with ForceBrands's processes and data needs. ")</f>
        <v>HubSpot Implementation - Sales Hub: Implement HubSpot Sales Hub that aligns with ForceBrands's processes and data needs. </v>
      </c>
      <c r="G41" s="242">
        <f>IFERROR(__xludf.DUMMYFUNCTION("""COMPUTED_VALUE"""),41.0)</f>
        <v>41</v>
      </c>
      <c r="H41" s="243">
        <f>G41*C11</f>
        <v>9717</v>
      </c>
      <c r="I41" s="88"/>
    </row>
    <row r="42">
      <c r="A42" s="244"/>
      <c r="B42" s="244" t="str">
        <f>IFERROR(__xludf.DUMMYFUNCTION("""COMPUTED_VALUE"""),"Solutions Engineering")</f>
        <v>Solutions Engineering</v>
      </c>
      <c r="C42" s="245">
        <f>IFERROR(__xludf.DUMMYFUNCTION("""COMPUTED_VALUE"""),164.0)</f>
        <v>164</v>
      </c>
      <c r="D42" s="208">
        <f t="shared" si="2"/>
        <v>0.2936436885</v>
      </c>
      <c r="E42" s="88"/>
      <c r="F42" s="207" t="str">
        <f>IFERROR(__xludf.DUMMYFUNCTION("""COMPUTED_VALUE"""),"HubSpot Consulting - Content Hub: Support the holistic project with website consulting to ForceBrands and additional vendor")</f>
        <v>HubSpot Consulting - Content Hub: Support the holistic project with website consulting to ForceBrands and additional vendor</v>
      </c>
      <c r="G42" s="242">
        <f>IFERROR(__xludf.DUMMYFUNCTION("""COMPUTED_VALUE"""),10.0)</f>
        <v>10</v>
      </c>
      <c r="H42" s="243">
        <f>G42*C11</f>
        <v>2370</v>
      </c>
      <c r="I42" s="88"/>
    </row>
    <row r="43">
      <c r="A43" s="244"/>
      <c r="B43" s="244" t="str">
        <f>IFERROR(__xludf.DUMMYFUNCTION("""COMPUTED_VALUE"""),"Strategy")</f>
        <v>Strategy</v>
      </c>
      <c r="C43" s="245">
        <f>IFERROR(__xludf.DUMMYFUNCTION("""COMPUTED_VALUE"""),53.5)</f>
        <v>53.5</v>
      </c>
      <c r="D43" s="208">
        <f t="shared" si="2"/>
        <v>0.09579230081</v>
      </c>
      <c r="E43" s="88"/>
      <c r="F43" s="207" t="str">
        <f>IFERROR(__xludf.DUMMYFUNCTION("""COMPUTED_VALUE"""),"Data Migration: Migrate Bullhorn entity / object data into HubSpot to support lead and account management")</f>
        <v>Data Migration: Migrate Bullhorn entity / object data into HubSpot to support lead and account management</v>
      </c>
      <c r="G43" s="242">
        <f>IFERROR(__xludf.DUMMYFUNCTION("""COMPUTED_VALUE"""),32.0)</f>
        <v>32</v>
      </c>
      <c r="H43" s="243">
        <f>G43*C11</f>
        <v>7584</v>
      </c>
      <c r="I43" s="88"/>
    </row>
    <row r="44">
      <c r="A44" s="244"/>
      <c r="B44" s="244" t="str">
        <f>IFERROR(__xludf.DUMMYFUNCTION("""COMPUTED_VALUE"""),"Unassigned")</f>
        <v>Unassigned</v>
      </c>
      <c r="C44" s="245">
        <f>IFERROR(__xludf.DUMMYFUNCTION("""COMPUTED_VALUE"""),0.0)</f>
        <v>0</v>
      </c>
      <c r="D44" s="208">
        <f t="shared" si="2"/>
        <v>0</v>
      </c>
      <c r="E44" s="88"/>
      <c r="F44" s="207" t="str">
        <f>IFERROR(__xludf.DUMMYFUNCTION("""COMPUTED_VALUE"""),"Bullhorn ATS &lt;&gt; HubSpot System Integration: Develop a custom data connector between Bullhorn and HubSpot")</f>
        <v>Bullhorn ATS &lt;&gt; HubSpot System Integration: Develop a custom data connector between Bullhorn and HubSpot</v>
      </c>
      <c r="G44" s="242">
        <f>IFERROR(__xludf.DUMMYFUNCTION("""COMPUTED_VALUE"""),189.0)</f>
        <v>189</v>
      </c>
      <c r="H44" s="243">
        <f>G44*C11</f>
        <v>44793</v>
      </c>
      <c r="I44" s="88"/>
    </row>
    <row r="45">
      <c r="A45" s="183"/>
      <c r="B45" s="183" t="s">
        <v>316</v>
      </c>
      <c r="C45" s="245">
        <f>sum(C39:C44)</f>
        <v>558.5</v>
      </c>
      <c r="D45" s="234">
        <f>SUM(D39:D44)</f>
        <v>1</v>
      </c>
      <c r="E45" s="88"/>
      <c r="F45" s="207" t="str">
        <f>IFERROR(__xludf.DUMMYFUNCTION("""COMPUTED_VALUE"""),"Sales + Marketing Reporting: Train ForceBrands on how to create custom reports and dashboards to support business insights directly in HubSpot")</f>
        <v>Sales + Marketing Reporting: Train ForceBrands on how to create custom reports and dashboards to support business insights directly in HubSpot</v>
      </c>
      <c r="G45" s="242">
        <f>IFERROR(__xludf.DUMMYFUNCTION("""COMPUTED_VALUE"""),12.0)</f>
        <v>12</v>
      </c>
      <c r="H45" s="243">
        <f>G45*C11</f>
        <v>2844</v>
      </c>
      <c r="I45" s="88"/>
    </row>
    <row r="46">
      <c r="A46" s="88"/>
      <c r="B46" s="88"/>
      <c r="C46" s="246"/>
      <c r="D46" s="88"/>
      <c r="E46" s="88"/>
      <c r="F46" s="207" t="str">
        <f>IFERROR(__xludf.DUMMYFUNCTION("""COMPUTED_VALUE"""),"Training &amp; Documentation: Train ForceBrands resources on HubSpot best practices, contextual to their sales and marketing processes")</f>
        <v>Training &amp; Documentation: Train ForceBrands resources on HubSpot best practices, contextual to their sales and marketing processes</v>
      </c>
      <c r="G46" s="242">
        <f>IFERROR(__xludf.DUMMYFUNCTION("""COMPUTED_VALUE"""),29.0)</f>
        <v>29</v>
      </c>
      <c r="H46" s="243">
        <f>G46*C11</f>
        <v>6873</v>
      </c>
      <c r="I46" s="88"/>
    </row>
    <row r="47">
      <c r="A47" s="88"/>
      <c r="B47" s="88"/>
      <c r="C47" s="246"/>
      <c r="D47" s="88"/>
      <c r="E47" s="88"/>
      <c r="F47" s="88" t="str">
        <f>IFERROR(__xludf.DUMMYFUNCTION("""COMPUTED_VALUE"""),"Launch and Portal UAT: Support ForceBrands' sales go-live and final migration")</f>
        <v>Launch and Portal UAT: Support ForceBrands' sales go-live and final migration</v>
      </c>
      <c r="G47" s="242">
        <f>IFERROR(__xludf.DUMMYFUNCTION("""COMPUTED_VALUE"""),18.0)</f>
        <v>18</v>
      </c>
      <c r="H47" s="243">
        <f>G47*C11</f>
        <v>4266</v>
      </c>
      <c r="I47" s="88"/>
    </row>
    <row r="48">
      <c r="A48" s="247"/>
      <c r="B48" s="247"/>
      <c r="C48" s="248"/>
      <c r="D48" s="88"/>
      <c r="E48" s="88"/>
      <c r="F48" s="88" t="str">
        <f>IFERROR(__xludf.DUMMYFUNCTION("""COMPUTED_VALUE"""),"Project Management + Strategy: Support this project with transparency and regular progress reports")</f>
        <v>Project Management + Strategy: Support this project with transparency and regular progress reports</v>
      </c>
      <c r="G48" s="242">
        <f>IFERROR(__xludf.DUMMYFUNCTION("""COMPUTED_VALUE"""),94.0)</f>
        <v>94</v>
      </c>
      <c r="H48" s="243">
        <f>G48*C11</f>
        <v>22278</v>
      </c>
      <c r="I48" s="88"/>
    </row>
    <row r="49">
      <c r="A49" s="88"/>
      <c r="B49" s="88"/>
      <c r="C49" s="88"/>
      <c r="D49" s="88"/>
      <c r="E49" s="88"/>
      <c r="F49" s="88" t="str">
        <f>IFERROR(__xludf.DUMMYFUNCTION("""COMPUTED_VALUE"""),"NEXT Post-Launch Support: Support ForceBrand's marketing team after the migration is complete")</f>
        <v>NEXT Post-Launch Support: Support ForceBrand's marketing team after the migration is complete</v>
      </c>
      <c r="G49" s="242">
        <f>IFERROR(__xludf.DUMMYFUNCTION("""COMPUTED_VALUE"""),30.0)</f>
        <v>30</v>
      </c>
      <c r="H49" s="243">
        <f>G49*C18</f>
        <v>7110</v>
      </c>
      <c r="I49" s="88"/>
    </row>
    <row r="50">
      <c r="A50" s="88"/>
      <c r="B50" s="88"/>
      <c r="C50" s="88"/>
      <c r="D50" s="88"/>
      <c r="E50" s="88"/>
      <c r="F50" s="88"/>
      <c r="G50" s="207"/>
      <c r="H50" s="88"/>
      <c r="I50" s="88"/>
    </row>
    <row r="51">
      <c r="A51" s="88"/>
      <c r="B51" s="88"/>
      <c r="C51" s="88"/>
      <c r="D51" s="88"/>
      <c r="E51" s="88"/>
      <c r="F51" s="88"/>
      <c r="G51" s="207"/>
      <c r="H51" s="88"/>
      <c r="I51" s="88"/>
    </row>
    <row r="52">
      <c r="A52" s="88"/>
      <c r="B52" s="88"/>
      <c r="C52" s="88"/>
      <c r="D52" s="88"/>
      <c r="E52" s="88"/>
      <c r="F52" s="88"/>
      <c r="G52" s="207"/>
      <c r="H52" s="88"/>
      <c r="I52" s="88"/>
    </row>
    <row r="53">
      <c r="A53" s="249"/>
      <c r="B53" s="249"/>
      <c r="C53" s="250"/>
      <c r="D53" s="251"/>
      <c r="E53" s="88"/>
      <c r="F53" s="123"/>
      <c r="G53" s="207"/>
      <c r="H53" s="88"/>
      <c r="I53" s="88"/>
    </row>
    <row r="54">
      <c r="A54" s="230"/>
      <c r="B54" s="230"/>
      <c r="C54" s="252"/>
      <c r="D54" s="253"/>
      <c r="E54" s="88"/>
      <c r="F54" s="88"/>
      <c r="G54" s="207"/>
      <c r="H54" s="88"/>
      <c r="I54" s="88"/>
    </row>
    <row r="55">
      <c r="A55" s="230"/>
      <c r="B55" s="230"/>
      <c r="C55" s="252"/>
      <c r="D55" s="253"/>
      <c r="E55" s="88"/>
      <c r="F55" s="88"/>
      <c r="G55" s="207"/>
      <c r="H55" s="88"/>
      <c r="I55" s="88"/>
    </row>
    <row r="56">
      <c r="A56" s="230"/>
      <c r="B56" s="230"/>
      <c r="C56" s="252"/>
      <c r="D56" s="253"/>
      <c r="E56" s="88"/>
      <c r="F56" s="88"/>
      <c r="G56" s="207"/>
      <c r="H56" s="88"/>
      <c r="I56" s="88"/>
    </row>
    <row r="57">
      <c r="A57" s="230"/>
      <c r="B57" s="230"/>
      <c r="C57" s="252"/>
      <c r="D57" s="253"/>
      <c r="E57" s="88"/>
      <c r="F57" s="88"/>
      <c r="G57" s="207"/>
      <c r="H57" s="88"/>
      <c r="I57" s="88"/>
    </row>
    <row r="58">
      <c r="A58" s="230"/>
      <c r="B58" s="230"/>
      <c r="C58" s="252"/>
      <c r="D58" s="253"/>
      <c r="E58" s="88"/>
      <c r="F58" s="88"/>
      <c r="G58" s="207"/>
      <c r="H58" s="88"/>
      <c r="I58" s="88"/>
    </row>
    <row r="59">
      <c r="E59" s="88"/>
      <c r="F59" s="88"/>
      <c r="G59" s="207"/>
      <c r="H59" s="88"/>
      <c r="I59" s="88"/>
    </row>
    <row r="60">
      <c r="E60" s="88"/>
      <c r="F60" s="88"/>
      <c r="G60" s="207"/>
      <c r="H60" s="88"/>
      <c r="I60" s="88"/>
    </row>
    <row r="61">
      <c r="E61" s="88"/>
      <c r="F61" s="88"/>
      <c r="G61" s="207"/>
      <c r="H61" s="88"/>
      <c r="I61" s="88"/>
    </row>
    <row r="62">
      <c r="E62" s="88"/>
      <c r="F62" s="88"/>
      <c r="G62" s="207"/>
      <c r="H62" s="88"/>
      <c r="I62" s="88"/>
    </row>
    <row r="63">
      <c r="E63" s="88"/>
      <c r="F63" s="88"/>
      <c r="G63" s="207"/>
      <c r="H63" s="88"/>
      <c r="I63" s="88"/>
    </row>
    <row r="64">
      <c r="E64" s="88"/>
      <c r="F64" s="88"/>
      <c r="G64" s="207"/>
      <c r="H64" s="88"/>
      <c r="I64" s="88"/>
    </row>
    <row r="65">
      <c r="E65" s="88"/>
      <c r="F65" s="88"/>
      <c r="G65" s="207"/>
      <c r="H65" s="88"/>
      <c r="I65" s="88"/>
    </row>
    <row r="66">
      <c r="E66" s="88"/>
      <c r="F66" s="88"/>
      <c r="G66" s="207"/>
      <c r="H66" s="88"/>
      <c r="I66" s="88"/>
    </row>
    <row r="67">
      <c r="E67" s="88"/>
      <c r="F67" s="88"/>
      <c r="G67" s="207"/>
      <c r="H67" s="88"/>
      <c r="I67" s="88"/>
    </row>
    <row r="68">
      <c r="E68" s="88"/>
      <c r="F68" s="88"/>
      <c r="G68" s="207"/>
      <c r="H68" s="88"/>
      <c r="I68" s="88"/>
    </row>
    <row r="69">
      <c r="E69" s="88"/>
      <c r="F69" s="88"/>
      <c r="G69" s="207"/>
      <c r="H69" s="88"/>
      <c r="I69" s="88"/>
    </row>
    <row r="70">
      <c r="E70" s="88"/>
      <c r="F70" s="88"/>
      <c r="G70" s="207"/>
      <c r="H70" s="88"/>
      <c r="I70" s="88"/>
    </row>
    <row r="71">
      <c r="E71" s="88"/>
      <c r="F71" s="88"/>
      <c r="G71" s="207"/>
      <c r="H71" s="88"/>
      <c r="I71" s="88"/>
    </row>
    <row r="72">
      <c r="E72" s="88"/>
      <c r="F72" s="88"/>
      <c r="G72" s="207"/>
      <c r="H72" s="88"/>
      <c r="I72" s="88"/>
    </row>
    <row r="73">
      <c r="E73" s="88"/>
      <c r="F73" s="88"/>
      <c r="G73" s="207"/>
      <c r="H73" s="88"/>
      <c r="I73" s="88"/>
    </row>
    <row r="74">
      <c r="E74" s="88"/>
      <c r="F74" s="88"/>
      <c r="G74" s="207"/>
      <c r="H74" s="88"/>
      <c r="I74" s="88"/>
    </row>
    <row r="75">
      <c r="E75" s="88"/>
      <c r="F75" s="88"/>
      <c r="G75" s="207"/>
      <c r="H75" s="88"/>
      <c r="I75" s="88"/>
    </row>
    <row r="76">
      <c r="E76" s="88"/>
      <c r="F76" s="88"/>
      <c r="G76" s="207"/>
      <c r="H76" s="88"/>
      <c r="I76" s="88"/>
    </row>
    <row r="77">
      <c r="E77" s="88"/>
      <c r="F77" s="88"/>
      <c r="G77" s="207"/>
      <c r="H77" s="88"/>
      <c r="I77" s="88"/>
    </row>
    <row r="78">
      <c r="E78" s="88"/>
      <c r="F78" s="88"/>
      <c r="G78" s="207"/>
      <c r="H78" s="88"/>
      <c r="I78" s="88"/>
    </row>
    <row r="79">
      <c r="E79" s="88"/>
      <c r="F79" s="88"/>
      <c r="G79" s="207"/>
      <c r="H79" s="88"/>
      <c r="I79" s="88"/>
    </row>
    <row r="80">
      <c r="E80" s="88"/>
      <c r="F80" s="88"/>
      <c r="G80" s="207"/>
      <c r="H80" s="88"/>
      <c r="I80" s="88"/>
    </row>
    <row r="81">
      <c r="E81" s="88"/>
      <c r="F81" s="88"/>
      <c r="G81" s="207"/>
      <c r="H81" s="88"/>
      <c r="I81" s="88"/>
    </row>
    <row r="82">
      <c r="E82" s="88"/>
      <c r="F82" s="88"/>
      <c r="G82" s="207"/>
      <c r="H82" s="88"/>
      <c r="I82" s="88"/>
    </row>
    <row r="83">
      <c r="E83" s="88"/>
      <c r="F83" s="88"/>
      <c r="G83" s="207"/>
      <c r="H83" s="88"/>
      <c r="I83" s="88"/>
    </row>
    <row r="84">
      <c r="E84" s="88"/>
      <c r="F84" s="88"/>
      <c r="G84" s="207"/>
      <c r="H84" s="88"/>
      <c r="I84" s="88"/>
    </row>
    <row r="85">
      <c r="E85" s="88"/>
      <c r="F85" s="88"/>
      <c r="G85" s="207"/>
      <c r="H85" s="88"/>
      <c r="I85" s="88"/>
    </row>
    <row r="86">
      <c r="E86" s="88"/>
      <c r="F86" s="88"/>
      <c r="G86" s="207"/>
      <c r="H86" s="88"/>
      <c r="I86" s="88"/>
    </row>
    <row r="87">
      <c r="E87" s="88"/>
      <c r="F87" s="88"/>
      <c r="G87" s="207"/>
      <c r="H87" s="88"/>
      <c r="I87" s="88"/>
    </row>
    <row r="88">
      <c r="E88" s="88"/>
      <c r="F88" s="88"/>
      <c r="G88" s="207"/>
      <c r="H88" s="88"/>
      <c r="I88" s="88"/>
    </row>
    <row r="89">
      <c r="E89" s="88"/>
      <c r="F89" s="88"/>
      <c r="G89" s="207"/>
      <c r="H89" s="88"/>
      <c r="I89" s="88"/>
    </row>
    <row r="90">
      <c r="E90" s="88"/>
      <c r="F90" s="88"/>
      <c r="G90" s="207"/>
      <c r="H90" s="88"/>
      <c r="I90" s="88"/>
    </row>
    <row r="91">
      <c r="E91" s="88"/>
      <c r="F91" s="88"/>
      <c r="G91" s="207"/>
      <c r="H91" s="88"/>
      <c r="I91" s="88"/>
    </row>
    <row r="92">
      <c r="E92" s="88"/>
      <c r="F92" s="88"/>
      <c r="G92" s="207"/>
      <c r="H92" s="88"/>
      <c r="I92" s="88"/>
    </row>
    <row r="93">
      <c r="E93" s="88"/>
      <c r="F93" s="88"/>
      <c r="G93" s="207"/>
      <c r="H93" s="88"/>
      <c r="I93" s="88"/>
    </row>
    <row r="94">
      <c r="E94" s="88"/>
      <c r="F94" s="88"/>
      <c r="G94" s="207"/>
      <c r="H94" s="88"/>
      <c r="I94" s="88"/>
    </row>
    <row r="95">
      <c r="E95" s="88"/>
      <c r="F95" s="88"/>
      <c r="G95" s="207"/>
      <c r="H95" s="88"/>
      <c r="I95" s="88"/>
    </row>
    <row r="96">
      <c r="E96" s="88"/>
      <c r="F96" s="88"/>
      <c r="G96" s="207"/>
      <c r="H96" s="88"/>
      <c r="I96" s="88"/>
    </row>
    <row r="97">
      <c r="E97" s="88"/>
      <c r="F97" s="88"/>
      <c r="G97" s="207"/>
      <c r="H97" s="88"/>
      <c r="I97" s="88"/>
    </row>
    <row r="98">
      <c r="E98" s="88"/>
      <c r="F98" s="88"/>
      <c r="G98" s="207"/>
      <c r="H98" s="88"/>
      <c r="I98" s="88"/>
    </row>
    <row r="99">
      <c r="E99" s="88"/>
      <c r="F99" s="88"/>
      <c r="G99" s="207"/>
      <c r="H99" s="88"/>
      <c r="I99" s="88"/>
    </row>
  </sheetData>
  <mergeCells count="4">
    <mergeCell ref="B1:C1"/>
    <mergeCell ref="D1:F1"/>
    <mergeCell ref="G30:H30"/>
    <mergeCell ref="G31:H31"/>
  </mergeCells>
  <dataValidations>
    <dataValidation type="list" allowBlank="1" showErrorMessage="1" sqref="C6:C7">
      <formula1>"Yes,No"</formula1>
    </dataValidation>
  </dataValidations>
  <hyperlinks>
    <hyperlink r:id="rId1" ref="G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4.63"/>
    <col customWidth="1" min="2" max="10" width="20.75"/>
  </cols>
  <sheetData>
    <row r="1" ht="52.5" customHeight="1">
      <c r="A1" s="131"/>
      <c r="B1" s="131" t="s">
        <v>317</v>
      </c>
      <c r="C1" s="2"/>
      <c r="D1" s="2"/>
      <c r="E1" s="2"/>
      <c r="F1" s="131"/>
      <c r="G1" s="131"/>
      <c r="H1" s="131"/>
      <c r="I1" s="131"/>
      <c r="J1" s="131"/>
    </row>
    <row r="2">
      <c r="B2" s="174"/>
    </row>
    <row r="4">
      <c r="A4" s="254" t="s">
        <v>15</v>
      </c>
      <c r="B4" s="180" t="s">
        <v>318</v>
      </c>
      <c r="C4" s="255"/>
      <c r="D4" s="255"/>
      <c r="E4" s="255"/>
      <c r="F4" s="117">
        <f>IFERROR(__xludf.DUMMYFUNCTION("ROUNDUP(
  (
    SUM(
      INDIRECT(
        ""F""&amp;(ROW()+1)&amp;"":F""&amp;
        IFERROR(
          INDEX(
            FILTER(
              ROW(A:A),
              REGEXMATCH(A:A, ""^[•◆■※⊳]""),
              ROW(A:A) &gt; ROW()
            ),
            1
  "&amp;"        )-1,
          999
        )
      )
    )+
    SUM(
      INDIRECT(
        ""G""&amp;(ROW()+1)&amp;"":G""&amp;
        IFERROR(
          INDEX(
            FILTER(
              ROW(A:A),
              REGEXMATCH(A:A, ""^[•◆■※⊳]""),
              ROW(A:A) "&amp;"&gt; ROW()
            ),
            1
          )-1,
          999
        )
      )
    )
  )/2
)"),23.0)</f>
        <v>23</v>
      </c>
      <c r="H4" s="256" t="s">
        <v>204</v>
      </c>
      <c r="I4" s="122"/>
      <c r="J4" s="122"/>
    </row>
    <row r="5" outlineLevel="1">
      <c r="A5" s="257"/>
      <c r="B5" s="258" t="s">
        <v>319</v>
      </c>
      <c r="C5" s="123" t="s">
        <v>319</v>
      </c>
      <c r="D5" s="123" t="s">
        <v>319</v>
      </c>
      <c r="E5" s="123" t="s">
        <v>319</v>
      </c>
      <c r="F5" s="124">
        <v>5.0</v>
      </c>
      <c r="G5" s="124">
        <v>10.0</v>
      </c>
      <c r="H5" s="257"/>
      <c r="I5" s="259"/>
      <c r="J5" s="257"/>
    </row>
    <row r="6" outlineLevel="1">
      <c r="A6" s="257"/>
      <c r="B6" s="258" t="s">
        <v>319</v>
      </c>
      <c r="C6" s="123" t="s">
        <v>319</v>
      </c>
      <c r="D6" s="123" t="s">
        <v>319</v>
      </c>
      <c r="E6" s="123" t="s">
        <v>319</v>
      </c>
      <c r="F6" s="124">
        <v>5.0</v>
      </c>
      <c r="G6" s="124">
        <v>10.0</v>
      </c>
      <c r="H6" s="257"/>
      <c r="I6" s="259"/>
      <c r="J6" s="257"/>
    </row>
    <row r="7" outlineLevel="1">
      <c r="A7" s="257"/>
      <c r="B7" s="258" t="s">
        <v>319</v>
      </c>
      <c r="C7" s="123" t="s">
        <v>319</v>
      </c>
      <c r="D7" s="123" t="s">
        <v>319</v>
      </c>
      <c r="E7" s="123" t="s">
        <v>319</v>
      </c>
      <c r="F7" s="124">
        <v>5.0</v>
      </c>
      <c r="G7" s="124">
        <v>10.0</v>
      </c>
      <c r="H7" s="257"/>
      <c r="I7" s="259"/>
      <c r="J7" s="257"/>
    </row>
    <row r="8">
      <c r="I8" s="188"/>
    </row>
    <row r="12">
      <c r="A12" s="182" t="s">
        <v>320</v>
      </c>
      <c r="B12" s="180" t="s">
        <v>321</v>
      </c>
      <c r="C12" s="260"/>
      <c r="D12" s="260"/>
      <c r="E12" s="260"/>
      <c r="F12" s="182">
        <f>IFERROR(__xludf.DUMMYFUNCTION("ROUNDUP(
  (
    SUM(
      INDIRECT(
        ""F""&amp;(ROW()+1)&amp;"":F""&amp;
        IFERROR(
          INDEX(
            FILTER(
              ROW(A:A),
              REGEXMATCH(A:A, ""^[•◆■※⊳]""),
              ROW(A:A) &gt; ROW()
            ),
            1
  "&amp;"        )-1,
          999
        )
      )
    )+
    SUM(
      INDIRECT(
        ""G""&amp;(ROW()+1)&amp;"":G""&amp;
        IFERROR(
          INDEX(
            FILTER(
              ROW(A:A),
              REGEXMATCH(A:A, ""^[•◆■※⊳]""),
              ROW(A:A) "&amp;"&gt; ROW()
            ),
            1
          )-1,
          999
        )
      )
    )
  )/2
)"),30.0)</f>
        <v>30</v>
      </c>
      <c r="H12" s="261" t="s">
        <v>204</v>
      </c>
      <c r="I12" s="262"/>
      <c r="J12" s="263"/>
    </row>
    <row r="13" outlineLevel="1">
      <c r="A13" s="13"/>
      <c r="B13" s="258" t="s">
        <v>319</v>
      </c>
      <c r="C13" s="123" t="s">
        <v>319</v>
      </c>
      <c r="D13" s="123" t="s">
        <v>319</v>
      </c>
      <c r="E13" s="123" t="s">
        <v>319</v>
      </c>
      <c r="F13" s="124">
        <v>10.0</v>
      </c>
      <c r="G13" s="124">
        <v>10.0</v>
      </c>
      <c r="H13" s="13"/>
      <c r="I13" s="259"/>
      <c r="J13" s="13"/>
    </row>
    <row r="14" outlineLevel="1">
      <c r="A14" s="13"/>
      <c r="B14" s="258" t="s">
        <v>319</v>
      </c>
      <c r="C14" s="123" t="s">
        <v>319</v>
      </c>
      <c r="D14" s="123" t="s">
        <v>319</v>
      </c>
      <c r="E14" s="123" t="s">
        <v>319</v>
      </c>
      <c r="F14" s="124">
        <v>10.0</v>
      </c>
      <c r="G14" s="124">
        <v>10.0</v>
      </c>
      <c r="H14" s="13"/>
      <c r="I14" s="259"/>
      <c r="J14" s="13"/>
    </row>
    <row r="15" outlineLevel="1">
      <c r="A15" s="13"/>
      <c r="B15" s="258" t="s">
        <v>319</v>
      </c>
      <c r="C15" s="123" t="s">
        <v>319</v>
      </c>
      <c r="D15" s="123" t="s">
        <v>319</v>
      </c>
      <c r="E15" s="123" t="s">
        <v>319</v>
      </c>
      <c r="F15" s="124">
        <v>10.0</v>
      </c>
      <c r="G15" s="124">
        <v>10.0</v>
      </c>
      <c r="H15" s="13"/>
      <c r="I15" s="259"/>
      <c r="J15" s="13"/>
    </row>
    <row r="16">
      <c r="A16" s="92"/>
      <c r="B16" s="92"/>
      <c r="C16" s="92"/>
      <c r="D16" s="92"/>
      <c r="E16" s="110"/>
      <c r="F16" s="111"/>
      <c r="G16" s="111"/>
      <c r="H16" s="112"/>
      <c r="I16" s="232"/>
      <c r="J16" s="22"/>
    </row>
  </sheetData>
  <mergeCells count="2">
    <mergeCell ref="F4:G4"/>
    <mergeCell ref="F12:G12"/>
  </mergeCells>
  <dataValidations>
    <dataValidation type="list" allowBlank="1" showErrorMessage="1" sqref="H4 H12">
      <formula1>"High,Standard,Low"</formula1>
    </dataValidation>
    <dataValidation type="list" allowBlank="1" showErrorMessage="1" sqref="I5:I7">
      <formula1>"Consulting,Development,Project Management,Solutions Engineering,Strategy"</formula1>
    </dataValidation>
  </dataValidations>
  <drawing r:id="rId1"/>
</worksheet>
</file>