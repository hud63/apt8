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hange Order Strike C4C" sheetId="2" r:id="rId5"/>
    <sheet state="visible" name="Details" sheetId="3" r:id="rId6"/>
    <sheet state="visible" name="Change Order Lead Score + Lifec" sheetId="4" r:id="rId7"/>
    <sheet state="visible" name="Change Order to Data Quality Pr" sheetId="5" r:id="rId8"/>
    <sheet state="hidden" name="Section" sheetId="6" r:id="rId9"/>
  </sheets>
  <definedNames/>
  <calcPr/>
</workbook>
</file>

<file path=xl/sharedStrings.xml><?xml version="1.0" encoding="utf-8"?>
<sst xmlns="http://schemas.openxmlformats.org/spreadsheetml/2006/main" count="424" uniqueCount="203">
  <si>
    <t>NTT Data</t>
  </si>
  <si>
    <t>Service</t>
  </si>
  <si>
    <t>Customer Story</t>
  </si>
  <si>
    <t>Suggested Path</t>
  </si>
  <si>
    <t>Assumptions</t>
  </si>
  <si>
    <t>Estimated
Low Hours</t>
  </si>
  <si>
    <t>Estimated
High Hours</t>
  </si>
  <si>
    <t>Potential 
Variance</t>
  </si>
  <si>
    <t>Function</t>
  </si>
  <si>
    <t>POC</t>
  </si>
  <si>
    <t>•</t>
  </si>
  <si>
    <t>Data Improvements</t>
  </si>
  <si>
    <t>Standard</t>
  </si>
  <si>
    <t>Deduplicate Contacts</t>
  </si>
  <si>
    <t>NTT Data needs contact records deduplicated across the CRM so campaigns aren’t misattributed and customer experience is not degraded by redundant outreach.</t>
  </si>
  <si>
    <t>Evaluate the volume and causes of duplicate records, especially across integrations. Deploy deduplication rules and tools (e.g. via HubSpot, Insycle, or Operations Hub) with support for automation where possible.</t>
  </si>
  <si>
    <t>- Aptitude 8 assumes there are at least 10,000 contact duplicates to be addressed and will resolve all 10,000
- Some duplicates stem from misaligned integrations or import logic, Aptitude 8 will diagnose and make clear recommendations on how to prevent that from happening after the transformation 
- Cross-object deduplication (contacts + companies) may be required.
- Aptitude 8 assumes code will be written to programmatically solve for the current dupes and potentially manage dupes created from the integration until it's fixed
- The cleanup will require NTT Data to review large datasets in order to maintain a high level of accuracy</t>
  </si>
  <si>
    <t>Consulting</t>
  </si>
  <si>
    <t>Property Cleanup</t>
  </si>
  <si>
    <t>NTT Data needs a simplified and organized set of properties so internal teams can use and report on CRM data without confusion or redundancy.</t>
  </si>
  <si>
    <t>Audit existing properties, archive unused ones, consolidate duplicates, and re-architect property groups with updated descriptions and clear usage guidelines.</t>
  </si>
  <si>
    <t>- Up to 300 properties will be reviewed.
- Redundant fields and legacy campaign properties are common.
- Requires input from NTT Data before proceeding</t>
  </si>
  <si>
    <t>Marketing Optimization</t>
  </si>
  <si>
    <t>Marketing Contact Status Fix</t>
  </si>
  <si>
    <t>NTT Data needs the marketing contact status field working properly so that we can control billing, avoid unnecessary charges, and safely send campaigns.</t>
  </si>
  <si>
    <t>Audit current marketing contact logic, evaluate how contacts are set/unset via workflows or integrations, and implement a fix to preserve compliance with HubSpot billing rules.</t>
  </si>
  <si>
    <t>- HubSpot Support might be required to help diagnose and solve the issue
- Aptitude 8 will provide a summary of the issue and recommend a path forward
- Aptitude 8 will implement the fix
- Up to 10 hours</t>
  </si>
  <si>
    <t>Marketing Asset Naming Convention Standardization</t>
  </si>
  <si>
    <t>NTT Data needs consistent naming across HubSpot assets so I can quickly locate, reuse, and report on marketing materials.</t>
  </si>
  <si>
    <t>Define naming conventions for emails, forms, lists, landing pages, workflows, and campaigns. Train users and apply retroactive naming updates to existing assets.</t>
  </si>
  <si>
    <t>- No naming standards currently in place.
- Standardization improves performance tracking and team onboarding.
- Some manual effort will be required for legacy assets.</t>
  </si>
  <si>
    <t>Implement Marketing Attribution Program</t>
  </si>
  <si>
    <t>NTT Data needs a functioning attribution model so we can understand which campaigns and touchpoints contribute to pipeline creation.</t>
  </si>
  <si>
    <t>Gather requirements from Marketing and Sales, define a multi-touch attribution approach, implement HubSpot’s attribution features, and validate with test cohorts.</t>
  </si>
  <si>
    <t>- Aptitude 8 will gather requirements, recommend appropriate path forward, and implement an MVP attribution program.
- May require standardizing UTM usage.
- Attribution reporting configuration will follow model design.
- Accurate cross-object visibility is required (e.g. contacts → deals).
- Up to 25 hours</t>
  </si>
  <si>
    <t>Workflow Cleanup</t>
  </si>
  <si>
    <t>NTT Data needs broken and redundant workflows fixed or archived so automations don’t interfere with performance or create confusion.</t>
  </si>
  <si>
    <t>Audit all workflows for errors, redundancy, or inactivity. Clean up or rewrite up to 40 workflows with high business impact.</t>
  </si>
  <si>
    <t>- 40 workflows targeted for deep review and cleanup.
 - Workflow issues may impact email sends, lead scoring, or MQL routing.
 - Aligns with broader automation health initiatives in audit.</t>
  </si>
  <si>
    <t>Create ROI Reports &amp; Dashboards</t>
  </si>
  <si>
    <t>NTT Data needs ROI reporting to evaluate how events and content drive pipeline so we can optimize marketing investment.</t>
  </si>
  <si>
    <t>Deliver 5 reports and 2 dashboards that attribute influenced revenue to key assets across webinars, field events, and content.</t>
  </si>
  <si>
    <t>- Aptitude 8 will create up to 5 custom reports, up to 5 customized out-of-the-box reports and 2 dashboards
- Up to 10 hours</t>
  </si>
  <si>
    <t>Sales Process Optimization</t>
  </si>
  <si>
    <t>Reflect Sales Process in HubSpot</t>
  </si>
  <si>
    <t>NTT Data needs the post-SQL sales process represented accurately in HubSpot so we can track pipeline stages and align with downstream systems.</t>
  </si>
  <si>
    <t>Update deal stages and pipelines to reflect current GTM motions. Create custom properties to track progress and ensure visibility into C4C activity.</t>
  </si>
  <si>
    <t>- Integration with C4C may require iframe of an external dashboard in HubSpot.
- Pipeline and property changes should align with forecasting structure.
- Timing may depend on completion of integration fixes.</t>
  </si>
  <si>
    <t>Create New SDR Reports &amp; Dashboards</t>
  </si>
  <si>
    <t>NTT Data needs reporting aligned to the updated data model so I can evaluate SDR performance and track key funnel metrics.</t>
  </si>
  <si>
    <t>Build 5 custom reports and 2 dashboards for SDR activity, conversion, and follow-up speed based on updated object relationships.</t>
  </si>
  <si>
    <t>HubSpot AI Agents &amp; Enrichments</t>
  </si>
  <si>
    <t>Create Prospecting Agent</t>
  </si>
  <si>
    <t>As a marketing leader, I need to automate the qualification of leads so that my team can focus their time on the highest-potential opportunities and reduce time spent researching unqualified prospects.</t>
  </si>
  <si>
    <t>- Conduct a discovery session to understand current qualification criteria (e.g., industry, company size, buyer role) and sales team workflows
- Define and configure Selling Profiles in HubSpot with your key qualification signals (website, ICP traits, pain points)
- Activate the Prospecting Agent in semi-autonomous mode to review AI-generated qualification summaries before contact is enriched or enrolled
- Integrate the Prospecting Agent into the SDR or BDR workflow via list enrollment or CRM automation</t>
  </si>
  <si>
    <t>- Sales Hub Pro or Enterprise license with Prospecting Agent (Beta) enabled
- Inbound or outbound contacts are available in CRM with minimal enrichment
- Qualification criteria are clearly defined and documented by sales leadership
- Website URLs are available or discoverable by HubSpot for research
- Up to 3 selling profiles configured during implementation phase
- Sales team has capacity to participate in pilot and provide feedback</t>
  </si>
  <si>
    <t>Implement Content Agent</t>
  </si>
  <si>
    <t>As a marketing leader, I need to scale content production without sacrificing brand quality, so that my team can meet growing demands across web, email, and social channels while staying aligned with our voice and customer segments.</t>
  </si>
  <si>
    <t>- Conduct a discovery session to understand the current content operations, workflows, and asset types in use (blog, landing pages, case studies, etc.)
- Configure the Content Hub’s brand voice, tone, and audience parameters
- Upload and tag a set of reference materials (PDFs, blogs, case studies, etc.) for training</t>
  </si>
  <si>
    <t>- Client has Content Hub Pro or Enterprise license with access to AI Agent functionality
- Reference content and brand guidelines will be made available early in the engagement
- CRM data is reasonably structured (e.g., contacts with lifecycle stages, personas, etc.)</t>
  </si>
  <si>
    <t>Implement Breeze Enrichment</t>
  </si>
  <si>
    <t>As a marketing leader, I want to enrich contact and company records, identify high-intent buyers, and shorten forms so that my teams can personalize outreach, improve conversion rates, and focus on leads that matter most.</t>
  </si>
  <si>
    <t>- Conduct a discovery session to understand current CRM data gaps, form strategy, and how sales teams identify buying signals
- Review existing form strategy and identify high-traffic forms to apply form shortening and pre-fill logic
- Configure Breeze Intelligence settings for:
  • Automatic enrichment for new records
  • On-demand enrichment for existing lists and views
  • Buyer intent signals with thresholds by visit count, page views, or industries
- Activate the Buyer Intent CRM card for relevant user roles (BDRs, AEs, AMs) and define how to take action on signals (e.g. enroll in sequences, alert reps)
- Pilot enrichment workflows and validate property population accuracy</t>
  </si>
  <si>
    <t>- HubSpot CRM includes contact/company records with emails and/or domains available for enrichment
- Buyer intent is based on HubSpot-tracked website traffic (tracking code must be installed and active)
- Target markets can be clearly defined (by industry, region, company size, etc.)
- Form shortening is only applied to forms using HubSpot native forms
- Users accessing intent data via CRM card have appropriate permissions
- Up to 3 enrichment configurations and 2 form shortening use cases are included in this scope</t>
  </si>
  <si>
    <t>Systems Integration</t>
  </si>
  <si>
    <t>High</t>
  </si>
  <si>
    <t>Sendoso Gifting Analytics</t>
  </si>
  <si>
    <t>NTT Data needs to report on the impact of gifting initiatives via the Sendoso platform</t>
  </si>
  <si>
    <t>Design a solution for acquiring the Sendoso information and bringing it into HubSpot to enable campaign tracking for Gifting Initiatives</t>
  </si>
  <si>
    <r>
      <rPr>
        <rFont val="Rubik"/>
      </rPr>
      <t xml:space="preserve">- This is a one direction integration: Sendoso to HubSpot
- Sendoso Sends will map to Custom Events in HubSpot to be used in lists, automation, and reporting in HubSpot
- Aptitude 8 assumes this endpoint gives NTT Data the send information they need in HubSpot: </t>
    </r>
    <r>
      <rPr>
        <rFont val="Rubik"/>
        <color rgb="FF1155CC"/>
        <u/>
      </rPr>
      <t>https://developer.sendoso.com/rest-api/reference/sends/get-sends</t>
    </r>
    <r>
      <rPr>
        <rFont val="Rubik"/>
      </rPr>
      <t xml:space="preserve">
- Pipedream or an equivalent middleware must be purchased in order to manage the Sendoso --&gt; HubSpot sync</t>
    </r>
  </si>
  <si>
    <t>Solutions Engineering</t>
  </si>
  <si>
    <t>ZoomInfo Enrichment</t>
  </si>
  <si>
    <t>NTT Data needs ZoomInfo's connection reconfigured to properly enrich contacts and companies within HubSpot</t>
  </si>
  <si>
    <t>Review current integration, design a new set of integration and enrichment rules based on requirements, and re-configure the current ZoomInfo connector.</t>
  </si>
  <si>
    <t>- Aptitude 8 will create an MVP set of enrichment rules for ZoomInfo based on the specified needs. 
- Aptitude 8 will reconfigure the ZoomInfo connector only with no custom connectivity build</t>
  </si>
  <si>
    <t>C4C Integration Solution Engineering</t>
  </si>
  <si>
    <t>NTT Data needs a redesigned C4C integration so that HubSpot has visibility into post-SQL performance.</t>
  </si>
  <si>
    <t>Collaborate with a Solution Engineer to design an integration that syncs C4C outcomes, stage movement, and key fields into HubSpot.</t>
  </si>
  <si>
    <t>- Aptitude 8 will need a technical audit of the integration to determine what changes need to be made based off the marketing team's requirements
- Requires participation from HQ IT or system owners.
- Design contingent on HQ integration approval.
- May require custom middleware or field mapping.
- Aligns with HubSpot pipeline structure.</t>
  </si>
  <si>
    <r>
      <rPr>
        <rFont val="Rubik"/>
        <b/>
        <color theme="1"/>
      </rPr>
      <t xml:space="preserve">C4C Integration Implementation </t>
    </r>
    <r>
      <rPr>
        <rFont val="Rubik"/>
        <b/>
        <color theme="1"/>
      </rPr>
      <t>Support</t>
    </r>
  </si>
  <si>
    <t>NTT Data needs advisory support during C4C integration buildout so I can ensure the implementation matches design.</t>
  </si>
  <si>
    <t>Provide implementation oversight, QA, and strategy validation for C4C integration deployment.</t>
  </si>
  <si>
    <t>- NTT DATA is responsible for build.
- Aptitude 8 provides advisory support only</t>
  </si>
  <si>
    <t>Development</t>
  </si>
  <si>
    <r>
      <rPr>
        <rFont val="Rubik"/>
        <b/>
        <color theme="1"/>
        <sz val="12.0"/>
      </rPr>
      <t>Training &amp; Documentation:</t>
    </r>
    <r>
      <rPr>
        <rFont val="Rubik"/>
        <b val="0"/>
        <color theme="1"/>
        <sz val="12.0"/>
      </rPr>
      <t xml:space="preserve"> Enable team success</t>
    </r>
  </si>
  <si>
    <t>Low</t>
  </si>
  <si>
    <t>Provide End-User Training</t>
  </si>
  <si>
    <t>NTT Data needs their support team to understand how to effectively use HubSpot Service Hub features to provide excellent customer service.</t>
  </si>
  <si>
    <t>Aptitude 8 will provide role-specific training sessions covering core functionality, service workflows, and HubSpot best practices.</t>
  </si>
  <si>
    <t>- Up to 3 virtual training sessions
- Role-based curriculum
- Session recordings provided
- Basic training materials</t>
  </si>
  <si>
    <t>Create Training Documentation</t>
  </si>
  <si>
    <t>NTT Data needs reference materials to support ongoing training and new hire onboarding for their service teams.</t>
  </si>
  <si>
    <t>Aptitude 8 will create comprehensive documentation including process guides, system instructions, and troubleshooting resources.</t>
  </si>
  <si>
    <t>- Custom documentation for implemented features
- Process workflows with visuals
- System administration guidelines
- Up to 3 role-specific guides</t>
  </si>
  <si>
    <t>Deliver Admin Training</t>
  </si>
  <si>
    <t>[Company] needs internal administrators to understand how to maintain and evolve their Service Hub implementation.</t>
  </si>
  <si>
    <t>Aptitude 8 will provide specialized training for HubSpot administrators on configuration, maintenance, and expansion of service capabilities.</t>
  </si>
  <si>
    <t>- Up to 2 admin training sessions
- System management focus
- Customization capabilities
- Troubleshooting procedures</t>
  </si>
  <si>
    <t>◆</t>
  </si>
  <si>
    <r>
      <rPr>
        <rFont val="Rubik"/>
        <b/>
        <color theme="1"/>
        <sz val="12.0"/>
      </rPr>
      <t>Project Management + Strategy:</t>
    </r>
    <r>
      <rPr>
        <rFont val="Rubik"/>
        <b val="0"/>
        <color theme="1"/>
        <sz val="12.0"/>
      </rPr>
      <t xml:space="preserve"> Support this phase with transparency and regular progress reports</t>
    </r>
  </si>
  <si>
    <t>Project Management</t>
  </si>
  <si>
    <t>Project Kickoff, Onboarding, and Closeout</t>
  </si>
  <si>
    <t>NTT Data needs a partner to support managing the HubSpot and consulting project, ensuring deadlines are clear and met.</t>
  </si>
  <si>
    <t xml:space="preserve">To support management and communication, a project manager and delivery lead will own all A8 tasks and clearly communicate needs to NTT Data. </t>
  </si>
  <si>
    <t>- Visibility to budget spend will be provided during the duration of the project
- A8 will provide check-in agenda items and follow-ups
- NTT Data to communicate to A8's shared inbox for easier collaboration and timely responses</t>
  </si>
  <si>
    <t xml:space="preserve">Recurring Project Check-ins </t>
  </si>
  <si>
    <t xml:space="preserve">Project Administration </t>
  </si>
  <si>
    <t>■</t>
  </si>
  <si>
    <t>NEXT Post-Launch Support</t>
  </si>
  <si>
    <t>Hours dedicated to post go-live support. These hours can be used for anything HubSpot related (reporting, training, iterations, additional asks, etc.)</t>
  </si>
  <si>
    <t>Hours/Month:</t>
  </si>
  <si>
    <t># of Months:</t>
  </si>
  <si>
    <t>※</t>
  </si>
  <si>
    <t>Total Estimated 
Engagement Hours:</t>
  </si>
  <si>
    <t>Low Hour Estimate:</t>
  </si>
  <si>
    <t>High Hour Estimate:</t>
  </si>
  <si>
    <t>⚑</t>
  </si>
  <si>
    <t>Total Estimated 
Investment:</t>
  </si>
  <si>
    <t>©</t>
  </si>
  <si>
    <t>2025 Aptitude 8</t>
  </si>
  <si>
    <r>
      <rPr>
        <rFont val="Rubik"/>
      </rPr>
      <t xml:space="preserve">- This is a one direction integration: Sendoso to HubSpot
- Sendoso Sends will map to Custom Events in HubSpot to be used in lists, automation, and reporting in HubSpot
- Aptitude 8 assumes this endpoint gives NTT Data the send information they need in HubSpot: </t>
    </r>
    <r>
      <rPr>
        <rFont val="Rubik"/>
        <color rgb="FF1155CC"/>
        <u/>
      </rPr>
      <t>https://developer.sendoso.com/rest-api/reference/sends/get-sends</t>
    </r>
    <r>
      <rPr>
        <rFont val="Rubik"/>
      </rPr>
      <t xml:space="preserve">
- Pipedream or an equivalent middleware must be purchased in order to manage the Sendoso --&gt; HubSpot sync</t>
    </r>
  </si>
  <si>
    <t>C4C Integration Implementation Support</t>
  </si>
  <si>
    <r>
      <rPr>
        <rFont val="Rubik"/>
        <b/>
        <color theme="1"/>
        <sz val="12.0"/>
      </rPr>
      <t>Training &amp; Documentation:</t>
    </r>
    <r>
      <rPr>
        <rFont val="Rubik"/>
        <b val="0"/>
        <color theme="1"/>
        <sz val="12.0"/>
      </rPr>
      <t xml:space="preserve"> Enable team success</t>
    </r>
  </si>
  <si>
    <r>
      <rPr>
        <rFont val="Rubik"/>
        <b/>
        <color theme="1"/>
        <sz val="12.0"/>
      </rPr>
      <t>Project Management + Strategy:</t>
    </r>
    <r>
      <rPr>
        <rFont val="Rubik"/>
        <b val="0"/>
        <color theme="1"/>
        <sz val="12.0"/>
      </rPr>
      <t xml:space="preserve"> Support this phase with transparency and regular progress reports</t>
    </r>
  </si>
  <si>
    <t>Proposal + Project Details</t>
  </si>
  <si>
    <t xml:space="preserve">[Company] aims to enhance their CRM functionality by integrating HubSpot with key business systems like QuickBooks and Power BI, streamlining financial management and analytical reporting. They prioritize automation of sales pipelines and customization of quotes to improve operational efficiency and customer engagement. A strategic partnership is sought for long-term optimization and scalability of their CRM ecosystem.  [Company] end goal is a cohesive, data-driven environment that supports growth and adapts to evolving business needs.	</t>
  </si>
  <si>
    <t>Deal Inputs</t>
  </si>
  <si>
    <t>Deal + Asset Links</t>
  </si>
  <si>
    <t>Company Name</t>
  </si>
  <si>
    <t>Google Folder</t>
  </si>
  <si>
    <t>Deal Record ID</t>
  </si>
  <si>
    <t>Deal Link</t>
  </si>
  <si>
    <t>Last Sync to HubSpot</t>
  </si>
  <si>
    <t>Solutions Architect</t>
  </si>
  <si>
    <t>Request Scope Review</t>
  </si>
  <si>
    <t>scoping_status</t>
  </si>
  <si>
    <t>Service Library Message</t>
  </si>
  <si>
    <t>Scope Reviewed</t>
  </si>
  <si>
    <t>Yes</t>
  </si>
  <si>
    <t>scoped_reviewed</t>
  </si>
  <si>
    <t>Engagement Inputs</t>
  </si>
  <si>
    <t>NOW Project</t>
  </si>
  <si>
    <t>Hourly Project Rate</t>
  </si>
  <si>
    <t>project_hourly_rate</t>
  </si>
  <si>
    <t>Project Management Factor</t>
  </si>
  <si>
    <t>SA Expected Start Date</t>
  </si>
  <si>
    <t>Total Project Months</t>
  </si>
  <si>
    <t>project_duration</t>
  </si>
  <si>
    <t>NEXT Retainer</t>
  </si>
  <si>
    <t>Hourly NEXT Retainer Rate</t>
  </si>
  <si>
    <t>retainer_hourly_rate</t>
  </si>
  <si>
    <t>NEXT Hours Per Month</t>
  </si>
  <si>
    <t>retainer_hours_per_month_sold</t>
  </si>
  <si>
    <t>NEXT Retainer Months</t>
  </si>
  <si>
    <t>retainer_months_sold</t>
  </si>
  <si>
    <t>Calculated Project Details</t>
  </si>
  <si>
    <t>Calculated Ranges</t>
  </si>
  <si>
    <t>Low Hours</t>
  </si>
  <si>
    <t>High Hours</t>
  </si>
  <si>
    <t>Deal Amount</t>
  </si>
  <si>
    <t>amount</t>
  </si>
  <si>
    <t>Service Estimates:</t>
  </si>
  <si>
    <t>Total Engagement Hours Sold</t>
  </si>
  <si>
    <t>sold_hours</t>
  </si>
  <si>
    <t>Project Management:</t>
  </si>
  <si>
    <t>Total Project Hours Sold</t>
  </si>
  <si>
    <t>project_hours_sold</t>
  </si>
  <si>
    <t>Post-Project Support:</t>
  </si>
  <si>
    <t>Total Retainer Hours Sold</t>
  </si>
  <si>
    <t>Hour Estimates:</t>
  </si>
  <si>
    <t>Expected End Date</t>
  </si>
  <si>
    <t>Investment Ranges:</t>
  </si>
  <si>
    <t>Expected Project Hours/Month</t>
  </si>
  <si>
    <t>Linear Expected Project Hours/Week</t>
  </si>
  <si>
    <t>Total Estimated Engagement Hours:</t>
  </si>
  <si>
    <t>Peak Project Expected Hours</t>
  </si>
  <si>
    <t>Total Estimated Investment:</t>
  </si>
  <si>
    <t>Low Project Expected Hours</t>
  </si>
  <si>
    <t>Dev Work Percentage</t>
  </si>
  <si>
    <t>dev_work_pct</t>
  </si>
  <si>
    <t>SE Work Percentage</t>
  </si>
  <si>
    <t>se_work_pct</t>
  </si>
  <si>
    <t>Calculated Function Summary</t>
  </si>
  <si>
    <t>SOW Summarized Line Items</t>
  </si>
  <si>
    <t>Percent of</t>
  </si>
  <si>
    <t>Sum of Function-Based Hours</t>
  </si>
  <si>
    <t>Lifecycle Management</t>
  </si>
  <si>
    <t xml:space="preserve">NTT needs a lifecycle framework that accommodates movement through the Lead Pipeline and references Deals to allow for "Customer" updates. </t>
  </si>
  <si>
    <t xml:space="preserve">A8 to configure a lifecycle stages to align with NTT's marketing and sales processes and necessary integrations, as well as to align with the lead scoring model described. </t>
  </si>
  <si>
    <t>- Single lifecycle per person and account objects
- Lifecycle automation will be integrated with lead scoring models
- Both behavioral and demographic data will influence lifecycle progression
- Custom lead scoring will support this strategy and will be implemented within its own service line
- Custom properties to track lifecycle stages are not included</t>
  </si>
  <si>
    <t>Lead Scoring &amp; Automations</t>
  </si>
  <si>
    <t>As a sales and marketing team, we need to utilize a lead score property to identify high-potential leads, enabling the sales team to prioritize outreach and improve conversion rates.</t>
  </si>
  <si>
    <t xml:space="preserve">Configure a custom lead score based on key engagement metrics, such as email interactions, form submissions, and website visits. Create automated workflows to update the lead score in real time and notify the sales team when leads reach a defined threshold. </t>
  </si>
  <si>
    <r>
      <rPr>
        <rFont val="Rubik"/>
        <color theme="1"/>
      </rPr>
      <t xml:space="preserve">- Aptitude 8 will create up to </t>
    </r>
    <r>
      <rPr>
        <rFont val="Rubik"/>
        <b/>
        <color theme="1"/>
      </rPr>
      <t xml:space="preserve">5 scores using the native functionality. </t>
    </r>
    <r>
      <rPr>
        <rFont val="Rubik"/>
        <color theme="1"/>
      </rPr>
      <t xml:space="preserve">
- A8 to support with ad hoc training on how to create and update required lists and automations
- Client will provide initial criteria for lead scoring and access to necessary data sources (e.g. forms are already implemented and referenceable.) 
- Any future adjustments to the lead scoring model beyond the initial setup will require additional time or a change request.
- HubSpot has a limit of 50 custom lead scores</t>
    </r>
  </si>
  <si>
    <t>Deduplication of Companies via CCA</t>
  </si>
  <si>
    <t>NTT Data needs company records deduplicated across the CRM in perpetuity.</t>
  </si>
  <si>
    <t>Deploy deduplication rules and tools (e.g. via HubSpot, Insycle, or Operations Hub) with support for automation where possible.</t>
  </si>
  <si>
    <t>- Aptitude 8 assumes there are at least 5,000 company duplicates to be addressed and will resolve all 5,000
- Duplicates currently stem from poor import logic. Aptitude 8 will provide training to help ensure that does not occur again.
- Aptitude 8 assumes code will be written to programmatically solve for the current dupes and manage imported dupes if possible in the future. 
- The cleanup may require NTT Data to review large datasets in order to maintain a high level of accuracy.
- Assumes we cannot merge any accounts with C4C Account IDs into any accounts without them.</t>
  </si>
  <si>
    <r>
      <rPr>
        <rFont val="Rubik"/>
        <b/>
        <color rgb="FFFFFFFF"/>
        <sz val="24.0"/>
      </rPr>
      <t xml:space="preserve">New Section Template
</t>
    </r>
    <r>
      <rPr>
        <rFont val="Rubik"/>
        <color rgb="FFFFFFFF"/>
      </rPr>
      <t>Note: Please do not edit rows 4 to 8, or change any volume of columns or it will break the script that pulls this content into the overview doc.</t>
    </r>
  </si>
  <si>
    <r>
      <rPr>
        <rFont val="Rubik"/>
        <b/>
        <color theme="1"/>
        <sz val="12.0"/>
      </rPr>
      <t xml:space="preserve">Generic Section: </t>
    </r>
    <r>
      <rPr>
        <rFont val="Rubik"/>
        <b val="0"/>
        <color theme="1"/>
        <sz val="12.0"/>
      </rPr>
      <t>Summary about the delivery item</t>
    </r>
  </si>
  <si>
    <t>Lorem Ipsum</t>
  </si>
  <si>
    <t xml:space="preserve">⊳ </t>
  </si>
  <si>
    <r>
      <rPr>
        <rFont val="Rubik"/>
        <b/>
        <color theme="1"/>
        <sz val="12.0"/>
      </rPr>
      <t xml:space="preserve">Generic: </t>
    </r>
    <r>
      <rPr>
        <rFont val="Rubik"/>
        <b val="0"/>
        <color theme="1"/>
        <sz val="12.0"/>
      </rPr>
      <t>Summary about the delivery item</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</si>
</sst>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M/d/yyyy H:mm:ss"/>
    <numFmt numFmtId="166" formatCode="&quot;$&quot;#,##0"/>
    <numFmt numFmtId="167" formatCode="m/d/yyyy"/>
  </numFmts>
  <fonts count="22">
    <font>
      <sz val="10.0"/>
      <color rgb="FF000000"/>
      <name val="Arial"/>
      <scheme val="minor"/>
    </font>
    <font>
      <color theme="1"/>
      <name val="Rubik"/>
    </font>
    <font>
      <b/>
      <sz val="17.0"/>
      <color rgb="FFFFFFFF"/>
      <name val="Rubik"/>
    </font>
    <font>
      <b/>
      <sz val="11.0"/>
      <color rgb="FFFFFFFF"/>
      <name val="Rubik"/>
    </font>
    <font>
      <sz val="12.0"/>
      <color theme="1"/>
      <name val="Rubik"/>
    </font>
    <font>
      <b/>
      <sz val="12.0"/>
      <color theme="1"/>
      <name val="Rubik"/>
    </font>
    <font>
      <b/>
      <sz val="10.0"/>
      <color theme="1"/>
      <name val="Rubik"/>
    </font>
    <font>
      <b/>
      <color theme="1"/>
      <name val="Rubik"/>
    </font>
    <font>
      <u/>
      <color rgb="FF0000FF"/>
      <name val="Rubik"/>
    </font>
    <font>
      <color theme="1"/>
      <name val="Arial"/>
    </font>
    <font>
      <color theme="1"/>
      <name val="Arial"/>
      <scheme val="minor"/>
    </font>
    <font>
      <b/>
      <sz val="14.0"/>
      <color theme="1"/>
      <name val="Rubik"/>
    </font>
    <font/>
    <font>
      <b/>
      <sz val="9.0"/>
      <color theme="1"/>
      <name val="Rubik"/>
    </font>
    <font>
      <color rgb="FFFFFFFF"/>
      <name val="Rubik"/>
    </font>
    <font>
      <b/>
      <sz val="14.0"/>
      <color rgb="FFFFFFFF"/>
      <name val="Rubik"/>
    </font>
    <font>
      <strike/>
      <color theme="1"/>
      <name val="Rubik"/>
    </font>
    <font>
      <b/>
      <strike/>
      <color theme="1"/>
      <name val="Rubik"/>
    </font>
    <font>
      <color rgb="FFB7B7B7"/>
      <name val="Rubik"/>
    </font>
    <font>
      <sz val="10.0"/>
      <color theme="1"/>
      <name val="Rubik"/>
    </font>
    <font>
      <sz val="8.0"/>
      <color theme="1"/>
      <name val="Rubik"/>
    </font>
    <font>
      <b/>
      <color rgb="FFB7B7B7"/>
      <name val="Rubik"/>
    </font>
  </fonts>
  <fills count="10">
    <fill>
      <patternFill patternType="none"/>
    </fill>
    <fill>
      <patternFill patternType="lightGray"/>
    </fill>
    <fill>
      <patternFill patternType="solid">
        <fgColor rgb="FF000000"/>
        <bgColor rgb="FF000000"/>
      </patternFill>
    </fill>
    <fill>
      <patternFill patternType="solid">
        <fgColor rgb="FFFBBC04"/>
        <bgColor rgb="FFFBBC04"/>
      </patternFill>
    </fill>
    <fill>
      <patternFill patternType="solid">
        <fgColor rgb="FFFFFFFF"/>
        <bgColor rgb="FFFFFFFF"/>
      </patternFill>
    </fill>
    <fill>
      <patternFill patternType="solid">
        <fgColor rgb="FFFFF2CC"/>
        <bgColor rgb="FFFFF2CC"/>
      </patternFill>
    </fill>
    <fill>
      <patternFill patternType="solid">
        <fgColor rgb="FFF4CCCC"/>
        <bgColor rgb="FFF4CCCC"/>
      </patternFill>
    </fill>
    <fill>
      <patternFill patternType="solid">
        <fgColor rgb="FFEFEFEF"/>
        <bgColor rgb="FFEFEFEF"/>
      </patternFill>
    </fill>
    <fill>
      <patternFill patternType="solid">
        <fgColor rgb="FFCCCCCC"/>
        <bgColor rgb="FFCCCCCC"/>
      </patternFill>
    </fill>
    <fill>
      <patternFill patternType="solid">
        <fgColor rgb="FFF3F3F3"/>
        <bgColor rgb="FFF3F3F3"/>
      </patternFill>
    </fill>
  </fills>
  <borders count="20">
    <border/>
    <border>
      <top style="thin">
        <color rgb="FFFFE599"/>
      </top>
    </border>
    <border>
      <left style="medium">
        <color rgb="FFFBBC04"/>
      </left>
      <top style="medium">
        <color rgb="FFFBBC04"/>
      </top>
    </border>
    <border>
      <top style="medium">
        <color rgb="FFFBBC04"/>
      </top>
    </border>
    <border>
      <right style="medium">
        <color rgb="FFFBBC04"/>
      </right>
      <top style="medium">
        <color rgb="FFFBBC04"/>
      </top>
    </border>
    <border>
      <left style="medium">
        <color rgb="FFFBBC04"/>
      </left>
      <bottom style="thin">
        <color rgb="FFFFFFFF"/>
      </bottom>
    </border>
    <border>
      <bottom style="thin">
        <color rgb="FFFFFFFF"/>
      </bottom>
    </border>
    <border>
      <right style="medium">
        <color rgb="FFFBBC04"/>
      </right>
    </border>
    <border>
      <left style="medium">
        <color rgb="FFFBBC04"/>
      </left>
      <bottom style="medium">
        <color rgb="FFFBBC04"/>
      </bottom>
    </border>
    <border>
      <bottom style="medium">
        <color rgb="FFFBBC04"/>
      </bottom>
    </border>
    <border>
      <right style="medium">
        <color rgb="FFFBBC04"/>
      </right>
      <bottom style="medium">
        <color rgb="FFFBBC04"/>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top style="medium">
        <color rgb="FF000000"/>
      </top>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0" fillId="2" fontId="1" numFmtId="0" xfId="0" applyAlignment="1" applyFill="1" applyFont="1">
      <alignment vertical="center"/>
    </xf>
    <xf borderId="0" fillId="2" fontId="2" numFmtId="0" xfId="0" applyAlignment="1" applyFont="1">
      <alignment readingOrder="0" vertical="center"/>
    </xf>
    <xf borderId="0" fillId="2" fontId="1" numFmtId="0" xfId="0" applyAlignment="1" applyFont="1">
      <alignment readingOrder="0" vertical="center"/>
    </xf>
    <xf borderId="1" fillId="2" fontId="1" numFmtId="0" xfId="0" applyAlignment="1" applyBorder="1" applyFont="1">
      <alignment vertical="center"/>
    </xf>
    <xf borderId="1" fillId="2" fontId="3" numFmtId="0" xfId="0" applyAlignment="1" applyBorder="1" applyFont="1">
      <alignment horizontal="center" readingOrder="0" shrinkToFit="0" vertical="center" wrapText="1"/>
    </xf>
    <xf borderId="1" fillId="2" fontId="3" numFmtId="0" xfId="0" applyAlignment="1" applyBorder="1" applyFont="1">
      <alignment horizontal="center" readingOrder="0" vertical="center"/>
    </xf>
    <xf borderId="0" fillId="0" fontId="1" numFmtId="0" xfId="0" applyAlignment="1" applyFont="1">
      <alignment vertical="center"/>
    </xf>
    <xf borderId="0" fillId="3" fontId="4" numFmtId="0" xfId="0" applyAlignment="1" applyFill="1" applyFont="1">
      <alignment horizontal="center" readingOrder="0" shrinkToFit="0" vertical="center" wrapText="0"/>
    </xf>
    <xf borderId="0" fillId="3" fontId="5" numFmtId="0" xfId="0" applyAlignment="1" applyFont="1">
      <alignment readingOrder="0" shrinkToFit="0" vertical="center" wrapText="0"/>
    </xf>
    <xf borderId="0" fillId="3" fontId="4" numFmtId="0" xfId="0" applyAlignment="1" applyFont="1">
      <alignment shrinkToFit="0" vertical="center" wrapText="0"/>
    </xf>
    <xf borderId="0" fillId="3" fontId="5" numFmtId="0" xfId="0" applyAlignment="1" applyFont="1">
      <alignment horizontal="center" vertical="center"/>
    </xf>
    <xf borderId="0" fillId="3" fontId="6" numFmtId="0" xfId="0" applyAlignment="1" applyFont="1">
      <alignment horizontal="center" readingOrder="0" shrinkToFit="0" vertical="center" wrapText="0"/>
    </xf>
    <xf borderId="0" fillId="3" fontId="5" numFmtId="0" xfId="0" applyAlignment="1" applyFont="1">
      <alignment horizontal="center" shrinkToFit="0" vertical="center" wrapText="1"/>
    </xf>
    <xf borderId="0" fillId="4" fontId="7" numFmtId="0" xfId="0" applyAlignment="1" applyFill="1" applyFont="1">
      <alignment shrinkToFit="0" vertical="center" wrapText="1"/>
    </xf>
    <xf borderId="0" fillId="4" fontId="1" numFmtId="0" xfId="0" applyAlignment="1" applyFont="1">
      <alignment shrinkToFit="0" vertical="center" wrapText="1"/>
    </xf>
    <xf borderId="0" fillId="0" fontId="1" numFmtId="0" xfId="0" applyAlignment="1" applyFont="1">
      <alignment horizontal="center" shrinkToFit="0" vertical="center" wrapText="1"/>
    </xf>
    <xf borderId="0" fillId="0" fontId="1" numFmtId="0" xfId="0" applyAlignment="1" applyFont="1">
      <alignment vertical="center"/>
    </xf>
    <xf borderId="0" fillId="0" fontId="1" numFmtId="0" xfId="0" applyAlignment="1" applyFont="1">
      <alignment horizontal="center" readingOrder="0" shrinkToFit="0" vertical="center" wrapText="1"/>
    </xf>
    <xf borderId="0" fillId="0" fontId="1" numFmtId="3" xfId="0" applyAlignment="1" applyFont="1" applyNumberFormat="1">
      <alignment vertical="center"/>
    </xf>
    <xf borderId="0" fillId="3" fontId="4" numFmtId="3" xfId="0" applyAlignment="1" applyFont="1" applyNumberFormat="1">
      <alignment shrinkToFit="0" vertical="center" wrapText="0"/>
    </xf>
    <xf borderId="0" fillId="3" fontId="4" numFmtId="0" xfId="0" applyAlignment="1" applyFont="1">
      <alignment shrinkToFit="0" vertical="center" wrapText="0"/>
    </xf>
    <xf borderId="0" fillId="3" fontId="5" numFmtId="0" xfId="0" applyAlignment="1" applyFont="1">
      <alignment horizontal="center" readingOrder="0" shrinkToFit="0" vertical="center" wrapText="1"/>
    </xf>
    <xf borderId="0" fillId="4" fontId="1" numFmtId="0" xfId="0" applyAlignment="1" applyFont="1">
      <alignment vertical="center"/>
    </xf>
    <xf borderId="0" fillId="4" fontId="1" numFmtId="3" xfId="0" applyAlignment="1" applyFont="1" applyNumberFormat="1">
      <alignment shrinkToFit="0" vertical="center" wrapText="1"/>
    </xf>
    <xf borderId="0" fillId="4" fontId="1" numFmtId="3" xfId="0" applyAlignment="1" applyFont="1" applyNumberFormat="1">
      <alignment horizontal="center" shrinkToFit="0" vertical="center" wrapText="1"/>
    </xf>
    <xf borderId="0" fillId="4" fontId="1" numFmtId="0" xfId="0" applyAlignment="1" applyFont="1">
      <alignment horizontal="center" shrinkToFit="0" vertical="center" wrapText="1"/>
    </xf>
    <xf borderId="0" fillId="0" fontId="1" numFmtId="3" xfId="0" applyAlignment="1" applyFont="1" applyNumberFormat="1">
      <alignment horizontal="center" shrinkToFit="0" vertical="center" wrapText="1"/>
    </xf>
    <xf borderId="0" fillId="0" fontId="1" numFmtId="0" xfId="0" applyAlignment="1" applyFont="1">
      <alignment horizontal="center" shrinkToFit="0" vertical="center" wrapText="1"/>
    </xf>
    <xf borderId="0" fillId="4" fontId="1" numFmtId="0" xfId="0" applyAlignment="1" applyFont="1">
      <alignment vertical="center"/>
    </xf>
    <xf borderId="0" fillId="4" fontId="1" numFmtId="0" xfId="0" applyAlignment="1" applyFont="1">
      <alignment vertical="center"/>
    </xf>
    <xf borderId="0" fillId="4" fontId="1" numFmtId="3" xfId="0" applyAlignment="1" applyFont="1" applyNumberFormat="1">
      <alignment readingOrder="0" shrinkToFit="0" vertical="center" wrapText="1"/>
    </xf>
    <xf borderId="0" fillId="4" fontId="1" numFmtId="0" xfId="0" applyAlignment="1" applyFont="1">
      <alignment vertical="center"/>
    </xf>
    <xf borderId="0" fillId="0" fontId="7" numFmtId="0" xfId="0" applyAlignment="1" applyFont="1">
      <alignment vertical="center"/>
    </xf>
    <xf borderId="0" fillId="4" fontId="7" numFmtId="0" xfId="0" applyAlignment="1" applyFont="1">
      <alignment readingOrder="0" shrinkToFit="0" vertical="center" wrapText="1"/>
    </xf>
    <xf borderId="0" fillId="4" fontId="7" numFmtId="0" xfId="0" applyAlignment="1" applyFont="1">
      <alignment shrinkToFit="0" vertical="center" wrapText="1"/>
    </xf>
    <xf borderId="0" fillId="4" fontId="1" numFmtId="0" xfId="0" applyAlignment="1" applyFont="1">
      <alignment shrinkToFit="0" vertical="center" wrapText="1"/>
    </xf>
    <xf borderId="0" fillId="4" fontId="1" numFmtId="0" xfId="0" applyAlignment="1" applyFont="1">
      <alignment horizontal="center" shrinkToFit="0" vertical="center" wrapText="1"/>
    </xf>
    <xf borderId="0" fillId="4" fontId="1" numFmtId="0" xfId="0" applyAlignment="1" applyFont="1">
      <alignment horizontal="center" vertical="center"/>
    </xf>
    <xf borderId="0" fillId="4" fontId="8" numFmtId="3" xfId="0" applyAlignment="1" applyFont="1" applyNumberFormat="1">
      <alignment readingOrder="0" shrinkToFit="0" vertical="center" wrapText="1"/>
    </xf>
    <xf borderId="0" fillId="4" fontId="1" numFmtId="0" xfId="0" applyAlignment="1" applyFont="1">
      <alignment horizontal="center" readingOrder="0" shrinkToFit="0" vertical="center" wrapText="1"/>
    </xf>
    <xf borderId="0" fillId="4" fontId="1" numFmtId="0" xfId="0" applyAlignment="1" applyFont="1">
      <alignment readingOrder="0" shrinkToFit="0" vertical="center" wrapText="1"/>
    </xf>
    <xf borderId="0" fillId="0" fontId="1" numFmtId="3" xfId="0" applyAlignment="1" applyFont="1" applyNumberFormat="1">
      <alignment horizontal="center" readingOrder="0" shrinkToFit="0" vertical="center" wrapText="1"/>
    </xf>
    <xf borderId="0" fillId="3" fontId="4" numFmtId="0" xfId="0" applyAlignment="1" applyFont="1">
      <alignment horizontal="center" vertical="center"/>
    </xf>
    <xf borderId="0" fillId="3" fontId="5" numFmtId="0" xfId="0" applyAlignment="1" applyFont="1">
      <alignment readingOrder="0" vertical="center"/>
    </xf>
    <xf borderId="0" fillId="3" fontId="9" numFmtId="0" xfId="0" applyAlignment="1" applyFont="1">
      <alignment vertical="center"/>
    </xf>
    <xf borderId="0" fillId="3" fontId="7" numFmtId="0" xfId="0" applyAlignment="1" applyFont="1">
      <alignment horizontal="center" vertical="center"/>
    </xf>
    <xf borderId="0" fillId="3" fontId="9" numFmtId="0" xfId="0" applyAlignment="1" applyFont="1">
      <alignment shrinkToFit="0" vertical="center" wrapText="1"/>
    </xf>
    <xf borderId="0" fillId="3" fontId="9" numFmtId="0" xfId="0" applyAlignment="1" applyFont="1">
      <alignment vertical="center"/>
    </xf>
    <xf borderId="0" fillId="0" fontId="7" numFmtId="0" xfId="0" applyAlignment="1" applyFont="1">
      <alignment readingOrder="0" vertical="center"/>
    </xf>
    <xf borderId="0" fillId="0" fontId="1" numFmtId="0" xfId="0" applyAlignment="1" applyFont="1">
      <alignment readingOrder="0" shrinkToFit="0" vertical="center" wrapText="1"/>
    </xf>
    <xf borderId="0" fillId="5" fontId="1" numFmtId="0" xfId="0" applyAlignment="1" applyFill="1" applyFont="1">
      <alignment readingOrder="0" shrinkToFit="0" vertical="center" wrapText="1"/>
    </xf>
    <xf borderId="0" fillId="0" fontId="1" numFmtId="0" xfId="0" applyAlignment="1" applyFont="1">
      <alignment horizontal="center" readingOrder="0" vertical="center"/>
    </xf>
    <xf borderId="0" fillId="0" fontId="10" numFmtId="0" xfId="0" applyAlignment="1" applyFont="1">
      <alignment vertical="center"/>
    </xf>
    <xf borderId="0" fillId="0" fontId="10" numFmtId="0" xfId="0" applyAlignment="1" applyFont="1">
      <alignment vertical="center"/>
    </xf>
    <xf borderId="0" fillId="0" fontId="10" numFmtId="1" xfId="0" applyAlignment="1" applyFont="1" applyNumberFormat="1">
      <alignment vertical="center"/>
    </xf>
    <xf borderId="0" fillId="3" fontId="1" numFmtId="0" xfId="0" applyAlignment="1" applyFont="1">
      <alignment horizontal="center" readingOrder="0" shrinkToFit="0" vertical="center" wrapText="0"/>
    </xf>
    <xf borderId="0" fillId="3" fontId="1" numFmtId="0" xfId="0" applyAlignment="1" applyFont="1">
      <alignment shrinkToFit="0" vertical="center" wrapText="0"/>
    </xf>
    <xf borderId="0" fillId="3" fontId="5" numFmtId="1" xfId="0" applyAlignment="1" applyFont="1" applyNumberFormat="1">
      <alignment horizontal="center" readingOrder="0" shrinkToFit="0" vertical="center" wrapText="0"/>
    </xf>
    <xf borderId="0" fillId="4" fontId="6" numFmtId="0" xfId="0" applyAlignment="1" applyFont="1">
      <alignment readingOrder="0" vertical="center"/>
    </xf>
    <xf borderId="0" fillId="0" fontId="6" numFmtId="0" xfId="0" applyAlignment="1" applyFont="1">
      <alignment readingOrder="0" shrinkToFit="0" vertical="center" wrapText="1"/>
    </xf>
    <xf borderId="0" fillId="0" fontId="1" numFmtId="1" xfId="0" applyAlignment="1" applyFont="1" applyNumberFormat="1">
      <alignment vertical="center"/>
    </xf>
    <xf borderId="0" fillId="0" fontId="6" numFmtId="0" xfId="0" applyAlignment="1" applyFont="1">
      <alignment readingOrder="0" vertical="center"/>
    </xf>
    <xf borderId="0" fillId="0" fontId="7" numFmtId="0" xfId="0" applyAlignment="1" applyFont="1">
      <alignment vertical="center"/>
    </xf>
    <xf borderId="0" fillId="3" fontId="5" numFmtId="0" xfId="0" applyAlignment="1" applyFont="1">
      <alignment horizontal="center" readingOrder="0" shrinkToFit="0" vertical="center" wrapText="0"/>
    </xf>
    <xf borderId="0" fillId="3" fontId="4" numFmtId="0" xfId="0" applyAlignment="1" applyFont="1">
      <alignment shrinkToFit="0" vertical="center" wrapText="1"/>
    </xf>
    <xf borderId="0" fillId="4" fontId="7" numFmtId="0" xfId="0" applyAlignment="1" applyFont="1">
      <alignment readingOrder="0" vertical="center"/>
    </xf>
    <xf borderId="0" fillId="0" fontId="1" numFmtId="3" xfId="0" applyAlignment="1" applyFont="1" applyNumberFormat="1">
      <alignment readingOrder="0" vertical="center"/>
    </xf>
    <xf borderId="0" fillId="0" fontId="7" numFmtId="0" xfId="0" applyAlignment="1" applyFont="1">
      <alignment horizontal="right" readingOrder="0" vertical="center"/>
    </xf>
    <xf borderId="0" fillId="0" fontId="1" numFmtId="0" xfId="0" applyAlignment="1" applyFont="1">
      <alignment shrinkToFit="0" vertical="center" wrapText="1"/>
    </xf>
    <xf borderId="0" fillId="0" fontId="1" numFmtId="3" xfId="0" applyAlignment="1" applyFont="1" applyNumberFormat="1">
      <alignment horizontal="center" readingOrder="0" vertical="center"/>
    </xf>
    <xf borderId="2" fillId="0" fontId="11" numFmtId="0" xfId="0" applyAlignment="1" applyBorder="1" applyFont="1">
      <alignment horizontal="right" readingOrder="0" shrinkToFit="0" vertical="center" wrapText="0"/>
    </xf>
    <xf borderId="3" fillId="0" fontId="11" numFmtId="1" xfId="0" applyAlignment="1" applyBorder="1" applyFont="1" applyNumberFormat="1">
      <alignment horizontal="center" readingOrder="0" vertical="center"/>
    </xf>
    <xf borderId="3" fillId="0" fontId="12" numFmtId="0" xfId="0" applyBorder="1" applyFont="1"/>
    <xf borderId="3" fillId="0" fontId="13" numFmtId="0" xfId="0" applyAlignment="1" applyBorder="1" applyFont="1">
      <alignment horizontal="right" readingOrder="0" shrinkToFit="0" vertical="center" wrapText="1"/>
    </xf>
    <xf borderId="4" fillId="0" fontId="7" numFmtId="0" xfId="0" applyAlignment="1" applyBorder="1" applyFont="1">
      <alignment horizontal="left" readingOrder="0" shrinkToFit="0" vertical="center" wrapText="1"/>
    </xf>
    <xf borderId="0" fillId="4" fontId="14" numFmtId="0" xfId="0" applyAlignment="1" applyFont="1">
      <alignment readingOrder="0" shrinkToFit="0" vertical="center" wrapText="1"/>
    </xf>
    <xf borderId="5" fillId="0" fontId="12" numFmtId="0" xfId="0" applyBorder="1" applyFont="1"/>
    <xf borderId="6" fillId="0" fontId="12" numFmtId="0" xfId="0" applyBorder="1" applyFont="1"/>
    <xf borderId="0" fillId="0" fontId="13" numFmtId="0" xfId="0" applyAlignment="1" applyFont="1">
      <alignment horizontal="right" readingOrder="0" shrinkToFit="0" vertical="center" wrapText="1"/>
    </xf>
    <xf borderId="7" fillId="0" fontId="7" numFmtId="0" xfId="0" applyAlignment="1" applyBorder="1" applyFont="1">
      <alignment horizontal="left" readingOrder="0" shrinkToFit="0" vertical="center" wrapText="1"/>
    </xf>
    <xf borderId="8" fillId="0" fontId="11" numFmtId="0" xfId="0" applyAlignment="1" applyBorder="1" applyFont="1">
      <alignment horizontal="right" readingOrder="0" shrinkToFit="0" vertical="center" wrapText="0"/>
    </xf>
    <xf borderId="9" fillId="0" fontId="11" numFmtId="164" xfId="0" applyAlignment="1" applyBorder="1" applyFont="1" applyNumberFormat="1">
      <alignment horizontal="center" readingOrder="0" vertical="center"/>
    </xf>
    <xf borderId="9" fillId="0" fontId="12" numFmtId="0" xfId="0" applyBorder="1" applyFont="1"/>
    <xf borderId="9" fillId="0" fontId="1" numFmtId="0" xfId="0" applyAlignment="1" applyBorder="1" applyFont="1">
      <alignment readingOrder="0" shrinkToFit="0" vertical="center" wrapText="1"/>
    </xf>
    <xf borderId="10" fillId="0" fontId="1" numFmtId="0" xfId="0" applyAlignment="1" applyBorder="1" applyFont="1">
      <alignment readingOrder="0" shrinkToFit="0" vertical="center" wrapText="1"/>
    </xf>
    <xf borderId="0" fillId="0" fontId="7" numFmtId="3" xfId="0" applyAlignment="1" applyFont="1" applyNumberFormat="1">
      <alignment readingOrder="0" vertical="center"/>
    </xf>
    <xf borderId="0" fillId="0" fontId="15" numFmtId="0" xfId="0" applyAlignment="1" applyFont="1">
      <alignment horizontal="right" readingOrder="0" shrinkToFit="0" vertical="center" wrapText="0"/>
    </xf>
    <xf borderId="0" fillId="0" fontId="15" numFmtId="164" xfId="0" applyAlignment="1" applyFont="1" applyNumberFormat="1">
      <alignment horizontal="center" vertical="center"/>
    </xf>
    <xf borderId="0" fillId="0" fontId="14" numFmtId="0" xfId="0" applyAlignment="1" applyFont="1">
      <alignment readingOrder="0" vertical="center"/>
    </xf>
    <xf borderId="0" fillId="2" fontId="14" numFmtId="3" xfId="0" applyAlignment="1" applyFont="1" applyNumberFormat="1">
      <alignment horizontal="center" readingOrder="0" vertical="center"/>
    </xf>
    <xf borderId="0" fillId="2" fontId="14" numFmtId="3" xfId="0" applyAlignment="1" applyFont="1" applyNumberFormat="1">
      <alignment readingOrder="0" vertical="center"/>
    </xf>
    <xf borderId="0" fillId="2" fontId="1" numFmtId="3" xfId="0" applyAlignment="1" applyFont="1" applyNumberFormat="1">
      <alignment readingOrder="0" vertical="center"/>
    </xf>
    <xf borderId="0" fillId="2" fontId="15" numFmtId="0" xfId="0" applyAlignment="1" applyFont="1">
      <alignment horizontal="right" readingOrder="0" shrinkToFit="0" vertical="center" wrapText="0"/>
    </xf>
    <xf borderId="0" fillId="2" fontId="15" numFmtId="164" xfId="0" applyAlignment="1" applyFont="1" applyNumberFormat="1">
      <alignment horizontal="center" vertical="center"/>
    </xf>
    <xf borderId="0" fillId="2" fontId="14" numFmtId="0" xfId="0" applyAlignment="1" applyFont="1">
      <alignment readingOrder="0" vertical="center"/>
    </xf>
    <xf borderId="0" fillId="2" fontId="1" numFmtId="0" xfId="0" applyAlignment="1" applyFont="1">
      <alignment horizontal="center" shrinkToFit="0" vertical="center" wrapText="1"/>
    </xf>
    <xf borderId="0" fillId="2" fontId="1" numFmtId="0" xfId="0" applyAlignment="1" applyFont="1">
      <alignment vertical="center"/>
    </xf>
    <xf borderId="0" fillId="6" fontId="16" numFmtId="0" xfId="0" applyAlignment="1" applyFill="1" applyFont="1">
      <alignment vertical="center"/>
    </xf>
    <xf borderId="0" fillId="6" fontId="17" numFmtId="0" xfId="0" applyAlignment="1" applyFont="1">
      <alignment readingOrder="0" shrinkToFit="0" vertical="center" wrapText="1"/>
    </xf>
    <xf borderId="0" fillId="6" fontId="16" numFmtId="0" xfId="0" applyAlignment="1" applyFont="1">
      <alignment shrinkToFit="0" vertical="center" wrapText="1"/>
    </xf>
    <xf borderId="0" fillId="6" fontId="16" numFmtId="0" xfId="0" applyAlignment="1" applyFont="1">
      <alignment readingOrder="0" shrinkToFit="0" vertical="center" wrapText="1"/>
    </xf>
    <xf borderId="0" fillId="6" fontId="16" numFmtId="3" xfId="0" applyAlignment="1" applyFont="1" applyNumberFormat="1">
      <alignment horizontal="center" shrinkToFit="0" vertical="center" wrapText="1"/>
    </xf>
    <xf borderId="0" fillId="6" fontId="16" numFmtId="0" xfId="0" applyAlignment="1" applyFont="1">
      <alignment horizontal="center" shrinkToFit="0" vertical="center" wrapText="1"/>
    </xf>
    <xf borderId="0" fillId="6" fontId="16" numFmtId="0" xfId="0" applyAlignment="1" applyFont="1">
      <alignment horizontal="center" readingOrder="0" shrinkToFit="0" vertical="center" wrapText="1"/>
    </xf>
    <xf borderId="0" fillId="2" fontId="1" numFmtId="0" xfId="0" applyAlignment="1" applyFont="1">
      <alignment readingOrder="0" shrinkToFit="0" vertical="center" wrapText="0"/>
    </xf>
    <xf borderId="11" fillId="3" fontId="5" numFmtId="0" xfId="0" applyAlignment="1" applyBorder="1" applyFont="1">
      <alignment readingOrder="0"/>
    </xf>
    <xf borderId="12" fillId="3" fontId="4" numFmtId="0" xfId="0" applyBorder="1" applyFont="1"/>
    <xf borderId="13" fillId="3" fontId="4" numFmtId="0" xfId="0" applyBorder="1" applyFont="1"/>
    <xf borderId="0" fillId="3" fontId="4" numFmtId="0" xfId="0" applyFont="1"/>
    <xf borderId="0" fillId="3" fontId="5" numFmtId="0" xfId="0" applyAlignment="1" applyFont="1">
      <alignment readingOrder="0"/>
    </xf>
    <xf borderId="0" fillId="3" fontId="5" numFmtId="0" xfId="0" applyAlignment="1" applyFont="1">
      <alignment horizontal="center" readingOrder="0" shrinkToFit="0" wrapText="0"/>
    </xf>
    <xf borderId="0" fillId="3" fontId="5" numFmtId="0" xfId="0" applyAlignment="1" applyFont="1">
      <alignment horizontal="center" readingOrder="0"/>
    </xf>
    <xf borderId="0" fillId="0" fontId="7" numFmtId="0" xfId="0" applyAlignment="1" applyFont="1">
      <alignment horizontal="right" readingOrder="0"/>
    </xf>
    <xf borderId="14" fillId="0" fontId="7" numFmtId="0" xfId="0" applyAlignment="1" applyBorder="1" applyFont="1">
      <alignment horizontal="right" readingOrder="0"/>
    </xf>
    <xf borderId="0" fillId="0" fontId="1" numFmtId="0" xfId="0" applyAlignment="1" applyFont="1">
      <alignment horizontal="right" readingOrder="0"/>
    </xf>
    <xf borderId="15" fillId="0" fontId="18" numFmtId="0" xfId="0" applyAlignment="1" applyBorder="1" applyFont="1">
      <alignment horizontal="right"/>
    </xf>
    <xf borderId="0" fillId="0" fontId="1" numFmtId="0" xfId="0" applyFont="1"/>
    <xf borderId="0" fillId="0" fontId="1" numFmtId="0" xfId="0" applyAlignment="1" applyFont="1">
      <alignment shrinkToFit="0" wrapText="0"/>
    </xf>
    <xf borderId="0" fillId="0" fontId="1" numFmtId="0" xfId="0" applyAlignment="1" applyFont="1">
      <alignment horizontal="center"/>
    </xf>
    <xf borderId="0" fillId="0" fontId="1" numFmtId="0" xfId="0" applyAlignment="1" applyFont="1">
      <alignment readingOrder="0"/>
    </xf>
    <xf borderId="15" fillId="0" fontId="18" numFmtId="0" xfId="0" applyAlignment="1" applyBorder="1" applyFont="1">
      <alignment horizontal="right" readingOrder="0"/>
    </xf>
    <xf borderId="0" fillId="0" fontId="1" numFmtId="0" xfId="0" applyAlignment="1" applyFont="1">
      <alignment readingOrder="0" shrinkToFit="0" wrapText="0"/>
    </xf>
    <xf borderId="0" fillId="0" fontId="1" numFmtId="165" xfId="0" applyAlignment="1" applyFont="1" applyNumberFormat="1">
      <alignment horizontal="right" readingOrder="0"/>
    </xf>
    <xf borderId="0" fillId="0" fontId="1" numFmtId="0" xfId="0" applyAlignment="1" applyFont="1">
      <alignment horizontal="left" readingOrder="0"/>
    </xf>
    <xf borderId="0" fillId="0" fontId="1" numFmtId="166" xfId="0" applyAlignment="1" applyFont="1" applyNumberFormat="1">
      <alignment horizontal="center" readingOrder="0"/>
    </xf>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1" numFmtId="166" xfId="0" applyAlignment="1" applyFont="1" applyNumberFormat="1">
      <alignment horizontal="right" readingOrder="0"/>
    </xf>
    <xf borderId="0" fillId="0" fontId="19" numFmtId="0" xfId="0" applyAlignment="1" applyFont="1">
      <alignment horizontal="right" readingOrder="0" shrinkToFit="0" vertical="top" wrapText="1"/>
    </xf>
    <xf borderId="14" fillId="3" fontId="5" numFmtId="0" xfId="0" applyAlignment="1" applyBorder="1" applyFont="1">
      <alignment readingOrder="0"/>
    </xf>
    <xf borderId="15" fillId="3" fontId="4" numFmtId="0" xfId="0" applyBorder="1" applyFont="1"/>
    <xf borderId="0" fillId="0" fontId="1" numFmtId="0" xfId="0" applyAlignment="1" applyFont="1">
      <alignment horizontal="right"/>
    </xf>
    <xf borderId="0" fillId="0" fontId="4" numFmtId="0" xfId="0" applyAlignment="1" applyFont="1">
      <alignment horizontal="left" readingOrder="0" shrinkToFit="0" vertical="top" wrapText="1"/>
    </xf>
    <xf borderId="0" fillId="0" fontId="4" numFmtId="0" xfId="0" applyAlignment="1" applyFont="1">
      <alignment shrinkToFit="0" wrapText="0"/>
    </xf>
    <xf borderId="0" fillId="0" fontId="4" numFmtId="0" xfId="0" applyFont="1"/>
    <xf borderId="14" fillId="7" fontId="7" numFmtId="0" xfId="0" applyAlignment="1" applyBorder="1" applyFill="1" applyFont="1">
      <alignment horizontal="left" readingOrder="0"/>
    </xf>
    <xf borderId="0" fillId="7" fontId="1" numFmtId="166" xfId="0" applyAlignment="1" applyFont="1" applyNumberFormat="1">
      <alignment horizontal="right" readingOrder="0"/>
    </xf>
    <xf borderId="15" fillId="7" fontId="18" numFmtId="0" xfId="0" applyAlignment="1" applyBorder="1" applyFont="1">
      <alignment horizontal="right"/>
    </xf>
    <xf borderId="0" fillId="0" fontId="19" numFmtId="0" xfId="0" applyAlignment="1" applyFont="1">
      <alignment horizontal="left" readingOrder="0" shrinkToFit="0" vertical="top" wrapText="1"/>
    </xf>
    <xf borderId="0" fillId="0" fontId="1" numFmtId="9" xfId="0" applyAlignment="1" applyFont="1" applyNumberFormat="1">
      <alignment horizontal="center" readingOrder="0"/>
    </xf>
    <xf borderId="14" fillId="0" fontId="7" numFmtId="0" xfId="0" applyAlignment="1" applyBorder="1" applyFont="1">
      <alignment horizontal="right" readingOrder="0" vertical="bottom"/>
    </xf>
    <xf borderId="0" fillId="0" fontId="1" numFmtId="167" xfId="0" applyAlignment="1" applyFont="1" applyNumberFormat="1">
      <alignment horizontal="center" readingOrder="0"/>
    </xf>
    <xf borderId="0" fillId="0" fontId="7" numFmtId="0" xfId="0" applyAlignment="1" applyFont="1">
      <alignment horizontal="right" readingOrder="0" vertical="bottom"/>
    </xf>
    <xf borderId="0" fillId="0" fontId="1" numFmtId="0" xfId="0" applyAlignment="1" applyFont="1">
      <alignment horizontal="center" readingOrder="0"/>
    </xf>
    <xf borderId="0" fillId="0" fontId="19" numFmtId="0" xfId="0" applyAlignment="1" applyFont="1">
      <alignment horizontal="left" readingOrder="0" shrinkToFit="0" vertical="top" wrapText="0"/>
    </xf>
    <xf borderId="0" fillId="7" fontId="1" numFmtId="166" xfId="0" applyAlignment="1" applyFont="1" applyNumberFormat="1">
      <alignment horizontal="center" readingOrder="0"/>
    </xf>
    <xf borderId="16" fillId="0" fontId="7" numFmtId="0" xfId="0" applyAlignment="1" applyBorder="1" applyFont="1">
      <alignment horizontal="right" readingOrder="0" vertical="bottom"/>
    </xf>
    <xf borderId="17" fillId="0" fontId="1" numFmtId="0" xfId="0" applyAlignment="1" applyBorder="1" applyFont="1">
      <alignment horizontal="center" readingOrder="0"/>
    </xf>
    <xf borderId="18" fillId="0" fontId="18" numFmtId="0" xfId="0" applyAlignment="1" applyBorder="1" applyFont="1">
      <alignment horizontal="right"/>
    </xf>
    <xf borderId="0" fillId="0" fontId="18" numFmtId="0" xfId="0" applyAlignment="1" applyFont="1">
      <alignment horizontal="right"/>
    </xf>
    <xf borderId="19" fillId="8" fontId="5" numFmtId="0" xfId="0" applyAlignment="1" applyBorder="1" applyFill="1" applyFont="1">
      <alignment readingOrder="0"/>
    </xf>
    <xf borderId="19" fillId="8" fontId="4" numFmtId="0" xfId="0" applyAlignment="1" applyBorder="1" applyFont="1">
      <alignment horizontal="center"/>
    </xf>
    <xf borderId="19" fillId="8" fontId="4" numFmtId="0" xfId="0" applyBorder="1" applyFont="1"/>
    <xf borderId="19" fillId="0" fontId="1" numFmtId="0" xfId="0" applyAlignment="1" applyBorder="1" applyFont="1">
      <alignment horizontal="right"/>
    </xf>
    <xf borderId="19" fillId="8" fontId="5" numFmtId="0" xfId="0" applyAlignment="1" applyBorder="1" applyFont="1">
      <alignment horizontal="center" readingOrder="0" shrinkToFit="0" wrapText="0"/>
    </xf>
    <xf borderId="19" fillId="8" fontId="5" numFmtId="0" xfId="0" applyAlignment="1" applyBorder="1" applyFont="1">
      <alignment horizontal="center" readingOrder="0"/>
    </xf>
    <xf borderId="0" fillId="0" fontId="1" numFmtId="164" xfId="0" applyAlignment="1" applyFont="1" applyNumberFormat="1">
      <alignment horizontal="center" readingOrder="0"/>
    </xf>
    <xf borderId="0" fillId="0" fontId="18" numFmtId="0" xfId="0" applyAlignment="1" applyFont="1">
      <alignment horizontal="right" readingOrder="0"/>
    </xf>
    <xf borderId="0" fillId="0" fontId="1" numFmtId="0" xfId="0" applyAlignment="1" applyFont="1">
      <alignment horizontal="center" shrinkToFit="0" wrapText="0"/>
    </xf>
    <xf borderId="0" fillId="0" fontId="1" numFmtId="14" xfId="0" applyAlignment="1" applyFont="1" applyNumberFormat="1">
      <alignment horizontal="center"/>
    </xf>
    <xf borderId="0" fillId="0" fontId="1" numFmtId="166" xfId="0" applyAlignment="1" applyFont="1" applyNumberFormat="1">
      <alignment horizontal="center" shrinkToFit="0" wrapText="0"/>
    </xf>
    <xf borderId="0" fillId="0" fontId="1" numFmtId="166" xfId="0" applyAlignment="1" applyFont="1" applyNumberFormat="1">
      <alignment horizontal="center"/>
    </xf>
    <xf borderId="0" fillId="0" fontId="7" numFmtId="0" xfId="0" applyAlignment="1" applyFont="1">
      <alignment horizontal="right" vertical="bottom"/>
    </xf>
    <xf borderId="0" fillId="0" fontId="7" numFmtId="0" xfId="0" applyAlignment="1" applyFont="1">
      <alignment horizontal="right" vertical="bottom"/>
    </xf>
    <xf borderId="0" fillId="0" fontId="1" numFmtId="0" xfId="0" applyAlignment="1" applyFont="1">
      <alignment horizontal="center" vertical="center"/>
    </xf>
    <xf borderId="0" fillId="0" fontId="1" numFmtId="164" xfId="0" applyAlignment="1" applyFont="1" applyNumberFormat="1">
      <alignment horizontal="center" readingOrder="0" shrinkToFit="0" vertical="center" wrapText="0"/>
    </xf>
    <xf borderId="0" fillId="0" fontId="1" numFmtId="9" xfId="0" applyAlignment="1" applyFont="1" applyNumberFormat="1">
      <alignment horizontal="center"/>
    </xf>
    <xf borderId="0" fillId="8" fontId="20" numFmtId="0" xfId="0" applyAlignment="1" applyFont="1">
      <alignment horizontal="center" readingOrder="0" vertical="center"/>
    </xf>
    <xf borderId="0" fillId="8" fontId="5" numFmtId="0" xfId="0" applyAlignment="1" applyFont="1">
      <alignment readingOrder="0"/>
    </xf>
    <xf borderId="0" fillId="8" fontId="5" numFmtId="0" xfId="0" applyFont="1"/>
    <xf borderId="0" fillId="8" fontId="5" numFmtId="0" xfId="0" applyAlignment="1" applyFont="1">
      <alignment shrinkToFit="0" wrapText="0"/>
    </xf>
    <xf borderId="0" fillId="9" fontId="7" numFmtId="0" xfId="0" applyAlignment="1" applyFill="1" applyFont="1">
      <alignment horizontal="right"/>
    </xf>
    <xf borderId="0" fillId="9" fontId="7" numFmtId="0" xfId="0" applyAlignment="1" applyFont="1">
      <alignment horizontal="center"/>
    </xf>
    <xf borderId="0" fillId="9" fontId="7" numFmtId="0" xfId="0" applyAlignment="1" applyFont="1">
      <alignment horizontal="center" readingOrder="0"/>
    </xf>
    <xf borderId="0" fillId="0" fontId="1" numFmtId="3" xfId="0" applyAlignment="1" applyFont="1" applyNumberFormat="1">
      <alignment shrinkToFit="0" wrapText="0"/>
    </xf>
    <xf borderId="0" fillId="0" fontId="7" numFmtId="0" xfId="0" applyAlignment="1" applyFont="1">
      <alignment horizontal="right"/>
    </xf>
    <xf borderId="0" fillId="0" fontId="1" numFmtId="1" xfId="0" applyAlignment="1" applyFont="1" applyNumberFormat="1">
      <alignment horizontal="center"/>
    </xf>
    <xf borderId="0" fillId="0" fontId="1" numFmtId="1" xfId="0" applyFont="1" applyNumberFormat="1"/>
    <xf borderId="0" fillId="0" fontId="7" numFmtId="0" xfId="0" applyAlignment="1" applyFont="1">
      <alignment horizontal="left" readingOrder="0" vertical="bottom"/>
    </xf>
    <xf borderId="0" fillId="0" fontId="7" numFmtId="1" xfId="0" applyAlignment="1" applyFont="1" applyNumberFormat="1">
      <alignment horizontal="right"/>
    </xf>
    <xf borderId="0" fillId="0" fontId="21" numFmtId="0" xfId="0" applyAlignment="1" applyFont="1">
      <alignment horizontal="right" readingOrder="0"/>
    </xf>
    <xf borderId="0" fillId="0" fontId="18" numFmtId="166" xfId="0" applyAlignment="1" applyFont="1" applyNumberFormat="1">
      <alignment horizontal="right" readingOrder="0"/>
    </xf>
    <xf borderId="0" fillId="0" fontId="18" numFmtId="166" xfId="0" applyAlignment="1" applyFont="1" applyNumberFormat="1">
      <alignment horizontal="right"/>
    </xf>
    <xf borderId="0" fillId="0" fontId="1" numFmtId="0" xfId="0" applyAlignment="1" applyFont="1">
      <alignment readingOrder="0" shrinkToFit="0" wrapText="1"/>
    </xf>
    <xf borderId="0" fillId="0" fontId="1" numFmtId="49" xfId="0" applyAlignment="1" applyFont="1" applyNumberFormat="1">
      <alignment horizontal="center" readingOrder="0"/>
    </xf>
    <xf borderId="0" fillId="0" fontId="1" numFmtId="49" xfId="0" applyAlignment="1" applyFont="1" applyNumberFormat="1">
      <alignment horizontal="center"/>
    </xf>
    <xf borderId="0" fillId="4" fontId="5" numFmtId="0" xfId="0" applyAlignment="1" applyFont="1">
      <alignment readingOrder="0" shrinkToFit="0" wrapText="1"/>
    </xf>
    <xf borderId="0" fillId="0" fontId="1" numFmtId="3" xfId="0" applyAlignment="1" applyFont="1" applyNumberFormat="1">
      <alignment readingOrder="0" shrinkToFit="0" wrapText="1"/>
    </xf>
    <xf borderId="0" fillId="4" fontId="1" numFmtId="0" xfId="0" applyAlignment="1" applyFont="1">
      <alignment shrinkToFit="0" wrapText="1"/>
    </xf>
    <xf borderId="0" fillId="4" fontId="1" numFmtId="0" xfId="0" applyAlignment="1" applyFont="1">
      <alignment readingOrder="0" shrinkToFit="0" wrapText="1"/>
    </xf>
    <xf borderId="0" fillId="0" fontId="10" numFmtId="0" xfId="0" applyAlignment="1" applyFont="1">
      <alignment readingOrder="0"/>
    </xf>
    <xf borderId="0" fillId="3" fontId="4" numFmtId="0" xfId="0" applyAlignment="1" applyFont="1">
      <alignment horizontal="center"/>
    </xf>
    <xf borderId="0" fillId="3" fontId="9" numFmtId="0" xfId="0" applyFont="1"/>
    <xf borderId="0" fillId="3" fontId="5" numFmtId="0" xfId="0" applyAlignment="1" applyFont="1">
      <alignment horizontal="center"/>
    </xf>
    <xf borderId="0" fillId="3" fontId="7" numFmtId="0" xfId="0" applyAlignment="1" applyFont="1">
      <alignment horizontal="center"/>
    </xf>
    <xf borderId="0" fillId="3" fontId="9" numFmtId="0" xfId="0" applyFont="1"/>
    <xf borderId="0" fillId="0" fontId="9" numFmtId="0" xfId="0" applyFont="1"/>
    <xf borderId="0" fillId="0" fontId="7" numFmtId="0" xfId="0" applyAlignment="1" applyFont="1">
      <alignment readingOrder="0" shrinkToFit="0" wrapText="1"/>
    </xf>
    <xf borderId="0" fillId="0" fontId="1" numFmtId="0" xfId="0" applyAlignment="1" applyFont="1">
      <alignment horizontal="center"/>
    </xf>
    <xf borderId="0" fillId="3" fontId="1" numFmtId="0" xfId="0" applyFont="1"/>
    <xf borderId="0" fillId="3" fontId="7" numFmtId="0" xfId="0" applyAlignment="1" applyFont="1">
      <alignment horizontal="center" readingOrder="0"/>
    </xf>
    <xf borderId="0" fillId="3" fontId="1" numFmtId="0" xfId="0" applyAlignment="1" applyFont="1">
      <alignment horizontal="center"/>
    </xf>
    <xf borderId="0" fillId="3" fontId="1" numFmtId="0" xfId="0" applyFont="1"/>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0</xdr:row>
      <xdr:rowOff>142875</xdr:rowOff>
    </xdr:from>
    <xdr:ext cx="2362200" cy="371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514350</xdr:colOff>
      <xdr:row>48</xdr:row>
      <xdr:rowOff>171450</xdr:rowOff>
    </xdr:from>
    <xdr:ext cx="1257300"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0</xdr:row>
      <xdr:rowOff>142875</xdr:rowOff>
    </xdr:from>
    <xdr:ext cx="2362200" cy="3714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514350</xdr:colOff>
      <xdr:row>48</xdr:row>
      <xdr:rowOff>171450</xdr:rowOff>
    </xdr:from>
    <xdr:ext cx="1257300"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381000</xdr:colOff>
      <xdr:row>0</xdr:row>
      <xdr:rowOff>123825</xdr:rowOff>
    </xdr:from>
    <xdr:ext cx="2362200" cy="3714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veloper.sendoso.com/rest-api/reference/sends/get-send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eveloper.sendoso.com/rest-api/reference/sends/get-send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3.63"/>
    <col customWidth="1" min="2" max="2" width="36.0"/>
    <col customWidth="1" min="3" max="5" width="36.63"/>
    <col customWidth="1" min="6" max="7" width="12.5"/>
    <col customWidth="1" min="8" max="8" width="16.5"/>
    <col customWidth="1" min="9" max="9" width="16.38"/>
    <col customWidth="1" min="10" max="10" width="12.5"/>
  </cols>
  <sheetData>
    <row r="1" ht="54.0" customHeight="1">
      <c r="A1" s="1"/>
      <c r="C1" s="2" t="s">
        <v>0</v>
      </c>
      <c r="F1" s="3"/>
    </row>
    <row r="2" ht="29.25" customHeight="1">
      <c r="A2" s="4"/>
      <c r="B2" s="5" t="s">
        <v>1</v>
      </c>
      <c r="C2" s="6" t="s">
        <v>2</v>
      </c>
      <c r="D2" s="6" t="s">
        <v>3</v>
      </c>
      <c r="E2" s="5" t="s">
        <v>4</v>
      </c>
      <c r="F2" s="6" t="s">
        <v>5</v>
      </c>
      <c r="G2" s="6" t="s">
        <v>6</v>
      </c>
      <c r="H2" s="5" t="s">
        <v>7</v>
      </c>
      <c r="I2" s="5" t="s">
        <v>8</v>
      </c>
      <c r="J2" s="5" t="s">
        <v>9</v>
      </c>
    </row>
    <row r="3">
      <c r="A3" s="7"/>
      <c r="B3" s="7"/>
      <c r="E3" s="7"/>
    </row>
    <row r="4">
      <c r="A4" s="8" t="s">
        <v>10</v>
      </c>
      <c r="B4" s="9" t="s">
        <v>11</v>
      </c>
      <c r="C4" s="10"/>
      <c r="D4" s="10"/>
      <c r="E4" s="10"/>
      <c r="F4" s="11">
        <f>IFERROR(__xludf.DUMMYFUNCTION("ROUNDUP(
  (
    SUM(
      INDIRECT(
        ""F""&amp;(ROW()+1)&amp;"":F""&amp;
        IFERROR(
          INDEX(
            FILTER(
              ROW(A:A),
              REGEXMATCH(A:A, ""^[•◆■※⊳]""),
              ROW(A:A) &gt; ROW()
            ),
            1
  "&amp;"        )-1,
          999
        )
      )
    )+
    SUM(
      INDIRECT(
        ""G""&amp;(ROW()+1)&amp;"":G""&amp;
        IFERROR(
          INDEX(
            FILTER(
              ROW(A:A),
              REGEXMATCH(A:A, ""^[•◆■※⊳]""),
              ROW(A:A) "&amp;"&gt; ROW()
            ),
            1
          )-1,
          999
        )
      )
    )
  )/2
)"),25.0)</f>
        <v>25</v>
      </c>
      <c r="H4" s="12" t="s">
        <v>12</v>
      </c>
      <c r="I4" s="13"/>
      <c r="J4" s="10"/>
    </row>
    <row r="5" ht="214.5" customHeight="1" outlineLevel="1">
      <c r="A5" s="7"/>
      <c r="B5" s="14" t="s">
        <v>13</v>
      </c>
      <c r="C5" s="15" t="s">
        <v>14</v>
      </c>
      <c r="D5" s="15" t="s">
        <v>15</v>
      </c>
      <c r="E5" s="15" t="s">
        <v>16</v>
      </c>
      <c r="F5" s="16">
        <v>15.0</v>
      </c>
      <c r="G5" s="16">
        <v>20.0</v>
      </c>
      <c r="H5" s="17"/>
      <c r="I5" s="18" t="s">
        <v>17</v>
      </c>
      <c r="J5" s="7"/>
    </row>
    <row r="6" outlineLevel="1">
      <c r="A6" s="17"/>
      <c r="B6" s="14" t="s">
        <v>18</v>
      </c>
      <c r="C6" s="15" t="s">
        <v>19</v>
      </c>
      <c r="D6" s="15" t="s">
        <v>20</v>
      </c>
      <c r="E6" s="15" t="s">
        <v>21</v>
      </c>
      <c r="F6" s="16">
        <v>5.0</v>
      </c>
      <c r="G6" s="16">
        <v>10.0</v>
      </c>
      <c r="H6" s="17"/>
      <c r="I6" s="18" t="s">
        <v>17</v>
      </c>
      <c r="J6" s="17"/>
    </row>
    <row r="7">
      <c r="A7" s="17"/>
      <c r="B7" s="17"/>
      <c r="C7" s="19"/>
      <c r="D7" s="17"/>
      <c r="E7" s="17"/>
      <c r="F7" s="19"/>
      <c r="G7" s="17"/>
      <c r="H7" s="17"/>
      <c r="I7" s="18"/>
      <c r="J7" s="17"/>
    </row>
    <row r="8">
      <c r="A8" s="8" t="s">
        <v>10</v>
      </c>
      <c r="B8" s="9" t="s">
        <v>22</v>
      </c>
      <c r="C8" s="20"/>
      <c r="D8" s="21"/>
      <c r="E8" s="21"/>
      <c r="F8" s="11">
        <f>IFERROR(__xludf.DUMMYFUNCTION("ROUNDUP(
  (
    SUM(
      INDIRECT(
        ""F""&amp;(ROW()+1)&amp;"":F""&amp;
        IFERROR(
          INDEX(
            FILTER(
              ROW(A:A),
              REGEXMATCH(A:A, ""^[•◆■※⊳]""),
              ROW(A:A) &gt; ROW()
            ),
            1
  "&amp;"        )-1,
          999
        )
      )
    )+
    SUM(
      INDIRECT(
        ""G""&amp;(ROW()+1)&amp;"":G""&amp;
        IFERROR(
          INDEX(
            FILTER(
              ROW(A:A),
              REGEXMATCH(A:A, ""^[•◆■※⊳]""),
              ROW(A:A) "&amp;"&gt; ROW()
            ),
            1
          )-1,
          999
        )
      )
    )
  )/2
)"),79.0)</f>
        <v>79</v>
      </c>
      <c r="H8" s="12" t="s">
        <v>12</v>
      </c>
      <c r="I8" s="22"/>
      <c r="J8" s="21"/>
    </row>
    <row r="9" outlineLevel="1">
      <c r="A9" s="23"/>
      <c r="B9" s="14" t="s">
        <v>23</v>
      </c>
      <c r="C9" s="24" t="s">
        <v>24</v>
      </c>
      <c r="D9" s="15" t="s">
        <v>25</v>
      </c>
      <c r="E9" s="15" t="s">
        <v>26</v>
      </c>
      <c r="F9" s="25">
        <v>8.0</v>
      </c>
      <c r="G9" s="26">
        <v>12.0</v>
      </c>
      <c r="H9" s="23"/>
      <c r="I9" s="18" t="s">
        <v>17</v>
      </c>
      <c r="J9" s="17"/>
    </row>
    <row r="10" outlineLevel="1">
      <c r="A10" s="23"/>
      <c r="B10" s="14" t="s">
        <v>27</v>
      </c>
      <c r="C10" s="24" t="s">
        <v>28</v>
      </c>
      <c r="D10" s="15" t="s">
        <v>29</v>
      </c>
      <c r="E10" s="15" t="s">
        <v>30</v>
      </c>
      <c r="F10" s="27">
        <v>3.0</v>
      </c>
      <c r="G10" s="28">
        <v>5.0</v>
      </c>
      <c r="H10" s="29"/>
      <c r="I10" s="18" t="s">
        <v>17</v>
      </c>
      <c r="J10" s="23"/>
    </row>
    <row r="11" outlineLevel="1">
      <c r="A11" s="23"/>
      <c r="B11" s="14" t="s">
        <v>31</v>
      </c>
      <c r="C11" s="24" t="s">
        <v>32</v>
      </c>
      <c r="D11" s="15" t="s">
        <v>33</v>
      </c>
      <c r="E11" s="15" t="s">
        <v>34</v>
      </c>
      <c r="F11" s="27">
        <v>20.0</v>
      </c>
      <c r="G11" s="28">
        <v>30.0</v>
      </c>
      <c r="H11" s="29"/>
      <c r="I11" s="18" t="s">
        <v>17</v>
      </c>
      <c r="J11" s="23"/>
    </row>
    <row r="12" outlineLevel="1">
      <c r="A12" s="23"/>
      <c r="B12" s="14" t="s">
        <v>35</v>
      </c>
      <c r="C12" s="24" t="s">
        <v>36</v>
      </c>
      <c r="D12" s="15" t="s">
        <v>37</v>
      </c>
      <c r="E12" s="15" t="s">
        <v>38</v>
      </c>
      <c r="F12" s="27">
        <v>20.0</v>
      </c>
      <c r="G12" s="28">
        <v>40.0</v>
      </c>
      <c r="H12" s="29"/>
      <c r="I12" s="18" t="s">
        <v>17</v>
      </c>
      <c r="J12" s="23"/>
    </row>
    <row r="13" outlineLevel="1">
      <c r="A13" s="30"/>
      <c r="B13" s="14" t="s">
        <v>39</v>
      </c>
      <c r="C13" s="15" t="s">
        <v>40</v>
      </c>
      <c r="D13" s="15" t="s">
        <v>41</v>
      </c>
      <c r="E13" s="31" t="s">
        <v>42</v>
      </c>
      <c r="F13" s="27">
        <v>8.0</v>
      </c>
      <c r="G13" s="16">
        <v>12.0</v>
      </c>
      <c r="H13" s="32"/>
      <c r="I13" s="18" t="s">
        <v>17</v>
      </c>
      <c r="J13" s="30"/>
    </row>
    <row r="14">
      <c r="A14" s="7"/>
      <c r="B14" s="33"/>
      <c r="C14" s="19"/>
      <c r="D14" s="17"/>
      <c r="E14" s="7"/>
      <c r="F14" s="19"/>
      <c r="G14" s="7"/>
      <c r="H14" s="17"/>
      <c r="I14" s="16"/>
      <c r="J14" s="7"/>
    </row>
    <row r="15">
      <c r="A15" s="8" t="s">
        <v>10</v>
      </c>
      <c r="B15" s="9" t="s">
        <v>43</v>
      </c>
      <c r="C15" s="20"/>
      <c r="D15" s="21"/>
      <c r="E15" s="10"/>
      <c r="F15" s="11">
        <f>IFERROR(__xludf.DUMMYFUNCTION("ROUNDUP(
  (
    SUM(
      INDIRECT(
        ""F""&amp;(ROW()+1)&amp;"":F""&amp;
        IFERROR(
          INDEX(
            FILTER(
              ROW(A:A),
              REGEXMATCH(A:A, ""^[•◆■※⊳]""),
              ROW(A:A) &gt; ROW()
            ),
            1
  "&amp;"        )-1,
          999
        )
      )
    )+
    SUM(
      INDIRECT(
        ""G""&amp;(ROW()+1)&amp;"":G""&amp;
        IFERROR(
          INDEX(
            FILTER(
              ROW(A:A),
              REGEXMATCH(A:A, ""^[•◆■※⊳]""),
              ROW(A:A) "&amp;"&gt; ROW()
            ),
            1
          )-1,
          999
        )
      )
    )
  )/2
)"),16.0)</f>
        <v>16</v>
      </c>
      <c r="H15" s="12" t="s">
        <v>12</v>
      </c>
      <c r="I15" s="13"/>
      <c r="J15" s="10"/>
    </row>
    <row r="16" outlineLevel="1">
      <c r="A16" s="30"/>
      <c r="B16" s="14" t="s">
        <v>44</v>
      </c>
      <c r="C16" s="24" t="s">
        <v>45</v>
      </c>
      <c r="D16" s="15" t="s">
        <v>46</v>
      </c>
      <c r="E16" s="15" t="s">
        <v>47</v>
      </c>
      <c r="F16" s="27">
        <v>4.0</v>
      </c>
      <c r="G16" s="16">
        <v>8.0</v>
      </c>
      <c r="H16" s="23"/>
      <c r="I16" s="18" t="s">
        <v>17</v>
      </c>
      <c r="J16" s="7"/>
    </row>
    <row r="17" outlineLevel="1">
      <c r="A17" s="30"/>
      <c r="B17" s="14" t="s">
        <v>48</v>
      </c>
      <c r="C17" s="15" t="s">
        <v>49</v>
      </c>
      <c r="D17" s="15" t="s">
        <v>50</v>
      </c>
      <c r="E17" s="31" t="s">
        <v>42</v>
      </c>
      <c r="F17" s="27">
        <v>8.0</v>
      </c>
      <c r="G17" s="16">
        <v>12.0</v>
      </c>
      <c r="H17" s="32"/>
      <c r="I17" s="18" t="s">
        <v>17</v>
      </c>
      <c r="J17" s="7"/>
    </row>
    <row r="18">
      <c r="A18" s="30"/>
      <c r="B18" s="30"/>
      <c r="C18" s="30"/>
      <c r="D18" s="30"/>
      <c r="E18" s="30"/>
      <c r="F18" s="30"/>
      <c r="G18" s="30"/>
      <c r="H18" s="30"/>
      <c r="I18" s="26"/>
      <c r="J18" s="30"/>
    </row>
    <row r="19">
      <c r="A19" s="8" t="s">
        <v>10</v>
      </c>
      <c r="B19" s="9" t="s">
        <v>51</v>
      </c>
      <c r="C19" s="10"/>
      <c r="D19" s="10"/>
      <c r="E19" s="10"/>
      <c r="F19" s="11">
        <f>IFERROR(__xludf.DUMMYFUNCTION("ROUNDUP(
  (
    SUM(
      INDIRECT(
        ""F""&amp;(ROW()+1)&amp;"":F""&amp;
        IFERROR(
          INDEX(
            FILTER(
              ROW(A:A),
              REGEXMATCH(A:A, ""^[•◆■※⊳]""),
              ROW(A:A) &gt; ROW()
            ),
            1
  "&amp;"        )-1,
          999
        )
      )
    )+
    SUM(
      INDIRECT(
        ""G""&amp;(ROW()+1)&amp;"":G""&amp;
        IFERROR(
          INDEX(
            FILTER(
              ROW(A:A),
              REGEXMATCH(A:A, ""^[•◆■※⊳]""),
              ROW(A:A) "&amp;"&gt; ROW()
            ),
            1
          )-1,
          999
        )
      )
    )
  )/2
)"),32.0)</f>
        <v>32</v>
      </c>
      <c r="H19" s="12" t="s">
        <v>12</v>
      </c>
      <c r="I19" s="13"/>
      <c r="J19" s="10"/>
    </row>
    <row r="20" outlineLevel="1">
      <c r="A20" s="30"/>
      <c r="B20" s="14" t="s">
        <v>52</v>
      </c>
      <c r="C20" s="15" t="s">
        <v>53</v>
      </c>
      <c r="D20" s="15" t="s">
        <v>54</v>
      </c>
      <c r="E20" s="15" t="s">
        <v>55</v>
      </c>
      <c r="F20" s="26">
        <v>12.0</v>
      </c>
      <c r="G20" s="26">
        <v>18.0</v>
      </c>
      <c r="H20" s="30"/>
      <c r="I20" s="18" t="s">
        <v>17</v>
      </c>
      <c r="J20" s="30"/>
    </row>
    <row r="21" outlineLevel="1">
      <c r="A21" s="30"/>
      <c r="B21" s="34" t="s">
        <v>56</v>
      </c>
      <c r="C21" s="15" t="s">
        <v>57</v>
      </c>
      <c r="D21" s="15" t="s">
        <v>58</v>
      </c>
      <c r="E21" s="15" t="s">
        <v>59</v>
      </c>
      <c r="F21" s="26">
        <v>8.0</v>
      </c>
      <c r="G21" s="26">
        <v>10.0</v>
      </c>
      <c r="H21" s="30"/>
      <c r="I21" s="18" t="s">
        <v>17</v>
      </c>
      <c r="J21" s="30"/>
    </row>
    <row r="22" outlineLevel="1">
      <c r="A22" s="30"/>
      <c r="B22" s="14" t="s">
        <v>60</v>
      </c>
      <c r="C22" s="15" t="s">
        <v>61</v>
      </c>
      <c r="D22" s="15" t="s">
        <v>62</v>
      </c>
      <c r="E22" s="15" t="s">
        <v>63</v>
      </c>
      <c r="F22" s="26">
        <v>5.0</v>
      </c>
      <c r="G22" s="26">
        <v>10.0</v>
      </c>
      <c r="H22" s="30"/>
      <c r="I22" s="18" t="s">
        <v>17</v>
      </c>
      <c r="J22" s="30"/>
    </row>
    <row r="23">
      <c r="A23" s="30"/>
      <c r="B23" s="35"/>
      <c r="C23" s="36"/>
      <c r="D23" s="36"/>
      <c r="E23" s="36"/>
      <c r="F23" s="37"/>
      <c r="G23" s="38"/>
      <c r="H23" s="30"/>
      <c r="I23" s="26"/>
      <c r="J23" s="30"/>
    </row>
    <row r="24">
      <c r="A24" s="8" t="s">
        <v>10</v>
      </c>
      <c r="B24" s="9" t="s">
        <v>64</v>
      </c>
      <c r="C24" s="21"/>
      <c r="D24" s="21"/>
      <c r="E24" s="21"/>
      <c r="F24" s="11">
        <f>IFERROR(__xludf.DUMMYFUNCTION("ROUNDUP(
  (
    SUM(
      INDIRECT(
        ""F""&amp;(ROW()+1)&amp;"":F""&amp;
        IFERROR(
          INDEX(
            FILTER(
              ROW(A:A),
              REGEXMATCH(A:A, ""^[•◆■※⊳]""),
              ROW(A:A) &gt; ROW()
            ),
            1
  "&amp;"        )-1,
          999
        )
      )
    )+
    SUM(
      INDIRECT(
        ""G""&amp;(ROW()+1)&amp;"":G""&amp;
        IFERROR(
          INDEX(
            FILTER(
              ROW(A:A),
              REGEXMATCH(A:A, ""^[•◆■※⊳]""),
              ROW(A:A) "&amp;"&gt; ROW()
            ),
            1
          )-1,
          999
        )
      )
    )
  )/2
)"),112.0)</f>
        <v>112</v>
      </c>
      <c r="H24" s="12" t="s">
        <v>65</v>
      </c>
      <c r="I24" s="13"/>
      <c r="J24" s="10"/>
    </row>
    <row r="25" ht="171.0" customHeight="1" outlineLevel="1">
      <c r="A25" s="30"/>
      <c r="B25" s="14" t="s">
        <v>66</v>
      </c>
      <c r="C25" s="15" t="s">
        <v>67</v>
      </c>
      <c r="D25" s="15" t="s">
        <v>68</v>
      </c>
      <c r="E25" s="39" t="s">
        <v>69</v>
      </c>
      <c r="F25" s="25">
        <v>35.0</v>
      </c>
      <c r="G25" s="26">
        <v>50.0</v>
      </c>
      <c r="H25" s="30"/>
      <c r="I25" s="40" t="s">
        <v>70</v>
      </c>
      <c r="J25" s="30"/>
    </row>
    <row r="26" outlineLevel="1">
      <c r="A26" s="30"/>
      <c r="B26" s="14" t="s">
        <v>71</v>
      </c>
      <c r="C26" s="15" t="s">
        <v>72</v>
      </c>
      <c r="D26" s="15" t="s">
        <v>73</v>
      </c>
      <c r="E26" s="15" t="s">
        <v>74</v>
      </c>
      <c r="F26" s="25">
        <v>3.0</v>
      </c>
      <c r="G26" s="26">
        <v>5.0</v>
      </c>
      <c r="H26" s="30"/>
      <c r="I26" s="40" t="s">
        <v>17</v>
      </c>
      <c r="J26" s="30"/>
    </row>
    <row r="27" ht="141.75" customHeight="1" outlineLevel="1">
      <c r="A27" s="30"/>
      <c r="B27" s="14" t="s">
        <v>75</v>
      </c>
      <c r="C27" s="15" t="s">
        <v>76</v>
      </c>
      <c r="D27" s="15" t="s">
        <v>77</v>
      </c>
      <c r="E27" s="41" t="s">
        <v>78</v>
      </c>
      <c r="F27" s="42">
        <v>25.0</v>
      </c>
      <c r="G27" s="16">
        <v>35.0</v>
      </c>
      <c r="H27" s="30"/>
      <c r="I27" s="40" t="s">
        <v>70</v>
      </c>
      <c r="J27" s="30"/>
    </row>
    <row r="28" outlineLevel="1">
      <c r="A28" s="30"/>
      <c r="B28" s="14" t="s">
        <v>79</v>
      </c>
      <c r="C28" s="15" t="s">
        <v>80</v>
      </c>
      <c r="D28" s="15" t="s">
        <v>81</v>
      </c>
      <c r="E28" s="41" t="s">
        <v>82</v>
      </c>
      <c r="F28" s="27">
        <v>30.0</v>
      </c>
      <c r="G28" s="16">
        <v>40.0</v>
      </c>
      <c r="H28" s="30"/>
      <c r="I28" s="40" t="s">
        <v>83</v>
      </c>
      <c r="J28" s="30"/>
    </row>
    <row r="29">
      <c r="A29" s="7"/>
      <c r="B29" s="7"/>
      <c r="C29" s="17"/>
      <c r="D29" s="17"/>
      <c r="E29" s="17"/>
      <c r="F29" s="7"/>
      <c r="G29" s="7"/>
      <c r="H29" s="7"/>
      <c r="I29" s="16"/>
      <c r="J29" s="7"/>
    </row>
    <row r="30">
      <c r="A30" s="43" t="s">
        <v>10</v>
      </c>
      <c r="B30" s="44" t="s">
        <v>84</v>
      </c>
      <c r="C30" s="45"/>
      <c r="D30" s="45"/>
      <c r="E30" s="45"/>
      <c r="F30" s="11">
        <f>IFERROR(__xludf.DUMMYFUNCTION("ROUNDUP(
  (
    SUM(
      INDIRECT(
        ""F""&amp;(ROW()+1)&amp;"":F""&amp;
        IFERROR(
          INDEX(
            FILTER(
              ROW(A:A),
              REGEXMATCH(A:A, ""^[•◆■※⊳]""),
              ROW(A:A) &gt; ROW()
            ),
            1
  "&amp;"        )-1,
          999
        )
      )
    )+
    SUM(
      INDIRECT(
        ""G""&amp;(ROW()+1)&amp;"":G""&amp;
        IFERROR(
          INDEX(
            FILTER(
              ROW(A:A),
              REGEXMATCH(A:A, ""^[•◆■※⊳]""),
              ROW(A:A) "&amp;"&gt; ROW()
            ),
            1
          )-1,
          999
        )
      )
    )
  )/2
)"),30.0)</f>
        <v>30</v>
      </c>
      <c r="H30" s="46" t="s">
        <v>85</v>
      </c>
      <c r="I30" s="47"/>
      <c r="J30" s="48"/>
    </row>
    <row r="31" outlineLevel="1">
      <c r="A31" s="17"/>
      <c r="B31" s="49" t="s">
        <v>86</v>
      </c>
      <c r="C31" s="50" t="s">
        <v>87</v>
      </c>
      <c r="D31" s="50" t="s">
        <v>88</v>
      </c>
      <c r="E31" s="51" t="s">
        <v>89</v>
      </c>
      <c r="F31" s="52">
        <v>8.0</v>
      </c>
      <c r="G31" s="52">
        <v>15.0</v>
      </c>
      <c r="H31" s="17"/>
      <c r="I31" s="18" t="s">
        <v>17</v>
      </c>
      <c r="J31" s="17"/>
    </row>
    <row r="32" outlineLevel="1">
      <c r="A32" s="17"/>
      <c r="B32" s="49" t="s">
        <v>90</v>
      </c>
      <c r="C32" s="50" t="s">
        <v>91</v>
      </c>
      <c r="D32" s="50" t="s">
        <v>92</v>
      </c>
      <c r="E32" s="51" t="s">
        <v>93</v>
      </c>
      <c r="F32" s="52">
        <v>8.0</v>
      </c>
      <c r="G32" s="52">
        <v>12.0</v>
      </c>
      <c r="H32" s="17"/>
      <c r="I32" s="18" t="s">
        <v>17</v>
      </c>
      <c r="J32" s="17"/>
    </row>
    <row r="33" outlineLevel="1">
      <c r="A33" s="17"/>
      <c r="B33" s="49" t="s">
        <v>94</v>
      </c>
      <c r="C33" s="50" t="s">
        <v>95</v>
      </c>
      <c r="D33" s="50" t="s">
        <v>96</v>
      </c>
      <c r="E33" s="51" t="s">
        <v>97</v>
      </c>
      <c r="F33" s="52">
        <v>6.0</v>
      </c>
      <c r="G33" s="52">
        <v>10.0</v>
      </c>
      <c r="H33" s="17"/>
      <c r="I33" s="18" t="s">
        <v>17</v>
      </c>
      <c r="J33" s="17"/>
    </row>
    <row r="34">
      <c r="A34" s="53"/>
      <c r="B34" s="53"/>
      <c r="C34" s="54"/>
      <c r="D34" s="54"/>
      <c r="E34" s="54"/>
      <c r="F34" s="55"/>
      <c r="G34" s="55"/>
      <c r="H34" s="54"/>
      <c r="I34" s="53"/>
      <c r="J34" s="54"/>
    </row>
    <row r="35">
      <c r="A35" s="56" t="s">
        <v>98</v>
      </c>
      <c r="B35" s="9" t="s">
        <v>99</v>
      </c>
      <c r="C35" s="57"/>
      <c r="D35" s="57"/>
      <c r="E35" s="57"/>
      <c r="F35" s="58">
        <f>IFERROR(__xludf.DUMMYFUNCTION("ROUNDUP(
  (
    SUM(
      FILTER(
        INDIRECT(""F4:F"" &amp; ROW()-1),
        LEFT(INDIRECT(""A4:A"" &amp; ROW()-1),1)=""•""
      )
    )
  ) * 
  Details!C12
)"),59.0)</f>
        <v>59</v>
      </c>
      <c r="H35" s="57"/>
      <c r="I35" s="56" t="s">
        <v>100</v>
      </c>
      <c r="J35" s="57"/>
    </row>
    <row r="36" ht="29.25" customHeight="1" outlineLevel="1">
      <c r="A36" s="17"/>
      <c r="B36" s="59" t="s">
        <v>101</v>
      </c>
      <c r="C36" s="50" t="s">
        <v>102</v>
      </c>
      <c r="D36" s="50" t="s">
        <v>103</v>
      </c>
      <c r="E36" s="50" t="s">
        <v>104</v>
      </c>
      <c r="F36" s="17"/>
      <c r="G36" s="17"/>
      <c r="H36" s="17"/>
      <c r="I36" s="28"/>
      <c r="J36" s="17"/>
    </row>
    <row r="37" ht="29.25" customHeight="1" outlineLevel="1">
      <c r="A37" s="17"/>
      <c r="B37" s="60" t="s">
        <v>105</v>
      </c>
      <c r="F37" s="17"/>
      <c r="G37" s="61"/>
      <c r="H37" s="17"/>
      <c r="I37" s="28"/>
      <c r="J37" s="17"/>
    </row>
    <row r="38" ht="29.25" customHeight="1" outlineLevel="1">
      <c r="A38" s="17"/>
      <c r="B38" s="62" t="s">
        <v>106</v>
      </c>
      <c r="F38" s="61"/>
      <c r="G38" s="61"/>
      <c r="H38" s="17"/>
      <c r="I38" s="28"/>
      <c r="J38" s="17"/>
    </row>
    <row r="39">
      <c r="A39" s="17"/>
      <c r="B39" s="17"/>
      <c r="C39" s="17"/>
      <c r="D39" s="63"/>
      <c r="E39" s="17"/>
      <c r="F39" s="17"/>
      <c r="G39" s="17"/>
      <c r="H39" s="17"/>
      <c r="I39" s="28"/>
      <c r="J39" s="17"/>
    </row>
    <row r="40">
      <c r="A40" s="8" t="s">
        <v>107</v>
      </c>
      <c r="B40" s="9" t="s">
        <v>108</v>
      </c>
      <c r="C40" s="21"/>
      <c r="D40" s="21"/>
      <c r="E40" s="21"/>
      <c r="F40" s="64">
        <f>Details!C18*Details!C19</f>
        <v>180</v>
      </c>
      <c r="H40" s="21"/>
      <c r="I40" s="65"/>
      <c r="J40" s="21"/>
    </row>
    <row r="41" ht="54.75" customHeight="1" outlineLevel="1">
      <c r="A41" s="17"/>
      <c r="B41" s="66" t="s">
        <v>108</v>
      </c>
      <c r="C41" s="50" t="s">
        <v>109</v>
      </c>
      <c r="D41" s="17"/>
      <c r="E41" s="67"/>
      <c r="F41" s="68" t="s">
        <v>110</v>
      </c>
      <c r="G41" s="52">
        <f>Details!C18</f>
        <v>30</v>
      </c>
      <c r="H41" s="17"/>
      <c r="I41" s="18"/>
      <c r="J41" s="17"/>
    </row>
    <row r="42" ht="54.75" customHeight="1" outlineLevel="1">
      <c r="A42" s="17"/>
      <c r="B42" s="66"/>
      <c r="C42" s="50"/>
      <c r="D42" s="17"/>
      <c r="E42" s="67"/>
      <c r="F42" s="68" t="s">
        <v>111</v>
      </c>
      <c r="G42" s="52">
        <f>Details!C19</f>
        <v>6</v>
      </c>
      <c r="H42" s="17"/>
      <c r="I42" s="18"/>
      <c r="J42" s="17"/>
    </row>
    <row r="43">
      <c r="A43" s="17"/>
      <c r="B43" s="17"/>
      <c r="C43" s="17"/>
      <c r="D43" s="17"/>
      <c r="E43" s="17"/>
      <c r="F43" s="17"/>
      <c r="G43" s="17"/>
      <c r="H43" s="17"/>
      <c r="I43" s="69"/>
      <c r="J43" s="17"/>
    </row>
    <row r="44">
      <c r="A44" s="17"/>
      <c r="B44" s="17"/>
      <c r="C44" s="17"/>
      <c r="D44" s="17"/>
      <c r="E44" s="17"/>
      <c r="F44" s="17"/>
      <c r="G44" s="17"/>
      <c r="H44" s="17"/>
      <c r="I44" s="69"/>
      <c r="J44" s="17"/>
    </row>
    <row r="45" ht="23.25" customHeight="1">
      <c r="A45" s="70" t="s">
        <v>112</v>
      </c>
      <c r="B45" s="67"/>
      <c r="C45" s="17"/>
      <c r="D45" s="17"/>
      <c r="E45" s="71" t="s">
        <v>113</v>
      </c>
      <c r="F45" s="72">
        <f>SUMIFS(F:F, A:A, "*•*") + SUMIFS(F:F, A:A, "*◆*") + SUMIFS(F:F, A:A, "*■*")</f>
        <v>533</v>
      </c>
      <c r="G45" s="73"/>
      <c r="H45" s="74" t="s">
        <v>114</v>
      </c>
      <c r="I45" s="75">
        <f t="array" ref="I45">INDIRECT("Details!G26")</f>
        <v>457.2</v>
      </c>
      <c r="J45" s="76"/>
    </row>
    <row r="46" ht="23.25" customHeight="1">
      <c r="A46" s="70"/>
      <c r="B46" s="67"/>
      <c r="C46" s="17"/>
      <c r="D46" s="17"/>
      <c r="E46" s="77"/>
      <c r="F46" s="78"/>
      <c r="G46" s="78"/>
      <c r="H46" s="79" t="s">
        <v>115</v>
      </c>
      <c r="I46" s="80">
        <f t="array" ref="I46">INDIRECT("Details!H26")</f>
        <v>604.8</v>
      </c>
      <c r="J46" s="76"/>
    </row>
    <row r="47" ht="46.5" customHeight="1">
      <c r="A47" s="70" t="s">
        <v>116</v>
      </c>
      <c r="B47" s="67"/>
      <c r="C47" s="67"/>
      <c r="D47" s="67"/>
      <c r="E47" s="81" t="s">
        <v>117</v>
      </c>
      <c r="F47" s="82">
        <f>IFERROR(__xludf.DUMMYFUNCTION("ARRAYFORMULA(
  SUM(
    IF(
      REGEXMATCH(INDIRECT(""A4:A"" &amp; MATCH(""※"",A:A,0)-1), ""^[•◆■]""),
      INDIRECT(""F4:F"" &amp; MATCH(""※"",A:A,0)-1) * 
      IF(
        REGEXMATCH(INDIRECT(""A4:A"" &amp; MATCH(""※"",A:A,0)-1), ""^[•◆]""),
        Details!$C"&amp;"$11,
        IF(
          REGEXMATCH(INDIRECT(""A4:A"" &amp; MATCH(""※"",A:A,0)-1), ""^■""),
          Details!$C$17,
          0
        )
      ),
      0
    )
  )
)"),126085.0)</f>
        <v>126085</v>
      </c>
      <c r="G47" s="83"/>
      <c r="H47" s="84"/>
      <c r="I47" s="85"/>
      <c r="J47" s="76"/>
    </row>
    <row r="48">
      <c r="A48" s="67"/>
      <c r="B48" s="86"/>
      <c r="C48" s="67"/>
      <c r="D48" s="67"/>
      <c r="E48" s="87"/>
      <c r="F48" s="88"/>
      <c r="G48" s="88"/>
      <c r="H48" s="89"/>
      <c r="I48" s="28"/>
      <c r="J48" s="17"/>
    </row>
    <row r="49" ht="46.5" customHeight="1">
      <c r="A49" s="90" t="s">
        <v>118</v>
      </c>
      <c r="B49" s="91" t="s">
        <v>119</v>
      </c>
      <c r="C49" s="92"/>
      <c r="D49" s="92"/>
      <c r="E49" s="93"/>
      <c r="F49" s="94"/>
      <c r="G49" s="94"/>
      <c r="H49" s="95"/>
      <c r="I49" s="96"/>
      <c r="J49" s="97"/>
    </row>
  </sheetData>
  <mergeCells count="19">
    <mergeCell ref="A1:B1"/>
    <mergeCell ref="C1:E1"/>
    <mergeCell ref="F1:J1"/>
    <mergeCell ref="B3:D3"/>
    <mergeCell ref="E3:J3"/>
    <mergeCell ref="F4:G4"/>
    <mergeCell ref="F8:G8"/>
    <mergeCell ref="F35:G35"/>
    <mergeCell ref="F40:G40"/>
    <mergeCell ref="E45:E46"/>
    <mergeCell ref="F45:G46"/>
    <mergeCell ref="F47:G47"/>
    <mergeCell ref="F15:G15"/>
    <mergeCell ref="F19:G19"/>
    <mergeCell ref="F24:G24"/>
    <mergeCell ref="F30:G30"/>
    <mergeCell ref="C36:C38"/>
    <mergeCell ref="D36:D38"/>
    <mergeCell ref="E36:E38"/>
  </mergeCells>
  <dataValidations>
    <dataValidation type="list" allowBlank="1" showErrorMessage="1" sqref="H4 H8 H15 H19 H24 H30">
      <formula1>"High,Standard,Low"</formula1>
    </dataValidation>
    <dataValidation type="list" allowBlank="1" showErrorMessage="1" sqref="I5:I6 I9:I13 I16:I17 I20:I22 I25:I28 I31:I33 I35">
      <formula1>"Consulting,Development,Project Management,Solutions Engineering,Strategy"</formula1>
    </dataValidation>
  </dataValidations>
  <hyperlinks>
    <hyperlink r:id="rId1" ref="E25"/>
  </hyperlinks>
  <printOptions gridLines="1" horizontalCentered="1"/>
  <pageMargins bottom="0.75" footer="0.0" header="0.0" left="0.25" right="0.25"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3.63"/>
    <col customWidth="1" min="2" max="2" width="36.0"/>
    <col customWidth="1" min="3" max="5" width="36.63"/>
    <col customWidth="1" min="6" max="7" width="12.5"/>
    <col customWidth="1" min="8" max="8" width="16.5"/>
    <col customWidth="1" min="9" max="9" width="16.38"/>
    <col customWidth="1" min="10" max="10" width="12.5"/>
  </cols>
  <sheetData>
    <row r="1" ht="54.0" customHeight="1">
      <c r="A1" s="1"/>
      <c r="C1" s="2" t="s">
        <v>0</v>
      </c>
      <c r="F1" s="3"/>
    </row>
    <row r="2" ht="29.25" customHeight="1">
      <c r="A2" s="4"/>
      <c r="B2" s="5" t="s">
        <v>1</v>
      </c>
      <c r="C2" s="6" t="s">
        <v>2</v>
      </c>
      <c r="D2" s="6" t="s">
        <v>3</v>
      </c>
      <c r="E2" s="5" t="s">
        <v>4</v>
      </c>
      <c r="F2" s="6" t="s">
        <v>5</v>
      </c>
      <c r="G2" s="6" t="s">
        <v>6</v>
      </c>
      <c r="H2" s="5" t="s">
        <v>7</v>
      </c>
      <c r="I2" s="5" t="s">
        <v>8</v>
      </c>
      <c r="J2" s="5" t="s">
        <v>9</v>
      </c>
    </row>
    <row r="3">
      <c r="A3" s="7"/>
      <c r="B3" s="7"/>
      <c r="E3" s="7"/>
    </row>
    <row r="4">
      <c r="A4" s="8" t="s">
        <v>10</v>
      </c>
      <c r="B4" s="9" t="s">
        <v>11</v>
      </c>
      <c r="C4" s="10"/>
      <c r="D4" s="10"/>
      <c r="E4" s="10"/>
      <c r="F4" s="11">
        <f>IFERROR(__xludf.DUMMYFUNCTION("ROUNDUP(
  (
    SUM(
      INDIRECT(
        ""F""&amp;(ROW()+1)&amp;"":F""&amp;
        IFERROR(
          INDEX(
            FILTER(
              ROW(A:A),
              REGEXMATCH(A:A, ""^[•◆■※⊳]""),
              ROW(A:A) &gt; ROW()
            ),
            1
  "&amp;"        )-1,
          999
        )
      )
    )+
    SUM(
      INDIRECT(
        ""G""&amp;(ROW()+1)&amp;"":G""&amp;
        IFERROR(
          INDEX(
            FILTER(
              ROW(A:A),
              REGEXMATCH(A:A, ""^[•◆■※⊳]""),
              ROW(A:A) "&amp;"&gt; ROW()
            ),
            1
          )-1,
          999
        )
      )
    )
  )/2
)"),25.0)</f>
        <v>25</v>
      </c>
      <c r="H4" s="12" t="s">
        <v>12</v>
      </c>
      <c r="I4" s="13"/>
      <c r="J4" s="10"/>
    </row>
    <row r="5" ht="214.5" customHeight="1" outlineLevel="1">
      <c r="A5" s="7"/>
      <c r="B5" s="14" t="s">
        <v>13</v>
      </c>
      <c r="C5" s="15" t="s">
        <v>14</v>
      </c>
      <c r="D5" s="15" t="s">
        <v>15</v>
      </c>
      <c r="E5" s="15" t="s">
        <v>16</v>
      </c>
      <c r="F5" s="16">
        <v>15.0</v>
      </c>
      <c r="G5" s="16">
        <v>20.0</v>
      </c>
      <c r="H5" s="17"/>
      <c r="I5" s="18" t="s">
        <v>17</v>
      </c>
      <c r="J5" s="7"/>
    </row>
    <row r="6" outlineLevel="1">
      <c r="A6" s="17"/>
      <c r="B6" s="14" t="s">
        <v>18</v>
      </c>
      <c r="C6" s="15" t="s">
        <v>19</v>
      </c>
      <c r="D6" s="15" t="s">
        <v>20</v>
      </c>
      <c r="E6" s="15" t="s">
        <v>21</v>
      </c>
      <c r="F6" s="16">
        <v>5.0</v>
      </c>
      <c r="G6" s="16">
        <v>10.0</v>
      </c>
      <c r="H6" s="17"/>
      <c r="I6" s="18" t="s">
        <v>17</v>
      </c>
      <c r="J6" s="17"/>
    </row>
    <row r="7">
      <c r="A7" s="17"/>
      <c r="B7" s="17"/>
      <c r="C7" s="19"/>
      <c r="D7" s="17"/>
      <c r="E7" s="17"/>
      <c r="F7" s="19"/>
      <c r="G7" s="17"/>
      <c r="H7" s="17"/>
      <c r="I7" s="18"/>
      <c r="J7" s="17"/>
    </row>
    <row r="8">
      <c r="A8" s="8" t="s">
        <v>10</v>
      </c>
      <c r="B8" s="9" t="s">
        <v>22</v>
      </c>
      <c r="C8" s="20"/>
      <c r="D8" s="21"/>
      <c r="E8" s="21"/>
      <c r="F8" s="11">
        <f>IFERROR(__xludf.DUMMYFUNCTION("ROUNDUP(
  (
    SUM(
      INDIRECT(
        ""F""&amp;(ROW()+1)&amp;"":F""&amp;
        IFERROR(
          INDEX(
            FILTER(
              ROW(A:A),
              REGEXMATCH(A:A, ""^[•◆■※⊳]""),
              ROW(A:A) &gt; ROW()
            ),
            1
  "&amp;"        )-1,
          999
        )
      )
    )+
    SUM(
      INDIRECT(
        ""G""&amp;(ROW()+1)&amp;"":G""&amp;
        IFERROR(
          INDEX(
            FILTER(
              ROW(A:A),
              REGEXMATCH(A:A, ""^[•◆■※⊳]""),
              ROW(A:A) "&amp;"&gt; ROW()
            ),
            1
          )-1,
          999
        )
      )
    )
  )/2
)"),79.0)</f>
        <v>79</v>
      </c>
      <c r="H8" s="12" t="s">
        <v>12</v>
      </c>
      <c r="I8" s="22"/>
      <c r="J8" s="21"/>
    </row>
    <row r="9" outlineLevel="1">
      <c r="A9" s="23"/>
      <c r="B9" s="14" t="s">
        <v>23</v>
      </c>
      <c r="C9" s="24" t="s">
        <v>24</v>
      </c>
      <c r="D9" s="15" t="s">
        <v>25</v>
      </c>
      <c r="E9" s="15" t="s">
        <v>26</v>
      </c>
      <c r="F9" s="25">
        <v>8.0</v>
      </c>
      <c r="G9" s="26">
        <v>12.0</v>
      </c>
      <c r="H9" s="23"/>
      <c r="I9" s="18" t="s">
        <v>17</v>
      </c>
      <c r="J9" s="17"/>
    </row>
    <row r="10" outlineLevel="1">
      <c r="A10" s="23"/>
      <c r="B10" s="14" t="s">
        <v>27</v>
      </c>
      <c r="C10" s="24" t="s">
        <v>28</v>
      </c>
      <c r="D10" s="15" t="s">
        <v>29</v>
      </c>
      <c r="E10" s="15" t="s">
        <v>30</v>
      </c>
      <c r="F10" s="27">
        <v>3.0</v>
      </c>
      <c r="G10" s="28">
        <v>5.0</v>
      </c>
      <c r="H10" s="29"/>
      <c r="I10" s="18" t="s">
        <v>17</v>
      </c>
      <c r="J10" s="23"/>
    </row>
    <row r="11" outlineLevel="1">
      <c r="A11" s="23"/>
      <c r="B11" s="14" t="s">
        <v>31</v>
      </c>
      <c r="C11" s="24" t="s">
        <v>32</v>
      </c>
      <c r="D11" s="15" t="s">
        <v>33</v>
      </c>
      <c r="E11" s="15" t="s">
        <v>34</v>
      </c>
      <c r="F11" s="27">
        <v>20.0</v>
      </c>
      <c r="G11" s="28">
        <v>30.0</v>
      </c>
      <c r="H11" s="29"/>
      <c r="I11" s="18" t="s">
        <v>17</v>
      </c>
      <c r="J11" s="23"/>
    </row>
    <row r="12" outlineLevel="1">
      <c r="A12" s="23"/>
      <c r="B12" s="14" t="s">
        <v>35</v>
      </c>
      <c r="C12" s="24" t="s">
        <v>36</v>
      </c>
      <c r="D12" s="15" t="s">
        <v>37</v>
      </c>
      <c r="E12" s="15" t="s">
        <v>38</v>
      </c>
      <c r="F12" s="27">
        <v>20.0</v>
      </c>
      <c r="G12" s="28">
        <v>40.0</v>
      </c>
      <c r="H12" s="29"/>
      <c r="I12" s="18" t="s">
        <v>17</v>
      </c>
      <c r="J12" s="23"/>
    </row>
    <row r="13" outlineLevel="1">
      <c r="A13" s="30"/>
      <c r="B13" s="14" t="s">
        <v>39</v>
      </c>
      <c r="C13" s="15" t="s">
        <v>40</v>
      </c>
      <c r="D13" s="15" t="s">
        <v>41</v>
      </c>
      <c r="E13" s="31" t="s">
        <v>42</v>
      </c>
      <c r="F13" s="27">
        <v>8.0</v>
      </c>
      <c r="G13" s="16">
        <v>12.0</v>
      </c>
      <c r="H13" s="32"/>
      <c r="I13" s="18" t="s">
        <v>17</v>
      </c>
      <c r="J13" s="30"/>
    </row>
    <row r="14">
      <c r="A14" s="7"/>
      <c r="B14" s="33"/>
      <c r="C14" s="19"/>
      <c r="D14" s="17"/>
      <c r="E14" s="7"/>
      <c r="F14" s="19"/>
      <c r="G14" s="7"/>
      <c r="H14" s="17"/>
      <c r="I14" s="16"/>
      <c r="J14" s="7"/>
    </row>
    <row r="15">
      <c r="A15" s="8" t="s">
        <v>10</v>
      </c>
      <c r="B15" s="9" t="s">
        <v>43</v>
      </c>
      <c r="C15" s="20"/>
      <c r="D15" s="21"/>
      <c r="E15" s="10"/>
      <c r="F15" s="11">
        <f>IFERROR(__xludf.DUMMYFUNCTION("ROUNDUP(
  (
    SUM(
      INDIRECT(
        ""F""&amp;(ROW()+1)&amp;"":F""&amp;
        IFERROR(
          INDEX(
            FILTER(
              ROW(A:A),
              REGEXMATCH(A:A, ""^[•◆■※⊳]""),
              ROW(A:A) &gt; ROW()
            ),
            1
  "&amp;"        )-1,
          999
        )
      )
    )+
    SUM(
      INDIRECT(
        ""G""&amp;(ROW()+1)&amp;"":G""&amp;
        IFERROR(
          INDEX(
            FILTER(
              ROW(A:A),
              REGEXMATCH(A:A, ""^[•◆■※⊳]""),
              ROW(A:A) "&amp;"&gt; ROW()
            ),
            1
          )-1,
          999
        )
      )
    )
  )/2
)"),16.0)</f>
        <v>16</v>
      </c>
      <c r="H15" s="12" t="s">
        <v>12</v>
      </c>
      <c r="I15" s="13"/>
      <c r="J15" s="10"/>
    </row>
    <row r="16" outlineLevel="1">
      <c r="A16" s="30"/>
      <c r="B16" s="14" t="s">
        <v>44</v>
      </c>
      <c r="C16" s="24" t="s">
        <v>45</v>
      </c>
      <c r="D16" s="15" t="s">
        <v>46</v>
      </c>
      <c r="E16" s="15" t="s">
        <v>47</v>
      </c>
      <c r="F16" s="27">
        <v>4.0</v>
      </c>
      <c r="G16" s="16">
        <v>8.0</v>
      </c>
      <c r="H16" s="23"/>
      <c r="I16" s="18" t="s">
        <v>17</v>
      </c>
      <c r="J16" s="7"/>
    </row>
    <row r="17" outlineLevel="1">
      <c r="A17" s="30"/>
      <c r="B17" s="14" t="s">
        <v>48</v>
      </c>
      <c r="C17" s="15" t="s">
        <v>49</v>
      </c>
      <c r="D17" s="15" t="s">
        <v>50</v>
      </c>
      <c r="E17" s="31" t="s">
        <v>42</v>
      </c>
      <c r="F17" s="27">
        <v>8.0</v>
      </c>
      <c r="G17" s="16">
        <v>12.0</v>
      </c>
      <c r="H17" s="32"/>
      <c r="I17" s="18" t="s">
        <v>17</v>
      </c>
      <c r="J17" s="7"/>
    </row>
    <row r="18">
      <c r="A18" s="30"/>
      <c r="B18" s="30"/>
      <c r="C18" s="30"/>
      <c r="D18" s="30"/>
      <c r="E18" s="30"/>
      <c r="F18" s="30"/>
      <c r="G18" s="30"/>
      <c r="H18" s="30"/>
      <c r="I18" s="26"/>
      <c r="J18" s="30"/>
    </row>
    <row r="19">
      <c r="A19" s="8" t="s">
        <v>10</v>
      </c>
      <c r="B19" s="9" t="s">
        <v>51</v>
      </c>
      <c r="C19" s="10"/>
      <c r="D19" s="10"/>
      <c r="E19" s="10"/>
      <c r="F19" s="11">
        <f>IFERROR(__xludf.DUMMYFUNCTION("ROUNDUP(
  (
    SUM(
      INDIRECT(
        ""F""&amp;(ROW()+1)&amp;"":F""&amp;
        IFERROR(
          INDEX(
            FILTER(
              ROW(A:A),
              REGEXMATCH(A:A, ""^[•◆■※⊳]""),
              ROW(A:A) &gt; ROW()
            ),
            1
  "&amp;"        )-1,
          999
        )
      )
    )+
    SUM(
      INDIRECT(
        ""G""&amp;(ROW()+1)&amp;"":G""&amp;
        IFERROR(
          INDEX(
            FILTER(
              ROW(A:A),
              REGEXMATCH(A:A, ""^[•◆■※⊳]""),
              ROW(A:A) "&amp;"&gt; ROW()
            ),
            1
          )-1,
          999
        )
      )
    )
  )/2
)"),32.0)</f>
        <v>32</v>
      </c>
      <c r="H19" s="12" t="s">
        <v>12</v>
      </c>
      <c r="I19" s="13"/>
      <c r="J19" s="10"/>
    </row>
    <row r="20" outlineLevel="1">
      <c r="A20" s="30"/>
      <c r="B20" s="14" t="s">
        <v>52</v>
      </c>
      <c r="C20" s="15" t="s">
        <v>53</v>
      </c>
      <c r="D20" s="15" t="s">
        <v>54</v>
      </c>
      <c r="E20" s="15" t="s">
        <v>55</v>
      </c>
      <c r="F20" s="26">
        <v>12.0</v>
      </c>
      <c r="G20" s="26">
        <v>18.0</v>
      </c>
      <c r="H20" s="30"/>
      <c r="I20" s="18" t="s">
        <v>17</v>
      </c>
      <c r="J20" s="30"/>
    </row>
    <row r="21" outlineLevel="1">
      <c r="A21" s="30"/>
      <c r="B21" s="34" t="s">
        <v>56</v>
      </c>
      <c r="C21" s="15" t="s">
        <v>57</v>
      </c>
      <c r="D21" s="15" t="s">
        <v>58</v>
      </c>
      <c r="E21" s="15" t="s">
        <v>59</v>
      </c>
      <c r="F21" s="26">
        <v>8.0</v>
      </c>
      <c r="G21" s="26">
        <v>10.0</v>
      </c>
      <c r="H21" s="30"/>
      <c r="I21" s="18" t="s">
        <v>17</v>
      </c>
      <c r="J21" s="30"/>
    </row>
    <row r="22" outlineLevel="1">
      <c r="A22" s="30"/>
      <c r="B22" s="14" t="s">
        <v>60</v>
      </c>
      <c r="C22" s="15" t="s">
        <v>61</v>
      </c>
      <c r="D22" s="15" t="s">
        <v>62</v>
      </c>
      <c r="E22" s="15" t="s">
        <v>63</v>
      </c>
      <c r="F22" s="26">
        <v>5.0</v>
      </c>
      <c r="G22" s="26">
        <v>10.0</v>
      </c>
      <c r="H22" s="30"/>
      <c r="I22" s="18" t="s">
        <v>17</v>
      </c>
      <c r="J22" s="30"/>
    </row>
    <row r="23">
      <c r="A23" s="30"/>
      <c r="B23" s="35"/>
      <c r="C23" s="36"/>
      <c r="D23" s="36"/>
      <c r="E23" s="36"/>
      <c r="F23" s="37"/>
      <c r="G23" s="38"/>
      <c r="H23" s="30"/>
      <c r="I23" s="26"/>
      <c r="J23" s="30"/>
    </row>
    <row r="24">
      <c r="A24" s="8" t="s">
        <v>10</v>
      </c>
      <c r="B24" s="9" t="s">
        <v>64</v>
      </c>
      <c r="C24" s="21"/>
      <c r="D24" s="21"/>
      <c r="E24" s="21"/>
      <c r="F24" s="11">
        <f>IFERROR(__xludf.DUMMYFUNCTION("ROUNDUP(
  (
    SUM(
      INDIRECT(
        ""F""&amp;(ROW()+1)&amp;"":F""&amp;
        IFERROR(
          INDEX(
            FILTER(
              ROW(A:A),
              REGEXMATCH(A:A, ""^[•◆■※⊳]""),
              ROW(A:A) &gt; ROW()
            ),
            1
  "&amp;"        )-1,
          999
        )
      )
    )+
    SUM(
      INDIRECT(
        ""G""&amp;(ROW()+1)&amp;"":G""&amp;
        IFERROR(
          INDEX(
            FILTER(
              ROW(A:A),
              REGEXMATCH(A:A, ""^[•◆■※⊳]""),
              ROW(A:A) "&amp;"&gt; ROW()
            ),
            1
          )-1,
          999
        )
      )
    )
  )/2
)"),112.0)</f>
        <v>112</v>
      </c>
      <c r="H24" s="12" t="s">
        <v>65</v>
      </c>
      <c r="I24" s="13"/>
      <c r="J24" s="10"/>
    </row>
    <row r="25" ht="171.0" customHeight="1" outlineLevel="1">
      <c r="A25" s="30"/>
      <c r="B25" s="14" t="s">
        <v>66</v>
      </c>
      <c r="C25" s="15" t="s">
        <v>67</v>
      </c>
      <c r="D25" s="15" t="s">
        <v>68</v>
      </c>
      <c r="E25" s="39" t="s">
        <v>120</v>
      </c>
      <c r="F25" s="25">
        <v>35.0</v>
      </c>
      <c r="G25" s="26">
        <v>50.0</v>
      </c>
      <c r="H25" s="30"/>
      <c r="I25" s="40" t="s">
        <v>70</v>
      </c>
      <c r="J25" s="30"/>
    </row>
    <row r="26" outlineLevel="1">
      <c r="A26" s="30"/>
      <c r="B26" s="14" t="s">
        <v>71</v>
      </c>
      <c r="C26" s="15" t="s">
        <v>72</v>
      </c>
      <c r="D26" s="15" t="s">
        <v>73</v>
      </c>
      <c r="E26" s="15" t="s">
        <v>74</v>
      </c>
      <c r="F26" s="25">
        <v>3.0</v>
      </c>
      <c r="G26" s="26">
        <v>5.0</v>
      </c>
      <c r="H26" s="30"/>
      <c r="I26" s="40" t="s">
        <v>17</v>
      </c>
      <c r="J26" s="30"/>
    </row>
    <row r="27" ht="141.75" customHeight="1" outlineLevel="1">
      <c r="A27" s="30"/>
      <c r="B27" s="14" t="s">
        <v>75</v>
      </c>
      <c r="C27" s="15" t="s">
        <v>76</v>
      </c>
      <c r="D27" s="15" t="s">
        <v>77</v>
      </c>
      <c r="E27" s="41" t="s">
        <v>78</v>
      </c>
      <c r="F27" s="42">
        <v>25.0</v>
      </c>
      <c r="G27" s="16">
        <v>35.0</v>
      </c>
      <c r="H27" s="30"/>
      <c r="I27" s="40" t="s">
        <v>70</v>
      </c>
      <c r="J27" s="30"/>
    </row>
    <row r="28" outlineLevel="1">
      <c r="A28" s="98"/>
      <c r="B28" s="99" t="s">
        <v>121</v>
      </c>
      <c r="C28" s="100" t="s">
        <v>80</v>
      </c>
      <c r="D28" s="100" t="s">
        <v>81</v>
      </c>
      <c r="E28" s="101" t="s">
        <v>82</v>
      </c>
      <c r="F28" s="102">
        <v>30.0</v>
      </c>
      <c r="G28" s="103">
        <v>40.0</v>
      </c>
      <c r="H28" s="98"/>
      <c r="I28" s="104" t="s">
        <v>83</v>
      </c>
      <c r="J28" s="98"/>
    </row>
    <row r="29">
      <c r="A29" s="7"/>
      <c r="B29" s="7"/>
      <c r="C29" s="17"/>
      <c r="D29" s="17"/>
      <c r="E29" s="17"/>
      <c r="F29" s="7"/>
      <c r="G29" s="7"/>
      <c r="H29" s="7"/>
      <c r="I29" s="16"/>
      <c r="J29" s="7"/>
    </row>
    <row r="30">
      <c r="A30" s="43" t="s">
        <v>10</v>
      </c>
      <c r="B30" s="44" t="s">
        <v>122</v>
      </c>
      <c r="C30" s="45"/>
      <c r="D30" s="45"/>
      <c r="E30" s="45"/>
      <c r="F30" s="11">
        <f>IFERROR(__xludf.DUMMYFUNCTION("ROUNDUP(
  (
    SUM(
      INDIRECT(
        ""F""&amp;(ROW()+1)&amp;"":F""&amp;
        IFERROR(
          INDEX(
            FILTER(
              ROW(A:A),
              REGEXMATCH(A:A, ""^[•◆■※⊳]""),
              ROW(A:A) &gt; ROW()
            ),
            1
  "&amp;"        )-1,
          999
        )
      )
    )+
    SUM(
      INDIRECT(
        ""G""&amp;(ROW()+1)&amp;"":G""&amp;
        IFERROR(
          INDEX(
            FILTER(
              ROW(A:A),
              REGEXMATCH(A:A, ""^[•◆■※⊳]""),
              ROW(A:A) "&amp;"&gt; ROW()
            ),
            1
          )-1,
          999
        )
      )
    )
  )/2
)"),30.0)</f>
        <v>30</v>
      </c>
      <c r="H30" s="46" t="s">
        <v>85</v>
      </c>
      <c r="I30" s="47"/>
      <c r="J30" s="48"/>
    </row>
    <row r="31" outlineLevel="1">
      <c r="A31" s="17"/>
      <c r="B31" s="49" t="s">
        <v>86</v>
      </c>
      <c r="C31" s="50" t="s">
        <v>87</v>
      </c>
      <c r="D31" s="50" t="s">
        <v>88</v>
      </c>
      <c r="E31" s="51" t="s">
        <v>89</v>
      </c>
      <c r="F31" s="52">
        <v>8.0</v>
      </c>
      <c r="G31" s="52">
        <v>15.0</v>
      </c>
      <c r="H31" s="17"/>
      <c r="I31" s="18" t="s">
        <v>17</v>
      </c>
      <c r="J31" s="17"/>
    </row>
    <row r="32" outlineLevel="1">
      <c r="A32" s="17"/>
      <c r="B32" s="49" t="s">
        <v>90</v>
      </c>
      <c r="C32" s="50" t="s">
        <v>91</v>
      </c>
      <c r="D32" s="50" t="s">
        <v>92</v>
      </c>
      <c r="E32" s="51" t="s">
        <v>93</v>
      </c>
      <c r="F32" s="52">
        <v>8.0</v>
      </c>
      <c r="G32" s="52">
        <v>12.0</v>
      </c>
      <c r="H32" s="17"/>
      <c r="I32" s="18" t="s">
        <v>17</v>
      </c>
      <c r="J32" s="17"/>
    </row>
    <row r="33" outlineLevel="1">
      <c r="A33" s="17"/>
      <c r="B33" s="49" t="s">
        <v>94</v>
      </c>
      <c r="C33" s="50" t="s">
        <v>95</v>
      </c>
      <c r="D33" s="50" t="s">
        <v>96</v>
      </c>
      <c r="E33" s="51" t="s">
        <v>97</v>
      </c>
      <c r="F33" s="52">
        <v>6.0</v>
      </c>
      <c r="G33" s="52">
        <v>10.0</v>
      </c>
      <c r="H33" s="17"/>
      <c r="I33" s="18" t="s">
        <v>17</v>
      </c>
      <c r="J33" s="17"/>
    </row>
    <row r="34">
      <c r="A34" s="53"/>
      <c r="B34" s="53"/>
      <c r="C34" s="54"/>
      <c r="D34" s="54"/>
      <c r="E34" s="54"/>
      <c r="F34" s="55"/>
      <c r="G34" s="55"/>
      <c r="H34" s="54"/>
      <c r="I34" s="53"/>
      <c r="J34" s="54"/>
    </row>
    <row r="35">
      <c r="A35" s="56" t="s">
        <v>98</v>
      </c>
      <c r="B35" s="9" t="s">
        <v>123</v>
      </c>
      <c r="C35" s="57"/>
      <c r="D35" s="57"/>
      <c r="E35" s="57"/>
      <c r="F35" s="58">
        <f>IFERROR(__xludf.DUMMYFUNCTION("ROUNDUP(
  (
    SUM(
      FILTER(
        INDIRECT(""F4:F"" &amp; ROW()-1),
        LEFT(INDIRECT(""A4:A"" &amp; ROW()-1),1)=""•""
      )
    )
  ) * 
  Details!C12
)"),59.0)</f>
        <v>59</v>
      </c>
      <c r="H35" s="57"/>
      <c r="I35" s="56" t="s">
        <v>100</v>
      </c>
      <c r="J35" s="57"/>
    </row>
    <row r="36" ht="29.25" customHeight="1" outlineLevel="1">
      <c r="A36" s="17"/>
      <c r="B36" s="59" t="s">
        <v>101</v>
      </c>
      <c r="C36" s="50" t="s">
        <v>102</v>
      </c>
      <c r="D36" s="50" t="s">
        <v>103</v>
      </c>
      <c r="E36" s="50" t="s">
        <v>104</v>
      </c>
      <c r="F36" s="17"/>
      <c r="G36" s="17"/>
      <c r="H36" s="17"/>
      <c r="I36" s="28"/>
      <c r="J36" s="17"/>
    </row>
    <row r="37" ht="29.25" customHeight="1" outlineLevel="1">
      <c r="A37" s="17"/>
      <c r="B37" s="60" t="s">
        <v>105</v>
      </c>
      <c r="F37" s="17"/>
      <c r="G37" s="61"/>
      <c r="H37" s="17"/>
      <c r="I37" s="28"/>
      <c r="J37" s="17"/>
    </row>
    <row r="38" ht="29.25" customHeight="1" outlineLevel="1">
      <c r="A38" s="17"/>
      <c r="B38" s="62" t="s">
        <v>106</v>
      </c>
      <c r="F38" s="61"/>
      <c r="G38" s="61"/>
      <c r="H38" s="17"/>
      <c r="I38" s="28"/>
      <c r="J38" s="17"/>
    </row>
    <row r="39">
      <c r="A39" s="17"/>
      <c r="B39" s="17"/>
      <c r="C39" s="17"/>
      <c r="D39" s="63"/>
      <c r="E39" s="17"/>
      <c r="F39" s="17"/>
      <c r="G39" s="17"/>
      <c r="H39" s="17"/>
      <c r="I39" s="28"/>
      <c r="J39" s="17"/>
    </row>
    <row r="40">
      <c r="A40" s="8" t="s">
        <v>107</v>
      </c>
      <c r="B40" s="9" t="s">
        <v>108</v>
      </c>
      <c r="C40" s="21"/>
      <c r="D40" s="21"/>
      <c r="E40" s="21"/>
      <c r="F40" s="64">
        <f>Details!C18*Details!C19</f>
        <v>180</v>
      </c>
      <c r="H40" s="21"/>
      <c r="I40" s="65"/>
      <c r="J40" s="21"/>
    </row>
    <row r="41" ht="54.75" customHeight="1" outlineLevel="1">
      <c r="A41" s="17"/>
      <c r="B41" s="66" t="s">
        <v>108</v>
      </c>
      <c r="C41" s="50" t="s">
        <v>109</v>
      </c>
      <c r="D41" s="17"/>
      <c r="E41" s="67"/>
      <c r="F41" s="68" t="s">
        <v>110</v>
      </c>
      <c r="G41" s="52">
        <f>Details!C18</f>
        <v>30</v>
      </c>
      <c r="H41" s="17"/>
      <c r="I41" s="18"/>
      <c r="J41" s="17"/>
    </row>
    <row r="42" ht="54.75" customHeight="1" outlineLevel="1">
      <c r="A42" s="17"/>
      <c r="B42" s="66"/>
      <c r="C42" s="50"/>
      <c r="D42" s="17"/>
      <c r="E42" s="67"/>
      <c r="F42" s="68" t="s">
        <v>111</v>
      </c>
      <c r="G42" s="52">
        <f>Details!C19</f>
        <v>6</v>
      </c>
      <c r="H42" s="17"/>
      <c r="I42" s="18"/>
      <c r="J42" s="17"/>
    </row>
    <row r="43">
      <c r="A43" s="17"/>
      <c r="B43" s="17"/>
      <c r="C43" s="17"/>
      <c r="D43" s="17"/>
      <c r="E43" s="17"/>
      <c r="F43" s="17"/>
      <c r="G43" s="17"/>
      <c r="H43" s="17"/>
      <c r="I43" s="69"/>
      <c r="J43" s="17"/>
    </row>
    <row r="44">
      <c r="A44" s="17"/>
      <c r="B44" s="17"/>
      <c r="C44" s="17"/>
      <c r="D44" s="17"/>
      <c r="E44" s="17"/>
      <c r="F44" s="17"/>
      <c r="G44" s="17"/>
      <c r="H44" s="17"/>
      <c r="I44" s="69"/>
      <c r="J44" s="17"/>
    </row>
    <row r="45" ht="23.25" customHeight="1">
      <c r="A45" s="70" t="s">
        <v>112</v>
      </c>
      <c r="B45" s="67"/>
      <c r="C45" s="17"/>
      <c r="D45" s="17"/>
      <c r="E45" s="71" t="s">
        <v>113</v>
      </c>
      <c r="F45" s="72">
        <f>SUMIFS(F:F, A:A, "*•*") + SUMIFS(F:F, A:A, "*◆*") + SUMIFS(F:F, A:A, "*■*")</f>
        <v>533</v>
      </c>
      <c r="G45" s="73"/>
      <c r="H45" s="74" t="s">
        <v>114</v>
      </c>
      <c r="I45" s="75">
        <f t="array" ref="I45">INDIRECT("Details!G26")</f>
        <v>457.2</v>
      </c>
      <c r="J45" s="76"/>
    </row>
    <row r="46" ht="23.25" customHeight="1">
      <c r="A46" s="70"/>
      <c r="B46" s="67"/>
      <c r="C46" s="17"/>
      <c r="D46" s="17"/>
      <c r="E46" s="77"/>
      <c r="F46" s="78"/>
      <c r="G46" s="78"/>
      <c r="H46" s="79" t="s">
        <v>115</v>
      </c>
      <c r="I46" s="80">
        <f t="array" ref="I46">INDIRECT("Details!H26")</f>
        <v>604.8</v>
      </c>
      <c r="J46" s="76"/>
    </row>
    <row r="47" ht="46.5" customHeight="1">
      <c r="A47" s="70" t="s">
        <v>116</v>
      </c>
      <c r="B47" s="67"/>
      <c r="C47" s="67"/>
      <c r="D47" s="67"/>
      <c r="E47" s="81" t="s">
        <v>117</v>
      </c>
      <c r="F47" s="82">
        <f>IFERROR(__xludf.DUMMYFUNCTION("ARRAYFORMULA(
  SUM(
    IF(
      REGEXMATCH(INDIRECT(""A4:A"" &amp; MATCH(""※"",A:A,0)-1), ""^[•◆■]""),
      INDIRECT(""F4:F"" &amp; MATCH(""※"",A:A,0)-1) * 
      IF(
        REGEXMATCH(INDIRECT(""A4:A"" &amp; MATCH(""※"",A:A,0)-1), ""^[•◆]""),
        Details!$C"&amp;"$11,
        IF(
          REGEXMATCH(INDIRECT(""A4:A"" &amp; MATCH(""※"",A:A,0)-1), ""^■""),
          Details!$C$17,
          0
        )
      ),
      0
    )
  )
)"),126085.0)</f>
        <v>126085</v>
      </c>
      <c r="G47" s="83"/>
      <c r="H47" s="84"/>
      <c r="I47" s="85"/>
      <c r="J47" s="76"/>
    </row>
    <row r="48">
      <c r="A48" s="67"/>
      <c r="B48" s="86"/>
      <c r="C48" s="67"/>
      <c r="D48" s="67"/>
      <c r="E48" s="87"/>
      <c r="F48" s="88"/>
      <c r="G48" s="88"/>
      <c r="H48" s="89"/>
      <c r="I48" s="28"/>
      <c r="J48" s="17"/>
    </row>
    <row r="49" ht="46.5" customHeight="1">
      <c r="A49" s="90" t="s">
        <v>118</v>
      </c>
      <c r="B49" s="91" t="s">
        <v>119</v>
      </c>
      <c r="C49" s="92"/>
      <c r="D49" s="92"/>
      <c r="E49" s="93"/>
      <c r="F49" s="94"/>
      <c r="G49" s="94"/>
      <c r="H49" s="95"/>
      <c r="I49" s="96"/>
      <c r="J49" s="97"/>
    </row>
  </sheetData>
  <mergeCells count="19">
    <mergeCell ref="A1:B1"/>
    <mergeCell ref="C1:E1"/>
    <mergeCell ref="F1:J1"/>
    <mergeCell ref="B3:D3"/>
    <mergeCell ref="E3:J3"/>
    <mergeCell ref="F4:G4"/>
    <mergeCell ref="F8:G8"/>
    <mergeCell ref="F35:G35"/>
    <mergeCell ref="F40:G40"/>
    <mergeCell ref="E45:E46"/>
    <mergeCell ref="F45:G46"/>
    <mergeCell ref="F47:G47"/>
    <mergeCell ref="F15:G15"/>
    <mergeCell ref="F19:G19"/>
    <mergeCell ref="F24:G24"/>
    <mergeCell ref="F30:G30"/>
    <mergeCell ref="C36:C38"/>
    <mergeCell ref="D36:D38"/>
    <mergeCell ref="E36:E38"/>
  </mergeCells>
  <dataValidations>
    <dataValidation type="list" allowBlank="1" showErrorMessage="1" sqref="H4 H8 H15 H19 H24 H30">
      <formula1>"High,Standard,Low"</formula1>
    </dataValidation>
    <dataValidation type="list" allowBlank="1" showErrorMessage="1" sqref="I5:I6 I9:I13 I16:I17 I20:I22 I25:I28 I31:I33 I35">
      <formula1>"Consulting,Development,Project Management,Solutions Engineering,Strategy"</formula1>
    </dataValidation>
  </dataValidations>
  <hyperlinks>
    <hyperlink r:id="rId1" ref="E25"/>
  </hyperlinks>
  <printOptions gridLines="1" horizontalCentered="1"/>
  <pageMargins bottom="0.75" footer="0.0" header="0.0" left="0.25" right="0.25" top="0.75"/>
  <pageSetup fitToHeight="0" cellComments="atEnd" orientation="landscape" pageOrder="overThenDown"/>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29.5"/>
    <col customWidth="1" min="3" max="4" width="17.63"/>
    <col customWidth="1" min="5" max="5" width="5.75"/>
    <col customWidth="1" min="6" max="6" width="36.5"/>
    <col customWidth="1" min="9" max="9" width="6.0"/>
  </cols>
  <sheetData>
    <row r="1" ht="54.0" customHeight="1">
      <c r="A1" s="1"/>
      <c r="B1" s="1"/>
      <c r="D1" s="2" t="s">
        <v>124</v>
      </c>
      <c r="G1" s="105" t="s">
        <v>125</v>
      </c>
      <c r="H1" s="3"/>
      <c r="I1" s="3"/>
    </row>
    <row r="2">
      <c r="A2" s="8" t="s">
        <v>10</v>
      </c>
      <c r="B2" s="106" t="s">
        <v>126</v>
      </c>
      <c r="C2" s="107"/>
      <c r="D2" s="108"/>
      <c r="E2" s="109"/>
      <c r="F2" s="110" t="s">
        <v>127</v>
      </c>
      <c r="G2" s="111"/>
      <c r="H2" s="112"/>
      <c r="I2" s="112"/>
    </row>
    <row r="3">
      <c r="A3" s="113"/>
      <c r="B3" s="114" t="s">
        <v>128</v>
      </c>
      <c r="C3" s="115" t="s">
        <v>0</v>
      </c>
      <c r="D3" s="116"/>
      <c r="E3" s="117"/>
      <c r="F3" s="113" t="s">
        <v>129</v>
      </c>
      <c r="G3" s="118"/>
      <c r="H3" s="117"/>
      <c r="I3" s="119"/>
    </row>
    <row r="4">
      <c r="A4" s="113"/>
      <c r="B4" s="114" t="s">
        <v>130</v>
      </c>
      <c r="C4" s="120">
        <v>3.8399950765E10</v>
      </c>
      <c r="D4" s="121"/>
      <c r="E4" s="117"/>
      <c r="F4" s="113" t="s">
        <v>131</v>
      </c>
      <c r="G4" s="122"/>
      <c r="H4" s="117"/>
      <c r="I4" s="119"/>
    </row>
    <row r="5">
      <c r="A5" s="113"/>
      <c r="B5" s="114" t="s">
        <v>132</v>
      </c>
      <c r="C5" s="123">
        <v>45784.32094907408</v>
      </c>
      <c r="D5" s="121"/>
      <c r="E5" s="117"/>
      <c r="F5" s="113" t="s">
        <v>133</v>
      </c>
      <c r="G5" s="124"/>
      <c r="H5" s="117"/>
      <c r="I5" s="119"/>
    </row>
    <row r="6">
      <c r="A6" s="113"/>
      <c r="B6" s="114" t="s">
        <v>134</v>
      </c>
      <c r="C6" s="125"/>
      <c r="D6" s="121" t="s">
        <v>135</v>
      </c>
      <c r="E6" s="120"/>
      <c r="F6" s="113" t="s">
        <v>136</v>
      </c>
      <c r="G6" s="126"/>
      <c r="H6" s="117"/>
      <c r="I6" s="119"/>
    </row>
    <row r="7">
      <c r="A7" s="113"/>
      <c r="B7" s="114" t="s">
        <v>137</v>
      </c>
      <c r="C7" s="125" t="s">
        <v>138</v>
      </c>
      <c r="D7" s="121" t="s">
        <v>139</v>
      </c>
      <c r="E7" s="120"/>
      <c r="H7" s="127"/>
      <c r="I7" s="127"/>
    </row>
    <row r="8">
      <c r="A8" s="113"/>
      <c r="B8" s="114"/>
      <c r="C8" s="128"/>
      <c r="D8" s="116"/>
      <c r="E8" s="117"/>
      <c r="F8" s="129"/>
      <c r="G8" s="127"/>
      <c r="H8" s="127"/>
      <c r="I8" s="127"/>
    </row>
    <row r="9">
      <c r="A9" s="110"/>
      <c r="B9" s="130" t="s">
        <v>140</v>
      </c>
      <c r="C9" s="109"/>
      <c r="D9" s="131"/>
      <c r="E9" s="132"/>
      <c r="F9" s="133"/>
      <c r="G9" s="134"/>
      <c r="H9" s="135"/>
      <c r="I9" s="135"/>
    </row>
    <row r="10">
      <c r="A10" s="113"/>
      <c r="B10" s="136" t="s">
        <v>141</v>
      </c>
      <c r="C10" s="137"/>
      <c r="D10" s="138"/>
      <c r="E10" s="117"/>
      <c r="F10" s="139"/>
      <c r="G10" s="118"/>
      <c r="H10" s="117"/>
      <c r="I10" s="117"/>
    </row>
    <row r="11">
      <c r="A11" s="113"/>
      <c r="B11" s="114" t="s">
        <v>142</v>
      </c>
      <c r="C11" s="125">
        <v>245.0</v>
      </c>
      <c r="D11" s="121" t="s">
        <v>143</v>
      </c>
      <c r="E11" s="117"/>
      <c r="F11" s="139"/>
      <c r="G11" s="118"/>
      <c r="H11" s="117"/>
      <c r="I11" s="117"/>
    </row>
    <row r="12">
      <c r="A12" s="113"/>
      <c r="B12" s="114" t="s">
        <v>144</v>
      </c>
      <c r="C12" s="140">
        <v>0.2</v>
      </c>
      <c r="D12" s="116"/>
      <c r="E12" s="132"/>
      <c r="F12" s="139"/>
      <c r="G12" s="118"/>
      <c r="H12" s="117"/>
      <c r="I12" s="117"/>
    </row>
    <row r="13">
      <c r="A13" s="113"/>
      <c r="B13" s="141" t="s">
        <v>145</v>
      </c>
      <c r="C13" s="142">
        <v>45817.0</v>
      </c>
      <c r="D13" s="116"/>
      <c r="E13" s="117"/>
      <c r="F13" s="139"/>
      <c r="G13" s="118"/>
      <c r="H13" s="117"/>
      <c r="I13" s="117"/>
    </row>
    <row r="14">
      <c r="A14" s="143"/>
      <c r="B14" s="141" t="s">
        <v>146</v>
      </c>
      <c r="C14" s="144">
        <v>5.0</v>
      </c>
      <c r="D14" s="121" t="s">
        <v>147</v>
      </c>
      <c r="E14" s="117"/>
      <c r="F14" s="139"/>
      <c r="G14" s="118"/>
      <c r="H14" s="117"/>
      <c r="I14" s="117"/>
    </row>
    <row r="15">
      <c r="A15" s="143"/>
      <c r="B15" s="114"/>
      <c r="C15" s="125"/>
      <c r="D15" s="116"/>
      <c r="E15" s="117"/>
      <c r="F15" s="139"/>
      <c r="G15" s="145"/>
      <c r="H15" s="117"/>
      <c r="I15" s="117"/>
    </row>
    <row r="16">
      <c r="A16" s="113"/>
      <c r="B16" s="136" t="s">
        <v>148</v>
      </c>
      <c r="C16" s="146"/>
      <c r="D16" s="138"/>
      <c r="E16" s="117"/>
      <c r="F16" s="139"/>
      <c r="G16" s="118"/>
      <c r="H16" s="117"/>
      <c r="I16" s="117"/>
    </row>
    <row r="17">
      <c r="A17" s="143"/>
      <c r="B17" s="114" t="s">
        <v>149</v>
      </c>
      <c r="C17" s="125">
        <v>220.0</v>
      </c>
      <c r="D17" s="121" t="s">
        <v>150</v>
      </c>
      <c r="E17" s="117"/>
      <c r="F17" s="139"/>
      <c r="G17" s="118"/>
      <c r="H17" s="117"/>
      <c r="I17" s="117"/>
    </row>
    <row r="18">
      <c r="A18" s="143"/>
      <c r="B18" s="141" t="s">
        <v>151</v>
      </c>
      <c r="C18" s="144">
        <v>30.0</v>
      </c>
      <c r="D18" s="121" t="s">
        <v>152</v>
      </c>
      <c r="E18" s="117"/>
      <c r="F18" s="139"/>
      <c r="G18" s="118"/>
      <c r="H18" s="117"/>
      <c r="I18" s="117"/>
    </row>
    <row r="19">
      <c r="A19" s="143"/>
      <c r="B19" s="141" t="s">
        <v>153</v>
      </c>
      <c r="C19" s="144">
        <v>6.0</v>
      </c>
      <c r="D19" s="121" t="s">
        <v>154</v>
      </c>
      <c r="E19" s="117"/>
      <c r="F19" s="139"/>
      <c r="G19" s="118"/>
      <c r="H19" s="117"/>
      <c r="I19" s="117"/>
    </row>
    <row r="20">
      <c r="A20" s="143"/>
      <c r="B20" s="147"/>
      <c r="C20" s="148"/>
      <c r="D20" s="149"/>
      <c r="E20" s="117"/>
      <c r="F20" s="139"/>
      <c r="G20" s="118"/>
      <c r="H20" s="117"/>
      <c r="I20" s="117"/>
    </row>
    <row r="21">
      <c r="A21" s="143"/>
      <c r="B21" s="143"/>
      <c r="C21" s="144"/>
      <c r="D21" s="150"/>
      <c r="E21" s="117"/>
      <c r="F21" s="117"/>
      <c r="G21" s="118"/>
      <c r="H21" s="117"/>
      <c r="I21" s="117"/>
    </row>
    <row r="22">
      <c r="A22" s="151"/>
      <c r="B22" s="151" t="s">
        <v>155</v>
      </c>
      <c r="C22" s="152"/>
      <c r="D22" s="153"/>
      <c r="E22" s="154"/>
      <c r="F22" s="151" t="s">
        <v>156</v>
      </c>
      <c r="G22" s="155" t="s">
        <v>157</v>
      </c>
      <c r="H22" s="156" t="s">
        <v>158</v>
      </c>
      <c r="I22" s="156"/>
    </row>
    <row r="23">
      <c r="A23" s="143"/>
      <c r="B23" s="143" t="s">
        <v>159</v>
      </c>
      <c r="C23" s="157">
        <f t="array" ref="C23">INDEX(Overview!F:G, MATCH("⚑", Overview!A:A, 0), 1)</f>
        <v>126085</v>
      </c>
      <c r="D23" s="158" t="s">
        <v>160</v>
      </c>
      <c r="E23" s="117"/>
      <c r="F23" s="113" t="s">
        <v>161</v>
      </c>
      <c r="G23" s="159">
        <f>IFERROR(__xludf.DUMMYFUNCTION("ARRAYFORMULA(
  SUMIFS(
    Overview!F:F, 
    Overview!F:F, ""&gt;0"",
    Overview!A:A, ""&lt;&gt;•*"",
    Overview!A:A, ""&lt;&gt;◆*"",
    ROW(Overview!A:A), ""&gt;""&amp;MIN(IF(REGEXMATCH(Overview!A:A,""^•""),ROW(Overview!A:A))),
    ROW(Overview!A:A), ""&lt;""&amp;MIN(IF(REGEX"&amp;"MATCH(Overview!A:A,""^※|^◆""),ROW(Overview!A:A),99999))
  )
)"),231.0)</f>
        <v>231</v>
      </c>
      <c r="H23" s="119">
        <f>IFERROR(__xludf.DUMMYFUNCTION("ARRAYFORMULA(
  SUMIFS(
    Overview!G:G, 
    Overview!G:G, ""&gt;0"",
    Overview!A:A, ""&lt;&gt;•*"",
    Overview!A:A, ""&lt;&gt;◆*"",
    ROW(Overview!A:A), ""&gt;""&amp;MIN(IF(REGEXMATCH(Overview!A:A,""^•""),ROW(Overview!A:A))),
    ROW(Overview!A:A), ""&lt;""&amp;MIN(IF(REGEX"&amp;"MATCH(Overview!A:A,""^◆""),ROW(Overview!A:A),99999))
  )
)"),354.0)</f>
        <v>354</v>
      </c>
      <c r="I23" s="119"/>
    </row>
    <row r="24">
      <c r="A24" s="143"/>
      <c r="B24" s="143" t="s">
        <v>162</v>
      </c>
      <c r="C24" s="144">
        <f>SUMIFS(Overview!F:F, Overview!A:A, "*•*") + SUMIFS(Overview!F:F, Overview!A:A, "*◆*") + SUMIFS(Overview!F:F, Overview!A:A, "*■*")</f>
        <v>533</v>
      </c>
      <c r="D24" s="158" t="s">
        <v>163</v>
      </c>
      <c r="E24" s="117"/>
      <c r="F24" s="113" t="s">
        <v>164</v>
      </c>
      <c r="G24" s="159">
        <f>G23 * C12</f>
        <v>46.2</v>
      </c>
      <c r="H24" s="119">
        <f>H23 * C12</f>
        <v>70.8</v>
      </c>
      <c r="I24" s="119"/>
    </row>
    <row r="25">
      <c r="A25" s="143"/>
      <c r="B25" s="143" t="s">
        <v>165</v>
      </c>
      <c r="C25" s="119">
        <f>SUMIFS(Overview!F:F, Overview!A:A, "*•*") + SUMIFS(Overview!F:F, Overview!A:A, "*◆*")</f>
        <v>353</v>
      </c>
      <c r="D25" s="158" t="s">
        <v>166</v>
      </c>
      <c r="E25" s="117"/>
      <c r="F25" s="113" t="s">
        <v>167</v>
      </c>
      <c r="G25" s="159">
        <f t="array" ref="G25">INDEX(Overview!F:G, MATCH("■*", Overview!A:A, 0), 1)</f>
        <v>180</v>
      </c>
      <c r="H25" s="119">
        <f t="array" ref="H25">INDEX(Overview!F:G, MATCH("■*", Overview!A:A, 0), 1)</f>
        <v>180</v>
      </c>
      <c r="I25" s="119"/>
    </row>
    <row r="26">
      <c r="A26" s="143"/>
      <c r="B26" s="143" t="s">
        <v>168</v>
      </c>
      <c r="C26" s="119">
        <f>SUMIFS(Overview!F:F, Overview!A:A, "*■*")</f>
        <v>180</v>
      </c>
      <c r="D26" s="150"/>
      <c r="E26" s="117"/>
      <c r="F26" s="113" t="s">
        <v>169</v>
      </c>
      <c r="G26" s="159">
        <f t="shared" ref="G26:H26" si="1">SUM(G23:G25)</f>
        <v>457.2</v>
      </c>
      <c r="H26" s="119">
        <f t="shared" si="1"/>
        <v>604.8</v>
      </c>
      <c r="I26" s="119"/>
    </row>
    <row r="27">
      <c r="A27" s="143"/>
      <c r="B27" s="143" t="s">
        <v>170</v>
      </c>
      <c r="C27" s="160">
        <f>EDATE(C13, C14)</f>
        <v>45970</v>
      </c>
      <c r="D27" s="150"/>
      <c r="E27" s="117"/>
      <c r="F27" s="113" t="s">
        <v>171</v>
      </c>
      <c r="G27" s="161">
        <f>G26*C11</f>
        <v>112014</v>
      </c>
      <c r="H27" s="162">
        <f>H26*C11</f>
        <v>148176</v>
      </c>
      <c r="I27" s="119"/>
    </row>
    <row r="28">
      <c r="A28" s="163"/>
      <c r="B28" s="143" t="s">
        <v>172</v>
      </c>
      <c r="C28" s="119">
        <f>roundup(C25/C14,0)</f>
        <v>71</v>
      </c>
      <c r="D28" s="150"/>
      <c r="E28" s="117"/>
      <c r="F28" s="117"/>
      <c r="G28" s="117"/>
      <c r="H28" s="117"/>
      <c r="I28" s="119"/>
    </row>
    <row r="29">
      <c r="A29" s="164"/>
      <c r="B29" s="143" t="s">
        <v>173</v>
      </c>
      <c r="C29" s="119">
        <f>roundup(C28/4.3,0)</f>
        <v>17</v>
      </c>
      <c r="D29" s="150"/>
      <c r="E29" s="117"/>
      <c r="F29" s="113" t="s">
        <v>174</v>
      </c>
      <c r="G29" s="165">
        <f>SUMIFS(Overview!F:F, Overview!A:A, "*•*") + SUMIFS(Overview!F:F, Overview!A:A, "*◆*") + SUMIFS(Overview!F:F, Overview!A:A, "*■*")</f>
        <v>533</v>
      </c>
      <c r="I29" s="119"/>
    </row>
    <row r="30">
      <c r="A30" s="143"/>
      <c r="B30" s="143" t="s">
        <v>175</v>
      </c>
      <c r="C30" s="119">
        <f>C29*1.2</f>
        <v>20.4</v>
      </c>
      <c r="D30" s="158"/>
      <c r="E30" s="117"/>
      <c r="F30" s="113" t="s">
        <v>176</v>
      </c>
      <c r="G30" s="166">
        <f t="array" ref="G30">INDEX(Overview!F:G, MATCH("⚑", Overview!A:A, 0), 1)</f>
        <v>126085</v>
      </c>
      <c r="I30" s="117"/>
    </row>
    <row r="31">
      <c r="A31" s="143"/>
      <c r="B31" s="143" t="s">
        <v>177</v>
      </c>
      <c r="C31" s="119">
        <f>C29*0.5</f>
        <v>8.5</v>
      </c>
      <c r="D31" s="158"/>
      <c r="E31" s="117"/>
      <c r="F31" s="120"/>
      <c r="G31" s="120"/>
      <c r="H31" s="117"/>
      <c r="I31" s="117"/>
    </row>
    <row r="32">
      <c r="A32" s="117"/>
      <c r="B32" s="143" t="s">
        <v>178</v>
      </c>
      <c r="C32" s="167">
        <f>C39/C44</f>
        <v>0.09957325747</v>
      </c>
      <c r="D32" s="158" t="s">
        <v>179</v>
      </c>
      <c r="E32" s="117"/>
      <c r="F32" s="117"/>
      <c r="G32" s="118"/>
      <c r="H32" s="117"/>
      <c r="I32" s="117"/>
    </row>
    <row r="33">
      <c r="A33" s="117"/>
      <c r="B33" s="143" t="s">
        <v>180</v>
      </c>
      <c r="C33" s="167">
        <f>C41/C44</f>
        <v>0.2062588905</v>
      </c>
      <c r="D33" s="158" t="s">
        <v>181</v>
      </c>
      <c r="E33" s="117"/>
      <c r="F33" s="117"/>
      <c r="G33" s="118"/>
      <c r="H33" s="117"/>
      <c r="I33" s="117"/>
    </row>
    <row r="34">
      <c r="A34" s="117"/>
      <c r="B34" s="117"/>
      <c r="C34" s="117"/>
      <c r="D34" s="117"/>
      <c r="E34" s="117"/>
      <c r="F34" s="117"/>
      <c r="G34" s="118"/>
      <c r="H34" s="117"/>
      <c r="I34" s="117"/>
    </row>
    <row r="35">
      <c r="A35" s="117"/>
      <c r="B35" s="117"/>
      <c r="C35" s="117"/>
      <c r="D35" s="117"/>
      <c r="E35" s="117"/>
      <c r="F35" s="117"/>
      <c r="G35" s="118"/>
      <c r="H35" s="117"/>
      <c r="I35" s="117"/>
    </row>
    <row r="36">
      <c r="A36" s="168" t="s">
        <v>112</v>
      </c>
      <c r="B36" s="169" t="s">
        <v>182</v>
      </c>
      <c r="C36" s="170"/>
      <c r="D36" s="170"/>
      <c r="E36" s="132"/>
      <c r="F36" s="169" t="s">
        <v>183</v>
      </c>
      <c r="G36" s="171"/>
      <c r="H36" s="170"/>
      <c r="I36" s="170"/>
    </row>
    <row r="37">
      <c r="A37" s="172"/>
      <c r="B37" s="172" t="str">
        <f>IFERROR(__xludf.DUMMYFUNCTION("LET(
  square_row, MATCH(""■"", Overview!A:A, 0) - 1,
  valid_range, SEQUENCE(square_row),
  raw_calcs, QUERY(
    ARRAYFORMULA({
      IF(INDIRECT(""Overview!I1:I""&amp;square_row) = """", ""Unassigned"", INDIRECT(""Overview!I1:I""&amp;square_row)),
      IF(
  "&amp;"      REGEXMATCH(INDIRECT(""Overview!A1:A""&amp;square_row), ""•""),
        0,
        IF(
          REGEXMATCH(INDIRECT(""Overview!A1:A""&amp;square_row), ""◆""),
          INDIRECT(""Overview!F1:F""&amp;square_row),
          (INDIRECT(""Overview!F1:F""&amp;square_row"&amp;") + INDIRECT(""Overview!G1:G""&amp;square_row))/2
        )
      )
    }),
    ""select Col1, sum(Col2) 
     where Col1 is not null 
     and Col2 is not null 
     group by Col1 
     label Col1 'Function', sum(Col2) 'Hours'"",
    0
  ),
  functions, {""F"&amp;"unction"", ""Hours""; 
              ""Consulting"", IFERROR(VLOOKUP(""Consulting"", raw_calcs, 2, FALSE), 0);
              ""Development"", IFERROR(VLOOKUP(""Development"", raw_calcs, 2, FALSE), 0);
              ""Project Management"", IFERROR(VLOOKUP("&amp;"""Project Management"", raw_calcs, 2, FALSE), 0);
              ""Solutions Engineering"", IFERROR(VLOOKUP(""Solutions Engineering"", raw_calcs, 2, FALSE), 0);
              ""Strategy"", IFERROR(VLOOKUP(""Strategy"", raw_calcs, 2, FALSE), 0);
           "&amp;"   ""Unassigned"", IFERROR(VLOOKUP(""Unassigned"", raw_calcs, 2, FALSE), 0)},
  functions
)"),"Function")</f>
        <v>Function</v>
      </c>
      <c r="C37" s="173" t="str">
        <f>IFERROR(__xludf.DUMMYFUNCTION("""COMPUTED_VALUE"""),"Hours")</f>
        <v>Hours</v>
      </c>
      <c r="D37" s="174" t="s">
        <v>184</v>
      </c>
      <c r="E37" s="117"/>
      <c r="F37" s="118" t="str">
        <f>IFERROR(__xludf.DUMMYFUNCTION("QUERY(
  Overview!A4:F58, 
  ""select B, F where (A = '•' or A = '◆' or A = '■') and B is not null""
)"),"Data Improvements")</f>
        <v>Data Improvements</v>
      </c>
      <c r="G37" s="175">
        <f>IFERROR(__xludf.DUMMYFUNCTION("""COMPUTED_VALUE"""),25.0)</f>
        <v>25</v>
      </c>
      <c r="H37" s="117"/>
      <c r="I37" s="117"/>
    </row>
    <row r="38">
      <c r="A38" s="176"/>
      <c r="B38" s="176" t="str">
        <f>IFERROR(__xludf.DUMMYFUNCTION("""COMPUTED_VALUE"""),"Consulting")</f>
        <v>Consulting</v>
      </c>
      <c r="C38" s="177">
        <f>IFERROR(__xludf.DUMMYFUNCTION("""COMPUTED_VALUE"""),185.0)</f>
        <v>185</v>
      </c>
      <c r="D38" s="140">
        <f t="shared" ref="D38:D43" si="2">C38/$C$44</f>
        <v>0.5263157895</v>
      </c>
      <c r="E38" s="117"/>
      <c r="F38" s="118" t="str">
        <f>IFERROR(__xludf.DUMMYFUNCTION("""COMPUTED_VALUE"""),"Marketing Optimization")</f>
        <v>Marketing Optimization</v>
      </c>
      <c r="G38" s="175">
        <f>IFERROR(__xludf.DUMMYFUNCTION("""COMPUTED_VALUE"""),79.0)</f>
        <v>79</v>
      </c>
      <c r="H38" s="117"/>
      <c r="I38" s="117"/>
    </row>
    <row r="39">
      <c r="A39" s="176"/>
      <c r="B39" s="176" t="str">
        <f>IFERROR(__xludf.DUMMYFUNCTION("""COMPUTED_VALUE"""),"Development")</f>
        <v>Development</v>
      </c>
      <c r="C39" s="177">
        <f>IFERROR(__xludf.DUMMYFUNCTION("""COMPUTED_VALUE"""),35.0)</f>
        <v>35</v>
      </c>
      <c r="D39" s="140">
        <f t="shared" si="2"/>
        <v>0.09957325747</v>
      </c>
      <c r="E39" s="117"/>
      <c r="F39" s="118" t="str">
        <f>IFERROR(__xludf.DUMMYFUNCTION("""COMPUTED_VALUE"""),"Sales Process Optimization")</f>
        <v>Sales Process Optimization</v>
      </c>
      <c r="G39" s="175">
        <f>IFERROR(__xludf.DUMMYFUNCTION("""COMPUTED_VALUE"""),16.0)</f>
        <v>16</v>
      </c>
      <c r="H39" s="117"/>
      <c r="I39" s="117"/>
    </row>
    <row r="40">
      <c r="A40" s="176"/>
      <c r="B40" s="176" t="str">
        <f>IFERROR(__xludf.DUMMYFUNCTION("""COMPUTED_VALUE"""),"Project Management")</f>
        <v>Project Management</v>
      </c>
      <c r="C40" s="177">
        <f>IFERROR(__xludf.DUMMYFUNCTION("""COMPUTED_VALUE"""),59.0)</f>
        <v>59</v>
      </c>
      <c r="D40" s="140">
        <f t="shared" si="2"/>
        <v>0.1678520626</v>
      </c>
      <c r="E40" s="117"/>
      <c r="F40" s="118" t="str">
        <f>IFERROR(__xludf.DUMMYFUNCTION("""COMPUTED_VALUE"""),"HubSpot AI Agents &amp; Enrichments")</f>
        <v>HubSpot AI Agents &amp; Enrichments</v>
      </c>
      <c r="G40" s="175">
        <f>IFERROR(__xludf.DUMMYFUNCTION("""COMPUTED_VALUE"""),32.0)</f>
        <v>32</v>
      </c>
      <c r="H40" s="117"/>
      <c r="I40" s="117"/>
    </row>
    <row r="41">
      <c r="A41" s="176"/>
      <c r="B41" s="176" t="str">
        <f>IFERROR(__xludf.DUMMYFUNCTION("""COMPUTED_VALUE"""),"Solutions Engineering")</f>
        <v>Solutions Engineering</v>
      </c>
      <c r="C41" s="177">
        <f>IFERROR(__xludf.DUMMYFUNCTION("""COMPUTED_VALUE"""),72.5)</f>
        <v>72.5</v>
      </c>
      <c r="D41" s="140">
        <f t="shared" si="2"/>
        <v>0.2062588905</v>
      </c>
      <c r="E41" s="117"/>
      <c r="F41" s="118" t="str">
        <f>IFERROR(__xludf.DUMMYFUNCTION("""COMPUTED_VALUE"""),"Systems Integration")</f>
        <v>Systems Integration</v>
      </c>
      <c r="G41" s="175">
        <f>IFERROR(__xludf.DUMMYFUNCTION("""COMPUTED_VALUE"""),112.0)</f>
        <v>112</v>
      </c>
      <c r="H41" s="117"/>
      <c r="I41" s="117"/>
    </row>
    <row r="42">
      <c r="A42" s="176"/>
      <c r="B42" s="176" t="str">
        <f>IFERROR(__xludf.DUMMYFUNCTION("""COMPUTED_VALUE"""),"Strategy")</f>
        <v>Strategy</v>
      </c>
      <c r="C42" s="177">
        <f>IFERROR(__xludf.DUMMYFUNCTION("""COMPUTED_VALUE"""),0.0)</f>
        <v>0</v>
      </c>
      <c r="D42" s="140">
        <f t="shared" si="2"/>
        <v>0</v>
      </c>
      <c r="E42" s="117"/>
      <c r="F42" s="118" t="str">
        <f>IFERROR(__xludf.DUMMYFUNCTION("""COMPUTED_VALUE"""),"Training &amp; Documentation: Enable team success")</f>
        <v>Training &amp; Documentation: Enable team success</v>
      </c>
      <c r="G42" s="175">
        <f>IFERROR(__xludf.DUMMYFUNCTION("""COMPUTED_VALUE"""),30.0)</f>
        <v>30</v>
      </c>
      <c r="H42" s="117"/>
      <c r="I42" s="117"/>
    </row>
    <row r="43">
      <c r="A43" s="176"/>
      <c r="B43" s="176" t="str">
        <f>IFERROR(__xludf.DUMMYFUNCTION("""COMPUTED_VALUE"""),"Unassigned")</f>
        <v>Unassigned</v>
      </c>
      <c r="C43" s="177">
        <f>IFERROR(__xludf.DUMMYFUNCTION("""COMPUTED_VALUE"""),0.0)</f>
        <v>0</v>
      </c>
      <c r="D43" s="140">
        <f t="shared" si="2"/>
        <v>0</v>
      </c>
      <c r="E43" s="117"/>
      <c r="F43" s="118" t="str">
        <f>IFERROR(__xludf.DUMMYFUNCTION("""COMPUTED_VALUE"""),"Project Management + Strategy: Support this phase with transparency and regular progress reports")</f>
        <v>Project Management + Strategy: Support this phase with transparency and regular progress reports</v>
      </c>
      <c r="G43" s="175">
        <f>IFERROR(__xludf.DUMMYFUNCTION("""COMPUTED_VALUE"""),59.0)</f>
        <v>59</v>
      </c>
      <c r="H43" s="117"/>
      <c r="I43" s="117"/>
    </row>
    <row r="44">
      <c r="A44" s="113"/>
      <c r="B44" s="113" t="s">
        <v>185</v>
      </c>
      <c r="C44" s="177">
        <f>sum(C38:C43)</f>
        <v>351.5</v>
      </c>
      <c r="D44" s="167">
        <f>SUM(D38:D43)</f>
        <v>1</v>
      </c>
      <c r="E44" s="117"/>
      <c r="F44" s="118" t="str">
        <f>IFERROR(__xludf.DUMMYFUNCTION("""COMPUTED_VALUE"""),"NEXT Post-Launch Support")</f>
        <v>NEXT Post-Launch Support</v>
      </c>
      <c r="G44" s="175">
        <f>IFERROR(__xludf.DUMMYFUNCTION("""COMPUTED_VALUE"""),180.0)</f>
        <v>180</v>
      </c>
      <c r="H44" s="117"/>
      <c r="I44" s="117"/>
    </row>
    <row r="45">
      <c r="A45" s="117"/>
      <c r="B45" s="117"/>
      <c r="C45" s="178"/>
      <c r="D45" s="117"/>
      <c r="E45" s="117"/>
      <c r="F45" s="118"/>
      <c r="G45" s="118"/>
      <c r="H45" s="117"/>
      <c r="I45" s="117"/>
    </row>
    <row r="46">
      <c r="A46" s="117"/>
      <c r="B46" s="117"/>
      <c r="C46" s="178"/>
      <c r="D46" s="117"/>
      <c r="E46" s="117"/>
      <c r="F46" s="117"/>
      <c r="G46" s="118"/>
      <c r="H46" s="117"/>
      <c r="I46" s="117"/>
    </row>
    <row r="47">
      <c r="A47" s="179"/>
      <c r="B47" s="179"/>
      <c r="C47" s="180"/>
      <c r="D47" s="117"/>
      <c r="E47" s="117"/>
      <c r="F47" s="117"/>
      <c r="G47" s="118"/>
      <c r="H47" s="117"/>
      <c r="I47" s="117"/>
    </row>
    <row r="48">
      <c r="A48" s="117"/>
      <c r="B48" s="117"/>
      <c r="C48" s="117"/>
      <c r="D48" s="117"/>
      <c r="E48" s="117"/>
      <c r="F48" s="117"/>
      <c r="G48" s="118"/>
      <c r="H48" s="117"/>
      <c r="I48" s="117"/>
    </row>
    <row r="49">
      <c r="A49" s="117"/>
      <c r="B49" s="117"/>
      <c r="C49" s="117"/>
      <c r="D49" s="117"/>
      <c r="E49" s="117"/>
      <c r="F49" s="117"/>
      <c r="G49" s="118"/>
      <c r="H49" s="117"/>
      <c r="I49" s="117"/>
    </row>
    <row r="50">
      <c r="A50" s="117"/>
      <c r="B50" s="117"/>
      <c r="C50" s="117"/>
      <c r="D50" s="117"/>
      <c r="E50" s="117"/>
      <c r="F50" s="117"/>
      <c r="G50" s="118"/>
      <c r="H50" s="117"/>
      <c r="I50" s="117"/>
    </row>
    <row r="51">
      <c r="A51" s="117"/>
      <c r="B51" s="117"/>
      <c r="C51" s="117"/>
      <c r="D51" s="117"/>
      <c r="E51" s="117"/>
      <c r="F51" s="117"/>
      <c r="G51" s="118"/>
      <c r="H51" s="117"/>
      <c r="I51" s="117"/>
    </row>
    <row r="52">
      <c r="A52" s="181"/>
      <c r="B52" s="181"/>
      <c r="C52" s="182"/>
      <c r="D52" s="183"/>
      <c r="E52" s="117"/>
      <c r="F52" s="184"/>
      <c r="G52" s="118"/>
      <c r="H52" s="117"/>
      <c r="I52" s="117"/>
    </row>
    <row r="53">
      <c r="A53" s="163"/>
      <c r="B53" s="163"/>
      <c r="C53" s="185"/>
      <c r="D53" s="186"/>
      <c r="E53" s="117"/>
      <c r="F53" s="117"/>
      <c r="G53" s="118"/>
      <c r="H53" s="117"/>
      <c r="I53" s="117"/>
    </row>
    <row r="54">
      <c r="A54" s="163"/>
      <c r="B54" s="163"/>
      <c r="C54" s="185"/>
      <c r="D54" s="186"/>
      <c r="E54" s="117"/>
      <c r="F54" s="117"/>
      <c r="G54" s="118"/>
      <c r="H54" s="117"/>
      <c r="I54" s="117"/>
    </row>
    <row r="55">
      <c r="A55" s="163"/>
      <c r="B55" s="163"/>
      <c r="C55" s="185"/>
      <c r="D55" s="186"/>
      <c r="E55" s="117"/>
      <c r="F55" s="117"/>
      <c r="G55" s="118"/>
      <c r="H55" s="117"/>
      <c r="I55" s="117"/>
    </row>
    <row r="56">
      <c r="A56" s="163"/>
      <c r="B56" s="163"/>
      <c r="C56" s="185"/>
      <c r="D56" s="186"/>
      <c r="E56" s="117"/>
      <c r="F56" s="117"/>
      <c r="G56" s="118"/>
      <c r="H56" s="117"/>
      <c r="I56" s="117"/>
    </row>
    <row r="57">
      <c r="A57" s="163"/>
      <c r="B57" s="163"/>
      <c r="C57" s="185"/>
      <c r="D57" s="186"/>
      <c r="E57" s="117"/>
      <c r="F57" s="117"/>
      <c r="G57" s="118"/>
      <c r="H57" s="117"/>
      <c r="I57" s="117"/>
    </row>
    <row r="58">
      <c r="E58" s="117"/>
      <c r="F58" s="117"/>
      <c r="G58" s="118"/>
      <c r="H58" s="117"/>
      <c r="I58" s="117"/>
    </row>
  </sheetData>
  <mergeCells count="4">
    <mergeCell ref="B1:C1"/>
    <mergeCell ref="D1:F1"/>
    <mergeCell ref="G29:H29"/>
    <mergeCell ref="G30:H30"/>
  </mergeCells>
  <dataValidations>
    <dataValidation type="list" allowBlank="1" showErrorMessage="1" sqref="C6:C7">
      <formula1>"Yes,No"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 customWidth="1" min="2" max="2" width="46.88"/>
    <col customWidth="1" min="3" max="3" width="34.5"/>
    <col customWidth="1" min="4" max="4" width="31.63"/>
  </cols>
  <sheetData>
    <row r="1">
      <c r="A1" s="1"/>
      <c r="B1" s="2" t="s">
        <v>0</v>
      </c>
      <c r="E1" s="3"/>
    </row>
    <row r="2">
      <c r="A2" s="5" t="s">
        <v>1</v>
      </c>
      <c r="B2" s="6" t="s">
        <v>2</v>
      </c>
      <c r="C2" s="6" t="s">
        <v>3</v>
      </c>
      <c r="D2" s="5" t="s">
        <v>4</v>
      </c>
      <c r="E2" s="6" t="s">
        <v>5</v>
      </c>
      <c r="F2" s="6" t="s">
        <v>6</v>
      </c>
      <c r="G2" s="5" t="s">
        <v>7</v>
      </c>
      <c r="H2" s="5" t="s">
        <v>8</v>
      </c>
      <c r="I2" s="5" t="s">
        <v>9</v>
      </c>
    </row>
    <row r="3">
      <c r="A3" s="7"/>
      <c r="D3" s="7"/>
    </row>
    <row r="4">
      <c r="A4" s="187" t="s">
        <v>186</v>
      </c>
      <c r="B4" s="188" t="s">
        <v>187</v>
      </c>
      <c r="C4" s="184" t="s">
        <v>188</v>
      </c>
      <c r="D4" s="184" t="s">
        <v>189</v>
      </c>
      <c r="E4" s="18">
        <v>4.0</v>
      </c>
      <c r="F4" s="18">
        <v>6.0</v>
      </c>
      <c r="G4" s="17"/>
      <c r="H4" s="18" t="s">
        <v>17</v>
      </c>
      <c r="I4" s="7"/>
    </row>
    <row r="5">
      <c r="A5" s="187" t="s">
        <v>190</v>
      </c>
      <c r="B5" s="189" t="s">
        <v>191</v>
      </c>
      <c r="C5" s="190" t="s">
        <v>192</v>
      </c>
      <c r="D5" s="184" t="s">
        <v>193</v>
      </c>
      <c r="E5" s="18">
        <v>9.0</v>
      </c>
      <c r="F5" s="18">
        <v>11.0</v>
      </c>
      <c r="G5" s="17"/>
      <c r="H5" s="18" t="s">
        <v>17</v>
      </c>
    </row>
  </sheetData>
  <mergeCells count="4">
    <mergeCell ref="B1:D1"/>
    <mergeCell ref="E1:I1"/>
    <mergeCell ref="A3:C3"/>
    <mergeCell ref="D3:I3"/>
  </mergeCells>
  <dataValidations>
    <dataValidation type="list" allowBlank="1" showErrorMessage="1" sqref="H4:H5">
      <formula1>"Consulting,Development,Project Management,Solutions Engineering,Strategy"</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25"/>
    <col customWidth="1" min="2" max="2" width="46.88"/>
    <col customWidth="1" min="3" max="3" width="34.5"/>
    <col customWidth="1" min="4" max="4" width="31.63"/>
  </cols>
  <sheetData>
    <row r="1">
      <c r="A1" s="1"/>
      <c r="B1" s="2" t="s">
        <v>0</v>
      </c>
      <c r="E1" s="3"/>
    </row>
    <row r="2">
      <c r="A2" s="5" t="s">
        <v>1</v>
      </c>
      <c r="B2" s="6" t="s">
        <v>2</v>
      </c>
      <c r="C2" s="6" t="s">
        <v>3</v>
      </c>
      <c r="D2" s="5" t="s">
        <v>4</v>
      </c>
      <c r="E2" s="6" t="s">
        <v>5</v>
      </c>
      <c r="F2" s="6" t="s">
        <v>6</v>
      </c>
      <c r="G2" s="5" t="s">
        <v>7</v>
      </c>
      <c r="H2" s="5" t="s">
        <v>8</v>
      </c>
      <c r="I2" s="5" t="s">
        <v>9</v>
      </c>
    </row>
    <row r="3">
      <c r="A3" s="7"/>
      <c r="D3" s="7"/>
    </row>
    <row r="4">
      <c r="A4" s="187" t="s">
        <v>194</v>
      </c>
      <c r="B4" s="41" t="s">
        <v>195</v>
      </c>
      <c r="C4" s="41" t="s">
        <v>196</v>
      </c>
      <c r="D4" s="41" t="s">
        <v>197</v>
      </c>
      <c r="E4" s="18">
        <v>18.0</v>
      </c>
      <c r="F4" s="18">
        <v>22.0</v>
      </c>
      <c r="G4" s="17"/>
      <c r="H4" s="18" t="s">
        <v>17</v>
      </c>
      <c r="I4" s="7"/>
    </row>
    <row r="5">
      <c r="A5" s="187"/>
      <c r="B5" s="189"/>
      <c r="C5" s="190"/>
      <c r="D5" s="184"/>
      <c r="E5" s="18"/>
      <c r="F5" s="18"/>
      <c r="G5" s="17"/>
      <c r="H5" s="18" t="s">
        <v>17</v>
      </c>
    </row>
  </sheetData>
  <mergeCells count="4">
    <mergeCell ref="B1:D1"/>
    <mergeCell ref="E1:I1"/>
    <mergeCell ref="A3:C3"/>
    <mergeCell ref="D3:I3"/>
  </mergeCells>
  <dataValidations>
    <dataValidation type="list" allowBlank="1" showErrorMessage="1" sqref="H4:H5">
      <formula1>"Consulting,Development,Project Management,Solutions Engineering,Strategy"</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4.63"/>
    <col customWidth="1" min="2" max="10" width="20.75"/>
  </cols>
  <sheetData>
    <row r="1" ht="52.5" customHeight="1">
      <c r="A1" s="95"/>
      <c r="B1" s="95" t="s">
        <v>198</v>
      </c>
      <c r="C1" s="2"/>
      <c r="D1" s="2"/>
      <c r="E1" s="2"/>
      <c r="F1" s="95"/>
      <c r="G1" s="95"/>
      <c r="H1" s="95"/>
      <c r="I1" s="95"/>
      <c r="J1" s="95"/>
    </row>
    <row r="2">
      <c r="B2" s="191"/>
    </row>
    <row r="4">
      <c r="A4" s="192" t="s">
        <v>10</v>
      </c>
      <c r="B4" s="110" t="s">
        <v>199</v>
      </c>
      <c r="C4" s="193"/>
      <c r="D4" s="193"/>
      <c r="E4" s="193"/>
      <c r="F4" s="194">
        <f>IFERROR(__xludf.DUMMYFUNCTION("ROUNDUP(
  (
    SUM(
      INDIRECT(
        ""F""&amp;(ROW()+1)&amp;"":F""&amp;
        IFERROR(
          INDEX(
            FILTER(
              ROW(A:A),
              REGEXMATCH(A:A, ""^[•◆■※⊳]""),
              ROW(A:A) &gt; ROW()
            ),
            1
  "&amp;"        )-1,
          999
        )
      )
    )+
    SUM(
      INDIRECT(
        ""G""&amp;(ROW()+1)&amp;"":G""&amp;
        IFERROR(
          INDEX(
            FILTER(
              ROW(A:A),
              REGEXMATCH(A:A, ""^[•◆■※⊳]""),
              ROW(A:A) "&amp;"&gt; ROW()
            ),
            1
          )-1,
          999
        )
      )
    )
  )/2
)"),23.0)</f>
        <v>23</v>
      </c>
      <c r="H4" s="195" t="s">
        <v>85</v>
      </c>
      <c r="I4" s="196"/>
      <c r="J4" s="196"/>
    </row>
    <row r="5" outlineLevel="1">
      <c r="A5" s="197"/>
      <c r="B5" s="198" t="s">
        <v>200</v>
      </c>
      <c r="C5" s="184" t="s">
        <v>200</v>
      </c>
      <c r="D5" s="184" t="s">
        <v>200</v>
      </c>
      <c r="E5" s="184" t="s">
        <v>200</v>
      </c>
      <c r="F5" s="144">
        <v>5.0</v>
      </c>
      <c r="G5" s="144">
        <v>10.0</v>
      </c>
      <c r="H5" s="197"/>
      <c r="I5" s="199"/>
      <c r="J5" s="197"/>
    </row>
    <row r="6" outlineLevel="1">
      <c r="A6" s="197"/>
      <c r="B6" s="198" t="s">
        <v>200</v>
      </c>
      <c r="C6" s="184" t="s">
        <v>200</v>
      </c>
      <c r="D6" s="184" t="s">
        <v>200</v>
      </c>
      <c r="E6" s="184" t="s">
        <v>200</v>
      </c>
      <c r="F6" s="144">
        <v>5.0</v>
      </c>
      <c r="G6" s="144">
        <v>10.0</v>
      </c>
      <c r="H6" s="197"/>
      <c r="I6" s="199"/>
      <c r="J6" s="197"/>
    </row>
    <row r="7" outlineLevel="1">
      <c r="A7" s="197"/>
      <c r="B7" s="198" t="s">
        <v>200</v>
      </c>
      <c r="C7" s="184" t="s">
        <v>200</v>
      </c>
      <c r="D7" s="184" t="s">
        <v>200</v>
      </c>
      <c r="E7" s="184" t="s">
        <v>200</v>
      </c>
      <c r="F7" s="144">
        <v>5.0</v>
      </c>
      <c r="G7" s="144">
        <v>10.0</v>
      </c>
      <c r="H7" s="197"/>
      <c r="I7" s="199"/>
      <c r="J7" s="197"/>
    </row>
    <row r="8">
      <c r="I8" s="119"/>
    </row>
    <row r="12">
      <c r="A12" s="112" t="s">
        <v>201</v>
      </c>
      <c r="B12" s="110" t="s">
        <v>202</v>
      </c>
      <c r="C12" s="200"/>
      <c r="D12" s="200"/>
      <c r="E12" s="200"/>
      <c r="F12" s="112">
        <f>IFERROR(__xludf.DUMMYFUNCTION("ROUNDUP(
  (
    SUM(
      INDIRECT(
        ""F""&amp;(ROW()+1)&amp;"":F""&amp;
        IFERROR(
          INDEX(
            FILTER(
              ROW(A:A),
              REGEXMATCH(A:A, ""^[•◆■※⊳]""),
              ROW(A:A) &gt; ROW()
            ),
            1
  "&amp;"        )-1,
          999
        )
      )
    )+
    SUM(
      INDIRECT(
        ""G""&amp;(ROW()+1)&amp;"":G""&amp;
        IFERROR(
          INDEX(
            FILTER(
              ROW(A:A),
              REGEXMATCH(A:A, ""^[•◆■※⊳]""),
              ROW(A:A) "&amp;"&gt; ROW()
            ),
            1
          )-1,
          999
        )
      )
    )
  )/2
)"),30.0)</f>
        <v>30</v>
      </c>
      <c r="H12" s="201" t="s">
        <v>85</v>
      </c>
      <c r="I12" s="202"/>
      <c r="J12" s="203"/>
    </row>
    <row r="13" outlineLevel="1">
      <c r="A13" s="204"/>
      <c r="B13" s="198" t="s">
        <v>200</v>
      </c>
      <c r="C13" s="184" t="s">
        <v>200</v>
      </c>
      <c r="D13" s="184" t="s">
        <v>200</v>
      </c>
      <c r="E13" s="184" t="s">
        <v>200</v>
      </c>
      <c r="F13" s="144">
        <v>10.0</v>
      </c>
      <c r="G13" s="144">
        <v>10.0</v>
      </c>
      <c r="H13" s="204"/>
      <c r="I13" s="199"/>
      <c r="J13" s="204"/>
    </row>
    <row r="14" outlineLevel="1">
      <c r="A14" s="204"/>
      <c r="B14" s="198" t="s">
        <v>200</v>
      </c>
      <c r="C14" s="184" t="s">
        <v>200</v>
      </c>
      <c r="D14" s="184" t="s">
        <v>200</v>
      </c>
      <c r="E14" s="184" t="s">
        <v>200</v>
      </c>
      <c r="F14" s="144">
        <v>10.0</v>
      </c>
      <c r="G14" s="144">
        <v>10.0</v>
      </c>
      <c r="H14" s="204"/>
      <c r="I14" s="199"/>
      <c r="J14" s="204"/>
    </row>
    <row r="15" outlineLevel="1">
      <c r="A15" s="204"/>
      <c r="B15" s="198" t="s">
        <v>200</v>
      </c>
      <c r="C15" s="184" t="s">
        <v>200</v>
      </c>
      <c r="D15" s="184" t="s">
        <v>200</v>
      </c>
      <c r="E15" s="184" t="s">
        <v>200</v>
      </c>
      <c r="F15" s="144">
        <v>10.0</v>
      </c>
      <c r="G15" s="144">
        <v>10.0</v>
      </c>
      <c r="H15" s="204"/>
      <c r="I15" s="199"/>
      <c r="J15" s="204"/>
    </row>
    <row r="16">
      <c r="A16" s="67"/>
      <c r="B16" s="67"/>
      <c r="C16" s="67"/>
      <c r="D16" s="67"/>
      <c r="E16" s="87"/>
      <c r="F16" s="88"/>
      <c r="G16" s="88"/>
      <c r="H16" s="89"/>
      <c r="I16" s="165"/>
      <c r="J16" s="17"/>
    </row>
  </sheetData>
  <mergeCells count="2">
    <mergeCell ref="F4:G4"/>
    <mergeCell ref="F12:G12"/>
  </mergeCells>
  <dataValidations>
    <dataValidation type="list" allowBlank="1" showErrorMessage="1" sqref="H4 H12">
      <formula1>"High,Standard,Low"</formula1>
    </dataValidation>
    <dataValidation type="list" allowBlank="1" showErrorMessage="1" sqref="I5:I7">
      <formula1>"Consulting,Development,Project Management,Solutions Engineering,Strategy"</formula1>
    </dataValidation>
  </dataValidations>
  <drawing r:id="rId1"/>
</worksheet>
</file>