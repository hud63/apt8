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1" sheetId="1" r:id="rId4"/>
    <sheet state="hidden" name="Phase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delete
	-Matt Cannizzo
----
move to top section
	-Matt Cannizzo</t>
      </text>
    </comment>
  </commentList>
</comments>
</file>

<file path=xl/sharedStrings.xml><?xml version="1.0" encoding="utf-8"?>
<sst xmlns="http://schemas.openxmlformats.org/spreadsheetml/2006/main" count="191" uniqueCount="123">
  <si>
    <t>Greenix</t>
  </si>
  <si>
    <t xml:space="preserve">Master Customer Story </t>
  </si>
  <si>
    <t>Greenix aims to adopt HubSpot to empower their team by integrating it with their Field Service Management Software, FieldRoutes. This initiative will be executed in phases to ensure a seamless transition and deliver maximum value to all stakeholders.
Phase 1 will focus on enabling the marketing team to gain actionable insights into customer behavior, such as understanding "who purchased what and when." This foundational phase will support advanced segmentation of marketing lists based on key criteria such as: Prospects vs. Customers and Subscription types vs. Single Purchases. 
With these capabilities, the marketing team can execute hyper-targeted campaigns, retargeting efforts, and transactional reminders, including appointment notifications, post-appointment feedback surveys, welcome series, and more.</t>
  </si>
  <si>
    <t>Workstream</t>
  </si>
  <si>
    <t>Customer Story</t>
  </si>
  <si>
    <t>Suggested Path</t>
  </si>
  <si>
    <t>Assumptions</t>
  </si>
  <si>
    <t>Low Hours</t>
  </si>
  <si>
    <t>High Hours</t>
  </si>
  <si>
    <t>Potential 
Variance</t>
  </si>
  <si>
    <t>Project Phase</t>
  </si>
  <si>
    <t>POC</t>
  </si>
  <si>
    <t>.</t>
  </si>
  <si>
    <t>Requirements &amp; Solutioning Workshops</t>
  </si>
  <si>
    <t>Standard</t>
  </si>
  <si>
    <t>NOW</t>
  </si>
  <si>
    <t>Confirm Requirements</t>
  </si>
  <si>
    <t>Greenix needs Aptitude 8 to confirm requirements for the integration to prepare for adequate solutioning.</t>
  </si>
  <si>
    <t xml:space="preserve">
Use the docs created from the Solutions Engineering SOW as baseline to inform requirements confirmation workshops.</t>
  </si>
  <si>
    <t>- Aptitude 8 will run discovery workshops to confirm requirements such as frequency of sync, object mappings, integration preferences, etc.</t>
  </si>
  <si>
    <t>Define the Solution</t>
  </si>
  <si>
    <t>Greenix requires Aptitude 8's expertise to design and map a robust integration infrastructure. The solution must be scalable, ensuring seamless handoff and easy management post go-live.</t>
  </si>
  <si>
    <t>Walk Greenix through their integration method options, discuss trade-offs to each approach, and outline compute/storage costs</t>
  </si>
  <si>
    <t>- A Decision Log will be created as the authoritative source for tracking decisions.
- The following deliverables will be finalized during this step: 
Infrastructure Diagram and Data Flow Map 
- Aptitude 8 assumes Greenix is an Azure shop and therefore Azure products will be used. If not, Aptitude 8 will layout alternative options to help Greenix understand what might be best for them long term.</t>
  </si>
  <si>
    <t>Create The Project Plan</t>
  </si>
  <si>
    <t>Greenix needs Aptitude 8's expertise to craft a comprehensive project strategy and define a well-structured migration plan. This ensures timelines are met, the project is in budget, and success criteria are clearly established and agreed upon.</t>
  </si>
  <si>
    <t>Aptitude 8 will develop a Gantt chart with specified dependencies to outline the project timeline and ensure clarity on key milestones. The project plan will be finalized in ClickUp, allowing both parties to agree on the approach and ensure alignment. Additionally, Aptitude 8 will facilitate a structured exercise to define the scope of data migration, establish system cutoff dates, map data, plan delta migrations, and clarify responsibilities for both parties. This approach will ensure accurate and successful data migration while maintaining alignment throughout the project lifecycle.</t>
  </si>
  <si>
    <t>- The final project plan will be created and agreed upon in ClickUp.
- Aptitude 8 will create a detailed Migration Plan.
- Migration will occur via a backfill through the integration after it has been built, tested, and deployed.</t>
  </si>
  <si>
    <t>Integration Requirements Document</t>
  </si>
  <si>
    <t>Aptitude 8 will summarize all requirements, solutions, and all other relevant integration details in one document for Greenix approval before getting started.</t>
  </si>
  <si>
    <t>Complete Aptitude 8's Integrations Requirements Document for Greenix sign-off.</t>
  </si>
  <si>
    <r>
      <rPr>
        <rFont val="Arial"/>
      </rPr>
      <t xml:space="preserve">- Aptitude 8 will allocate up to 5 hours on this example deliverable: </t>
    </r>
    <r>
      <rPr>
        <rFont val="Arial"/>
        <color rgb="FF1155CC"/>
        <u/>
      </rPr>
      <t>Example Doc</t>
    </r>
  </si>
  <si>
    <t>HubSpot Implementation - Data Model and Settings</t>
  </si>
  <si>
    <t>Implement Data Model</t>
  </si>
  <si>
    <t>Greenix would like to streamline operations, improve reporting, and align marketing and sales activities effectivel within HubSpot.</t>
  </si>
  <si>
    <t>Use the data model produced in the Requirements &amp; Solutioning phase as truth for what new objects, fields, and association labels need to exist.</t>
  </si>
  <si>
    <t>- This is an execution task defined by the Requirements &amp; Solutioning deliverables
- Focus will be on building properties
- HubSpot Objects: Contact, Company, Deal, Product Catalog, and Engagements, and up to 2 Custom Objects
- Create up to 50 custom properties associated with Contacts
- Create up to 50 custom properties associated with Deals
- Create up to 15 custom properties associated with Products
- Setup the required Data Structure for Appointments to map into Engagements</t>
  </si>
  <si>
    <t>Customize Record Layouts</t>
  </si>
  <si>
    <t>Greenix wants to show the right information to the right people at the right time on the right object so their users can have a simpler process to follow in their portal.</t>
  </si>
  <si>
    <t>Use the wire frames produced in the Requirements &amp; Solutioning phase (example diagram) as truth for what record customization needs to exist.</t>
  </si>
  <si>
    <t>- Up to 1 conditional property sections across any object
- Basic standard property section modifications (re-ordering of properties) for all standard objects
- Includes left, middle, and right panel customizations
- Up to 3 custom CRM cards
- No custom coded CRM cards</t>
  </si>
  <si>
    <t>System Integration - FieldRoutes</t>
  </si>
  <si>
    <t>High</t>
  </si>
  <si>
    <t>Push FieldRoutes Contacts to HubSpot</t>
  </si>
  <si>
    <t>The Greenix marketing team needs the FieldRoutes account to pass customer data to HubSpot because this enables accurate task execution and effective communication, driving business success.</t>
  </si>
  <si>
    <t>Aptitude 8 will assist in creating a unified customer data platform in HubSpot that combines FieldRoutes data with marketing analytics and feedback loops to optimize campaigns. This approach ensures personalized, multi-channel communication and delivers better business outcomes.</t>
  </si>
  <si>
    <t>- Contact sync will include up to 100 properties
- The integration method assumed is custom: azure web services. Example: use a server + Azure Functions to manage this direction of sync
- Aptitude 8 requires Greenix provides the appropriate access to create the integration infrastructure
- Aptitude 8 builds and hands off the integration with "how-it-works" docs
- Aptitude 8 assumes they have access to the API and backend of FieldRoutes. If access is not granted, Greenix will likely need to take on more work to enable accurate Aptitude 8 testing. In addition, more project management hours and advisory hours will be required to manage the constraint. 
- Greenix will help configure the webhooks within FieldRoutes for the required data triggers listed on the Decision Log artifact.
- Up to 3 associations to other objects</t>
  </si>
  <si>
    <t>Push FieldRoutes Deals to HubSpot</t>
  </si>
  <si>
    <t>The Greenix marketing team needs FieldRoutes to pass subscription data to HubSpot because this allows them to understand their customers based on previous and current subscriptions, expired subscriptions, canceled services, and single purchases.</t>
  </si>
  <si>
    <t>Aptitude 8 will implement a one-way integration to pass subscription data from FieldRoutes to HubSpot, enabling the marketing team to segment customers based on subscription status and history. This allows for targeted campaigns that drive re-engagement and retention.</t>
  </si>
  <si>
    <t>- Deal sync will include up to 100 properties
- The integration method assumed is custom: azure web services. Example: use a server + Azure Functions to manage this direction of sync
- Aptitude 8 requires Greenix provides the appropriate access to create the integration infrastructure
- Aptitude 8 builds and hands off the integration with "how-it-works" docs
- Aptitude 8 assumes they have access to the API and backend of FieldRoutes. If access is not granted, Greenix will likely need to take on more work to enable accurate Aptitude 8 testing. In addition, more project management hours and advisory hours will be required to manage the constraint. 
- Greenix will help configure the webhooks within FieldRoutes for the required data triggers listed on the Decision Log artifact.
- Up to 3 associations to other objects</t>
  </si>
  <si>
    <t>Push FieldRoutes Product Catalog to HubSpot</t>
  </si>
  <si>
    <t>The Greenix marketing team needs FieldRoutes to sync products to HubSpot because this allows them to understand the performance of their offerings and target customers based on their purchase history.</t>
  </si>
  <si>
    <t xml:space="preserve">Aptitude 8 will sync products from FieldRoutes to generate insights into product performance and target customers based on purchase history. This enables timely, personalized messaging and helps refine marketing strategies to boost sales, customer retention, and build reports on product performance and how conversions relate to sales and marketing efforts. </t>
  </si>
  <si>
    <t xml:space="preserve">- Product catalog sync will include up to 100 line items
- Up to 20 properties available for the line items
- The integration method assumed is custom: azure web services. Example: use a server + Azure Functions to manage this direction of sync
- Aptitude 8 requires Greenix provides the appropriate access to create the integration infrastructure
- Aptitude 8 builds and hands off the integration with "how-it-works" docs
- Aptitude 8 assumes they have access to the API and backend of FieldRoutes. If access is not granted, Greenix will likely need to take on more work to enable accurate Aptitude 8 testing. In addition, more project management hours and advisory hours will be required to manage the constraint. 
- Greenix will help configure the webhooks within FieldRoutes for the required data triggers listed on the Decision Log artifact.
</t>
  </si>
  <si>
    <t>Push FieldRoutes Appointments to HubSpot's Engagements</t>
  </si>
  <si>
    <t>The Greenix team requires appointment data from FieldRoutes to sync with HubSpot's Engagements. This ensures knowledge of the appointments within HubSpot for seamless follow-ups and improved customer interactions; driving operational efficiency and customer satisfaction.</t>
  </si>
  <si>
    <t>Aptitude 8 will build a one-way integration to sync appointment data from FieldRoutes into HubSpot’s Engagements. This integration will enable the Greenix team to track, manage, and optimize appointment-related interactions within HubSpot, ensuring alignment between teams and better customer engagement.</t>
  </si>
  <si>
    <t>- Appointment sync will include up to 5 basic properties - appointment type, appointment result, date, time, and contact who completed the appointment. 
- The integration method will be custom, utilizing Azure Web Services (e.g., a server + Azure Functions) to manage the data sync.
- Greenix must provide the necessary access to create the integration infrastructure.
- Aptitude 8 will develop and deliver the integration, along with “how-it-works” documentation for future management.
- Aptitude 8 assumes full API and backend access to FieldRoutes. If this access is not granted, Greenix may need to take on additional work to support testing and implementation. This may also result in increased project management and advisory hours.
- Greenix will configure webhooks within FieldRoutes to enable the required data triggers, as outlined in the Decision Log artifact.
- Engagements are associated to Contacts &amp; Deals
- If engagements do not satisy requirements, a change order will result.</t>
  </si>
  <si>
    <t>User Aceptance Testing</t>
  </si>
  <si>
    <t>The Greenix team needs to thoroughly test the integration because this ensures functionality, performance, and user experience meet the desired outcomes based on the Solution Design engagement.</t>
  </si>
  <si>
    <t xml:space="preserve">Both teams will test all facets of the integration to ensure there are no issues, prior to "going live" and deploying the integration into production. </t>
  </si>
  <si>
    <t>- Aptitude 8 will do internal testing prior to handing off to Greenix.
- Aptitude 8 to provide integration documentation for the Greenix team to leverage while testing and familiarizing themselves with the functionality</t>
  </si>
  <si>
    <t>Sync Historicals via FieldRoutes Integration</t>
  </si>
  <si>
    <t>Execute Record Migration</t>
  </si>
  <si>
    <t>Greenix team needs to migrate current contacts, deals (subscriptions), products, and appointments from FieldRoutes so they can begin using HubSpot for desired communication.</t>
  </si>
  <si>
    <t xml:space="preserve">Backfill information from the desired objects into HubSpot via FieldRoute's API. </t>
  </si>
  <si>
    <t>- Up to 70,000 contacts
- Up to 1 million deal records (subscriptions)
- Up to 100 products in the product catalog
- Up to 1 million engagements (appointments)
- No historical marketing activity (email analytics, campaign analytics) or invoices are included in the backfill
- No documents are included in the migration</t>
  </si>
  <si>
    <t>Training &amp; Documentation</t>
  </si>
  <si>
    <t>HubSpot Training</t>
  </si>
  <si>
    <t>The Greenix team needs to be fully trained on HubSpot’s features and functionalities to maximize their usage of the platform. This will empower their team to execute tasks effectively and independently post-implementation.</t>
  </si>
  <si>
    <t>Aptitude 8 will conduct tailored training sessions focusing on the key areas of HubSpot, including CRM management, workflows, reporting, and marketing tools. The training will be customized to address Greenix’s specific needs and ensure proficiency across all relevant HubSpot modules.</t>
  </si>
  <si>
    <t>- Training will cover up to 5 key HubSpot areas, as determined during project scoping.
- Training sessions will be conducted virtually unless otherwise requested.
- Aptitude 8 will provide supporting training materials, including user guides and recorded sessions for future reference.
- Greenix will identify the team members to be trained and ensure their availability for scheduled sessions.
- Training hours assume minimal customization of HubSpot post-implementation. Additional sessions may be needed for further customizations or advanced features.</t>
  </si>
  <si>
    <t>Integration Training Documentation</t>
  </si>
  <si>
    <t>The Greenix team requires training on how to manage and maintain the integrations between FieldRoutes and HubSpot to ensure smooth operations and troubleshooting capabilities post-implementation.</t>
  </si>
  <si>
    <t>Aptitude 8 will provide a comprehensive overview of the integration infrastructure, including how data flows between systems, and error management. The training will equip the Greenix team to manage the integrations confidently and ensure ongoing functionality.</t>
  </si>
  <si>
    <t>- Training will include an in-depth walkthrough of the integration's architecture, key data flows, and troubleshooting steps.
- Aptitude 8 will deliver “how-it-works” documentation as a reference guide for managing integrations.
- Sessions will be conducted virtually, with Greenix team members responsible for attending and identifying follow-up questions or needs.
- Greenix must ensure access to relevant systems during training for live demonstrations.
- The training assumes no significant changes to the integration setup post-deployment. Additional sessions may be required for updates or modifications.</t>
  </si>
  <si>
    <t>Estimated Implementation Subtotals</t>
  </si>
  <si>
    <t>Project Management</t>
  </si>
  <si>
    <t>Project Kickoff &amp; Closeout</t>
  </si>
  <si>
    <t xml:space="preserve">Recurring Project Check-ins </t>
  </si>
  <si>
    <t xml:space="preserve">Administration </t>
  </si>
  <si>
    <t>Estimated Investment Totals</t>
  </si>
  <si>
    <t>Post-Launch Support</t>
  </si>
  <si>
    <t>Post Go-Live Support</t>
  </si>
  <si>
    <t>30 hours dedicated to post go-live support. These hours can be used for anything HubSpot related (reporting, training, iterations, additional asks, etc.)</t>
  </si>
  <si>
    <t>Total Estimated Hours</t>
  </si>
  <si>
    <t>Total Project Estimated Investment</t>
  </si>
  <si>
    <t>Total Investment with Post-Launch Support</t>
  </si>
  <si>
    <t>Phase 2 will integrate the sales team into HubSpot, enabling them to leverage CPQ tools such as Quote.Hapily. During this phase, the integration between HubSpot and FieldRoutes will expand to become bi-directional, ensuring seamless synchronization. This step will fully transition sales and marketing workflows into HubSpot, while operations and field teams continue to rely on FieldRoutes for daily activities.</t>
  </si>
  <si>
    <t>NEXT</t>
  </si>
  <si>
    <t>Integration Requirements Document (Phase2)</t>
  </si>
  <si>
    <t>Aptitude 8 will collaborate on data mapping between HubSpot and FieldRoutes. This will involve taking all necessary properties from HubSpot and mapping them into the appropriate objects within FieldRoutes. Along with mapping the properties, Aptitude 8 will confirm triggers for when data syncs and establish what happens in various edge cases (e.g., unmatched contacts, updates to existing deals, or missing product mappings).</t>
  </si>
  <si>
    <t>Run an exercise to understand data mapping, sync criteria, triggers, error handling, and integration methods. Establish clear workflows for each data type and validate mappings during discovery.</t>
  </si>
  <si>
    <t xml:space="preserve">- Aptitude 8 will create an integration blueprint as the source of truth for access, data mapping, and triggers for the integration.
- Each sync within the integration will be outlined and confirmed by Greenix before developer building begins.
- The integration will require both systems to align on unique identifiers for contacts, deals, and products.
- Greenix will assist in reviewing and validating the requirements document to ensure all scenarios are accounted for.
</t>
  </si>
  <si>
    <t>Use the wire frames produced in the Requirements &amp; Solutioning phase as truth for what record customization needs to exist.</t>
  </si>
  <si>
    <t>- This is an execution task defined by CRM Architecture deliverables 
- Up to 3 team/group views per object
- Includes left, middle, and right panel customizations
- No custom coded CRM cards
- Create up to 50 custom properties associated with Contacts
- Create up to 50 custom properties associated with Deals
- Create up to 15 custom properties associated with Products
- Setup the required Data Structure for Appointments to map into Engagements</t>
  </si>
  <si>
    <t>System Integration - FieldRoutes (Phase 2)</t>
  </si>
  <si>
    <t>Sync HubSpot Contacts to FieldRoutes</t>
  </si>
  <si>
    <t>The Greenix marketing and operations teams need HubSpot contacts to sync with FieldRoutes because this enables matching existing accounts, creating new ones when no match is found, and ensuring accurate customer records across both systems.</t>
  </si>
  <si>
    <t xml:space="preserve">Aptitude 8 will implement a bi-directional sync to match HubSpot contacts with FieldRoutes accounts using a unique identifier (UID). A data table will be created to maintain UID synchronization, ensuring seamless integration and accurate customer data management.
</t>
  </si>
  <si>
    <t>- Contact sync will include up to 100 properties.
- Matching will be based on a UID confirmed during the discovery phase.
- A custom integration using Azure web services will manage this sync.
- Aptitude 8 assumes access to both APIs for HubSpot and FieldRoutes.
- Greenix will provide necessary access and support for infrastructure setup.
- Greenix will assist in validating the matching logic and configuring any required webhooks.</t>
  </si>
  <si>
    <t>Push HubSpot Deals to FieldRoutes</t>
  </si>
  <si>
    <t xml:space="preserve">The Greenix marketing and sales teams need HubSpot deals to create leads and subscriptions in FieldRoutes because this ensures consistent data across systems and enables Operations can fulfill on the opportunities that sales closes. </t>
  </si>
  <si>
    <t>HubSpot product line items from deals will be mapped and synced to corresponding products in FieldRoutes. This ensures that subscriptions created in FieldRoutes are accurate and tied to the correct products.</t>
  </si>
  <si>
    <t>- Deal sync will include up to 100 properties.
- The bi-directional sync will trigger based on updates to deals and lifecycle stages, to be confirmed during the data mapping phase of this project. 
- Integration will be handled using Azure web services.
- Access to both APIs will be required for full functionality.
- Greenix will assist in defining deal stages and lifecycle mappings.
- Greenix will provide infrastructure access and setup support.</t>
  </si>
  <si>
    <t>Connect HubSpot's Products to FieldRoutes Products</t>
  </si>
  <si>
    <t>The Greenix marketing and operations teams need HubSpot product line items to sync with FieldRoutes because this ensures line items on orders are accurately linked to subscriptions created in FieldRoutes.</t>
  </si>
  <si>
    <t>- Product sync will include up to 100 properties.
- Products in HubSpot will be mapped to FieldRoutes products during discovery.
- Integration will use Azure web services to manage the sync.
- Access to product APIs in both systems is required.
- Greenix will validate the product mappings and assist with testing.
- Greenix will ensure the necessary infrastructure is in place.</t>
  </si>
  <si>
    <t>User Aceptance Testing (UAT)</t>
  </si>
  <si>
    <t>The Greenix team needs to thoroughly test the bi-directional integration because this ensures functionality, performance, and user experience meet the desired outcomes based on the Solution Design engagement.</t>
  </si>
  <si>
    <t>Both teams will perform comprehensive UAT to validate that the bi-directional integration functions as expected. This includes testing data flow, UID synchronization, and mapping accuracy prior to deployment.</t>
  </si>
  <si>
    <t>- Aptitude 8 will conduct internal testing before handing off to Greenix.
- Greenix will perform UAT with guidance and documentation provided by Aptitude 8.
- Any issues discovered during UAT will be addressed before the go-live phase.
- Greenix will validate that all syncs meet the outlined requirements and expectations.</t>
  </si>
  <si>
    <t>Sales Process Improvements</t>
  </si>
  <si>
    <t>Custom CRM Card Into FieldRoutes</t>
  </si>
  <si>
    <t>Greenix reps may need the ability to jump into FieldRoutes for scheduling or tracking items that are not available through the FieldRoutes API. This will allow them to access FieldRoutes with the click of a button.</t>
  </si>
  <si>
    <t>Aptitude 8 will create a custom CRM card within HubSpot that integrates with FieldRoutes. This card will include a direct link to the relevant FieldRoutes record, allowing Greenix reps to seamlessly navigate to FieldRoutes for additional functionality not covered by the API. This approach ensures quick and efficient access to FieldRoutes while maintaining a unified experience in HubSpot.</t>
  </si>
  <si>
    <t>- The CRM card will include a dynamic link that passes a UID to FieldRoutes for direct navigation.
- The integration will assume that relevant UIDs are correctly mapped and synced between HubSpot and FieldRoutes.
- Aptitude 8 assumes API access for both systems to validate UID mappings and enable seamless navigation.
- Greenix will assist in identifying specific scenarios where the CRM card will be most beneficial.
- Greenix will provide infrastructure and API access to support development and testing of this feature.
- The CRM card will be tested during UAT to ensure functionality and user experience meet the expected outcomes.</t>
  </si>
  <si>
    <t>CPQ Implementation</t>
  </si>
  <si>
    <t>Greenix’s sales team will transition their sales processes into HubSpot. As part of this phase, they will integrate a CPQ tool to manage special price lists and implement custom pricing approvals efficiently.</t>
  </si>
  <si>
    <t>Aptitude8 recommends Quote.Hapily for Greenix’s needs. The implementation will include special price lists, custom pricing approvals, and additional conditional logic to support dynamic quoting.</t>
  </si>
  <si>
    <t>- Quote.Hapily will serve as the CPQ tool to streamline quoting processes and pricing rules.
- HubSpot CRM will be fully operational and integrated with Quote.Hapily.
- Resources will be allocated for system configuration, training, and testing to ensure a successful deployment.
- Greenix will provide the pricing rules and approval processes 
- Greenix sales team does not need to confirm square footage and other specifics that would come from FieldRoutes when building this quote from within HubSpot</t>
  </si>
  <si>
    <t xml:space="preserve">- Training will be focused on Sales Hub and managing deals, tasks, and overall teach the team how to effectively communicate.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</si>
</sst>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0.0"/>
      <color rgb="FF000000"/>
      <name val="Arial"/>
      <scheme val="minor"/>
    </font>
    <font>
      <color theme="1"/>
      <name val="Arial"/>
    </font>
    <font>
      <b/>
      <sz val="17.0"/>
      <color rgb="FFFFFFFF"/>
      <name val="Rubik"/>
    </font>
    <font>
      <b/>
      <sz val="18.0"/>
      <color rgb="FFFFFFFF"/>
      <name val="Rubik"/>
    </font>
    <font>
      <b/>
      <sz val="11.0"/>
      <color rgb="FFFFFFFF"/>
      <name val="Open Sans"/>
    </font>
    <font>
      <b/>
      <sz val="12.0"/>
      <color theme="1"/>
      <name val="Open Sans"/>
    </font>
    <font>
      <b/>
      <sz val="11.0"/>
      <color theme="1"/>
      <name val="Open Sans"/>
    </font>
    <font>
      <b/>
      <color theme="1"/>
      <name val="Open Sans"/>
    </font>
    <font>
      <color theme="1"/>
      <name val="Open Sans"/>
    </font>
    <font>
      <u/>
      <color rgb="FF0000FF"/>
      <name val="Arial"/>
    </font>
    <font>
      <b/>
      <sz val="14.0"/>
      <color rgb="FFFFFFFF"/>
      <name val="Open Sans"/>
    </font>
    <font>
      <sz val="16.0"/>
      <color rgb="FFFFFFFF"/>
      <name val="Arial"/>
    </font>
    <font>
      <color theme="1"/>
      <name val="Arial"/>
      <scheme val="minor"/>
    </font>
  </fonts>
  <fills count="6">
    <fill>
      <patternFill patternType="none"/>
    </fill>
    <fill>
      <patternFill patternType="lightGray"/>
    </fill>
    <fill>
      <patternFill patternType="solid">
        <fgColor rgb="FF000000"/>
        <bgColor rgb="FF000000"/>
      </patternFill>
    </fill>
    <fill>
      <patternFill patternType="solid">
        <fgColor rgb="FFF1C232"/>
        <bgColor rgb="FFF1C232"/>
      </patternFill>
    </fill>
    <fill>
      <patternFill patternType="solid">
        <fgColor rgb="FFFFE599"/>
        <bgColor rgb="FFFFE599"/>
      </patternFill>
    </fill>
    <fill>
      <patternFill patternType="solid">
        <fgColor rgb="FFFFFFFF"/>
        <bgColor rgb="FFFFFFFF"/>
      </patternFill>
    </fill>
  </fills>
  <borders count="1">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readingOrder="0" vertical="center"/>
    </xf>
    <xf borderId="0" fillId="2" fontId="1" numFmtId="0" xfId="0" applyAlignment="1" applyFont="1">
      <alignment horizontal="center" vertical="center"/>
    </xf>
    <xf borderId="0" fillId="2" fontId="1" numFmtId="1" xfId="0" applyAlignment="1" applyFont="1" applyNumberFormat="1">
      <alignment horizontal="center" vertical="center"/>
    </xf>
    <xf borderId="0" fillId="2" fontId="1" numFmtId="164" xfId="0" applyAlignment="1" applyFont="1" applyNumberFormat="1">
      <alignment vertical="center"/>
    </xf>
    <xf borderId="0" fillId="2" fontId="3" numFmtId="0" xfId="0" applyAlignment="1" applyFont="1">
      <alignment shrinkToFit="0" vertical="center" wrapText="1"/>
    </xf>
    <xf borderId="0" fillId="2"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3" fontId="1" numFmtId="0" xfId="0" applyAlignment="1" applyFill="1" applyFont="1">
      <alignment vertical="center"/>
    </xf>
    <xf borderId="0" fillId="2" fontId="4" numFmtId="0" xfId="0" applyAlignment="1" applyFont="1">
      <alignment readingOrder="0" shrinkToFit="0" vertical="center" wrapText="1"/>
    </xf>
    <xf borderId="0" fillId="2" fontId="4" numFmtId="0" xfId="0" applyAlignment="1" applyFont="1">
      <alignment horizontal="center" vertical="center"/>
    </xf>
    <xf borderId="0" fillId="2" fontId="4" numFmtId="0" xfId="0" applyAlignment="1" applyFont="1">
      <alignment horizontal="center" shrinkToFit="0" vertical="center" wrapText="1"/>
    </xf>
    <xf borderId="0" fillId="2" fontId="4" numFmtId="0" xfId="0" applyAlignment="1" applyFont="1">
      <alignment horizontal="center" shrinkToFit="0" vertical="center" wrapText="1"/>
    </xf>
    <xf borderId="0" fillId="4" fontId="5" numFmtId="0" xfId="0" applyAlignment="1" applyFill="1" applyFont="1">
      <alignment horizontal="center" vertical="center"/>
    </xf>
    <xf borderId="0" fillId="4" fontId="6" numFmtId="0" xfId="0" applyAlignment="1" applyFont="1">
      <alignment shrinkToFit="0" vertical="center" wrapText="1"/>
    </xf>
    <xf borderId="0" fillId="4" fontId="1" numFmtId="0" xfId="0" applyAlignment="1" applyFont="1">
      <alignment vertical="center"/>
    </xf>
    <xf borderId="0" fillId="4" fontId="1" numFmtId="0" xfId="0" applyAlignment="1" applyFont="1">
      <alignment shrinkToFit="0" vertical="center" wrapText="1"/>
    </xf>
    <xf borderId="0" fillId="4" fontId="1" numFmtId="0" xfId="0" applyAlignment="1" applyFont="1">
      <alignment horizontal="center" readingOrder="0" vertical="center"/>
    </xf>
    <xf borderId="0" fillId="4" fontId="7" numFmtId="0" xfId="0" applyAlignment="1" applyFont="1">
      <alignment horizontal="center" shrinkToFit="0" vertical="center" wrapText="1"/>
    </xf>
    <xf borderId="0" fillId="4" fontId="7" numFmtId="0" xfId="0" applyAlignment="1" applyFont="1">
      <alignment horizontal="center" shrinkToFit="0" vertical="center" wrapText="1"/>
    </xf>
    <xf borderId="0" fillId="5" fontId="1" numFmtId="0" xfId="0" applyAlignment="1" applyFill="1" applyFont="1">
      <alignment vertical="center"/>
    </xf>
    <xf borderId="0" fillId="5" fontId="7" numFmtId="0" xfId="0" applyAlignment="1" applyFont="1">
      <alignment readingOrder="0" shrinkToFit="0" vertical="center" wrapText="1"/>
    </xf>
    <xf borderId="0" fillId="5" fontId="1" numFmtId="0" xfId="0" applyAlignment="1" applyFont="1">
      <alignment readingOrder="0" shrinkToFit="0" vertical="center" wrapText="1"/>
    </xf>
    <xf borderId="0" fillId="5" fontId="8" numFmtId="0" xfId="0" applyAlignment="1" applyFont="1">
      <alignment horizontal="center" readingOrder="0" vertical="center"/>
    </xf>
    <xf borderId="0" fillId="5" fontId="1" numFmtId="0" xfId="0" applyAlignment="1" applyFont="1">
      <alignment vertical="center"/>
    </xf>
    <xf borderId="0" fillId="0" fontId="1" numFmtId="0" xfId="0" applyAlignment="1" applyFont="1">
      <alignment vertical="center"/>
    </xf>
    <xf borderId="0" fillId="0" fontId="7" numFmtId="0" xfId="0" applyAlignment="1" applyFont="1">
      <alignment readingOrder="0" shrinkToFit="0" vertical="center" wrapText="1"/>
    </xf>
    <xf borderId="0" fillId="0" fontId="8" numFmtId="0" xfId="0" applyAlignment="1" applyFont="1">
      <alignment horizontal="center" readingOrder="0" vertical="center"/>
    </xf>
    <xf borderId="0" fillId="0" fontId="8" numFmtId="3" xfId="0" applyAlignment="1" applyFont="1" applyNumberFormat="1">
      <alignment horizontal="center" readingOrder="0" vertical="center"/>
    </xf>
    <xf borderId="0" fillId="0" fontId="9" numFmtId="0" xfId="0" applyAlignment="1" applyFont="1">
      <alignment readingOrder="0" shrinkToFit="0" vertical="center" wrapText="1"/>
    </xf>
    <xf borderId="0" fillId="5" fontId="5" numFmtId="0" xfId="0" applyAlignment="1" applyFont="1">
      <alignment horizontal="center" vertical="center"/>
    </xf>
    <xf borderId="0" fillId="5" fontId="6" numFmtId="0" xfId="0" applyAlignment="1" applyFont="1">
      <alignment shrinkToFit="0" vertical="center" wrapText="1"/>
    </xf>
    <xf borderId="0" fillId="5" fontId="1" numFmtId="3" xfId="0" applyAlignment="1" applyFont="1" applyNumberFormat="1">
      <alignment vertical="center"/>
    </xf>
    <xf borderId="0" fillId="5" fontId="1" numFmtId="0" xfId="0" applyAlignment="1" applyFont="1">
      <alignment shrinkToFit="0" vertical="center" wrapText="1"/>
    </xf>
    <xf borderId="0" fillId="5" fontId="1" numFmtId="3" xfId="0" applyAlignment="1" applyFont="1" applyNumberFormat="1">
      <alignment horizontal="center" vertical="center"/>
    </xf>
    <xf borderId="0" fillId="5" fontId="1" numFmtId="0" xfId="0" applyAlignment="1" applyFont="1">
      <alignment horizontal="center" vertical="center"/>
    </xf>
    <xf borderId="0" fillId="5" fontId="7" numFmtId="0" xfId="0" applyAlignment="1" applyFont="1">
      <alignment horizontal="center" shrinkToFit="0" vertical="center" wrapText="1"/>
    </xf>
    <xf borderId="0" fillId="4" fontId="5" numFmtId="0" xfId="0" applyAlignment="1" applyFont="1">
      <alignment horizontal="center" vertical="center"/>
    </xf>
    <xf borderId="0" fillId="4" fontId="6" numFmtId="0" xfId="0" applyAlignment="1" applyFont="1">
      <alignment shrinkToFit="0" vertical="center" wrapText="1"/>
    </xf>
    <xf borderId="0" fillId="4" fontId="1" numFmtId="3" xfId="0" applyAlignment="1" applyFont="1" applyNumberFormat="1">
      <alignment vertical="center"/>
    </xf>
    <xf borderId="0" fillId="4" fontId="1" numFmtId="0" xfId="0" applyAlignment="1" applyFont="1">
      <alignment vertical="center"/>
    </xf>
    <xf borderId="0" fillId="4" fontId="1" numFmtId="0" xfId="0" applyAlignment="1" applyFont="1">
      <alignment shrinkToFit="0" vertical="center" wrapText="1"/>
    </xf>
    <xf borderId="0" fillId="4" fontId="1" numFmtId="3" xfId="0" applyAlignment="1" applyFont="1" applyNumberFormat="1">
      <alignment horizontal="center" readingOrder="0" vertical="center"/>
    </xf>
    <xf borderId="0" fillId="5" fontId="7" numFmtId="0" xfId="0" applyAlignment="1" applyFont="1">
      <alignment shrinkToFit="0" vertical="center" wrapText="1"/>
    </xf>
    <xf borderId="0" fillId="5" fontId="1" numFmtId="3" xfId="0" applyAlignment="1" applyFont="1" applyNumberFormat="1">
      <alignment readingOrder="0" shrinkToFit="0" vertical="center" wrapText="1"/>
    </xf>
    <xf borderId="0" fillId="5" fontId="1" numFmtId="3" xfId="0" applyAlignment="1" applyFont="1" applyNumberFormat="1">
      <alignment horizontal="center" readingOrder="0" shrinkToFit="0" vertical="center" wrapText="1"/>
    </xf>
    <xf borderId="0" fillId="5" fontId="1" numFmtId="0" xfId="0" applyAlignment="1" applyFont="1">
      <alignment horizontal="center" readingOrder="0" shrinkToFit="0" vertical="center" wrapText="1"/>
    </xf>
    <xf borderId="0" fillId="5" fontId="7" numFmtId="0" xfId="0" applyAlignment="1" applyFont="1">
      <alignment shrinkToFit="0" vertical="center" wrapText="1"/>
    </xf>
    <xf borderId="0" fillId="5" fontId="1" numFmtId="0" xfId="0" applyAlignment="1" applyFont="1">
      <alignment horizontal="center" vertical="center"/>
    </xf>
    <xf borderId="0" fillId="4" fontId="6" numFmtId="0" xfId="0" applyAlignment="1" applyFont="1">
      <alignment readingOrder="0" shrinkToFit="0" vertical="center" wrapText="1"/>
    </xf>
    <xf borderId="0" fillId="4" fontId="1" numFmtId="0" xfId="0" applyAlignment="1" applyFont="1">
      <alignment readingOrder="0" shrinkToFit="0" vertical="center" wrapText="1"/>
    </xf>
    <xf borderId="0" fillId="4" fontId="1" numFmtId="3" xfId="0" applyAlignment="1" applyFont="1" applyNumberFormat="1">
      <alignment shrinkToFit="0" vertical="center" wrapText="1"/>
    </xf>
    <xf borderId="0" fillId="5" fontId="1" numFmtId="3" xfId="0" applyAlignment="1" applyFont="1" applyNumberFormat="1">
      <alignment horizontal="center" readingOrder="0" vertical="center"/>
    </xf>
    <xf borderId="0" fillId="0" fontId="1" numFmtId="0" xfId="0" applyAlignment="1" applyFont="1">
      <alignment vertical="center"/>
    </xf>
    <xf borderId="0" fillId="0" fontId="1" numFmtId="3" xfId="0" applyAlignment="1" applyFont="1" applyNumberFormat="1">
      <alignment readingOrder="0" shrinkToFit="0" vertical="center" wrapText="1"/>
    </xf>
    <xf borderId="0" fillId="0" fontId="1" numFmtId="3"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horizontal="center" vertical="center"/>
    </xf>
    <xf borderId="0" fillId="4" fontId="7" numFmtId="0" xfId="0" applyAlignment="1" applyFont="1">
      <alignment horizontal="center" readingOrder="0" shrinkToFit="0" vertical="center" wrapText="1"/>
    </xf>
    <xf borderId="0" fillId="0" fontId="5" numFmtId="0" xfId="0" applyAlignment="1" applyFont="1">
      <alignment horizontal="center"/>
    </xf>
    <xf borderId="0" fillId="0" fontId="6" numFmtId="0" xfId="0" applyAlignment="1" applyFont="1">
      <alignment shrinkToFit="0" wrapText="1"/>
    </xf>
    <xf borderId="0" fillId="0" fontId="1" numFmtId="0" xfId="0" applyFont="1"/>
    <xf borderId="0" fillId="0" fontId="1" numFmtId="0" xfId="0" applyFont="1"/>
    <xf borderId="0" fillId="0" fontId="1" numFmtId="1" xfId="0" applyAlignment="1" applyFont="1" applyNumberFormat="1">
      <alignment horizontal="center"/>
    </xf>
    <xf borderId="0" fillId="0" fontId="7" numFmtId="0" xfId="0" applyAlignment="1" applyFont="1">
      <alignment horizontal="center" shrinkToFit="0" wrapText="1"/>
    </xf>
    <xf borderId="0" fillId="4" fontId="5" numFmtId="0" xfId="0" applyAlignment="1" applyFont="1">
      <alignment horizontal="center"/>
    </xf>
    <xf borderId="0" fillId="4" fontId="6" numFmtId="0" xfId="0" applyAlignment="1" applyFont="1">
      <alignment shrinkToFit="0" wrapText="1"/>
    </xf>
    <xf borderId="0" fillId="4" fontId="1" numFmtId="0" xfId="0" applyFont="1"/>
    <xf borderId="0" fillId="4" fontId="1" numFmtId="0" xfId="0" applyFont="1"/>
    <xf borderId="0" fillId="4" fontId="1" numFmtId="1" xfId="0" applyAlignment="1" applyFont="1" applyNumberFormat="1">
      <alignment horizontal="center" readingOrder="0"/>
    </xf>
    <xf borderId="0" fillId="0" fontId="1" numFmtId="0" xfId="0" applyAlignment="1" applyFont="1">
      <alignment horizontal="center"/>
    </xf>
    <xf borderId="0" fillId="0" fontId="5" numFmtId="0" xfId="0" applyAlignment="1" applyFont="1">
      <alignment shrinkToFit="0" wrapText="1"/>
    </xf>
    <xf borderId="0" fillId="0" fontId="5" numFmtId="1" xfId="0" applyAlignment="1" applyFont="1" applyNumberFormat="1">
      <alignment horizontal="center"/>
    </xf>
    <xf borderId="0" fillId="4" fontId="5" numFmtId="0" xfId="0" applyAlignment="1" applyFont="1">
      <alignment horizontal="center"/>
    </xf>
    <xf borderId="0" fillId="4" fontId="6" numFmtId="0" xfId="0" applyAlignment="1" applyFont="1">
      <alignment shrinkToFit="0" wrapText="1"/>
    </xf>
    <xf borderId="0" fillId="4" fontId="5" numFmtId="1" xfId="0" applyAlignment="1" applyFont="1" applyNumberFormat="1">
      <alignment horizontal="center"/>
    </xf>
    <xf borderId="0" fillId="5" fontId="8" numFmtId="0" xfId="0" applyFont="1"/>
    <xf borderId="0" fillId="0" fontId="8" numFmtId="0" xfId="0" applyAlignment="1" applyFont="1">
      <alignment shrinkToFit="0" wrapText="1"/>
    </xf>
    <xf borderId="0" fillId="0" fontId="8" numFmtId="0" xfId="0" applyFont="1"/>
    <xf borderId="0" fillId="2" fontId="1" numFmtId="0" xfId="0" applyFont="1"/>
    <xf borderId="0" fillId="2" fontId="10" numFmtId="0" xfId="0" applyAlignment="1" applyFont="1">
      <alignment shrinkToFit="0" wrapText="1"/>
    </xf>
    <xf borderId="0" fillId="2" fontId="10" numFmtId="1" xfId="0" applyAlignment="1" applyFont="1" applyNumberFormat="1">
      <alignment horizontal="center"/>
    </xf>
    <xf borderId="0" fillId="0" fontId="10" numFmtId="0" xfId="0" applyAlignment="1" applyFont="1">
      <alignment shrinkToFit="0" wrapText="1"/>
    </xf>
    <xf borderId="0" fillId="0" fontId="10" numFmtId="1" xfId="0" applyAlignment="1" applyFont="1" applyNumberFormat="1">
      <alignment horizontal="center"/>
    </xf>
    <xf borderId="0" fillId="4" fontId="6" numFmtId="0" xfId="0" applyAlignment="1" applyFont="1">
      <alignment readingOrder="0" shrinkToFit="0" wrapText="1"/>
    </xf>
    <xf borderId="0" fillId="4" fontId="1" numFmtId="1" xfId="0" applyAlignment="1" applyFont="1" applyNumberFormat="1">
      <alignment horizontal="center"/>
    </xf>
    <xf borderId="0" fillId="5" fontId="8" numFmtId="0" xfId="0" applyAlignment="1" applyFont="1">
      <alignment vertical="center"/>
    </xf>
    <xf borderId="0" fillId="0" fontId="8" numFmtId="0" xfId="0" applyAlignment="1" applyFont="1">
      <alignment shrinkToFit="0" vertical="center" wrapText="1"/>
    </xf>
    <xf borderId="0" fillId="0" fontId="1" numFmtId="1" xfId="0" applyAlignment="1" applyFont="1" applyNumberFormat="1">
      <alignment horizontal="center" vertical="center"/>
    </xf>
    <xf borderId="0" fillId="2" fontId="1" numFmtId="1" xfId="0" applyAlignment="1" applyFont="1" applyNumberFormat="1">
      <alignment horizontal="center"/>
    </xf>
    <xf borderId="0" fillId="2" fontId="10" numFmtId="164" xfId="0" applyAlignment="1" applyFont="1" applyNumberFormat="1">
      <alignment horizontal="center"/>
    </xf>
    <xf borderId="0" fillId="2" fontId="1" numFmtId="164" xfId="0" applyAlignment="1" applyFont="1" applyNumberFormat="1">
      <alignment horizontal="center"/>
    </xf>
    <xf borderId="0" fillId="0" fontId="1" numFmtId="164" xfId="0" applyAlignment="1" applyFont="1" applyNumberFormat="1">
      <alignment vertical="center"/>
    </xf>
    <xf borderId="0" fillId="2" fontId="11" numFmtId="0" xfId="0" applyAlignment="1" applyFont="1">
      <alignment readingOrder="0" shrinkToFit="0" vertical="center" wrapText="1"/>
    </xf>
    <xf borderId="0" fillId="0" fontId="4" numFmtId="0" xfId="0" applyAlignment="1" applyFont="1">
      <alignment horizontal="center" shrinkToFit="0" vertical="center" wrapText="1"/>
    </xf>
    <xf borderId="0" fillId="5" fontId="1" numFmtId="0" xfId="0" applyAlignment="1" applyFont="1">
      <alignment horizontal="center" shrinkToFit="0" vertical="center" wrapText="1"/>
    </xf>
    <xf borderId="0" fillId="0" fontId="5" numFmtId="0" xfId="0" applyAlignment="1" applyFont="1">
      <alignment horizontal="center" vertical="center"/>
    </xf>
    <xf borderId="0" fillId="0" fontId="6" numFmtId="0" xfId="0" applyAlignment="1" applyFont="1">
      <alignment readingOrder="0" shrinkToFit="0" vertical="center" wrapText="1"/>
    </xf>
    <xf borderId="0" fillId="0" fontId="1" numFmtId="3" xfId="0" applyAlignment="1" applyFont="1" applyNumberFormat="1">
      <alignment shrinkToFit="0" vertical="center" wrapText="1"/>
    </xf>
    <xf borderId="0" fillId="0" fontId="1" numFmtId="3" xfId="0" applyAlignment="1" applyFont="1" applyNumberFormat="1">
      <alignment vertical="center"/>
    </xf>
    <xf borderId="0" fillId="0"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Alignment="1" applyFont="1">
      <alignment shrinkToFit="0" wrapText="1"/>
    </xf>
    <xf borderId="0" fillId="0" fontId="1" numFmtId="0" xfId="0" applyAlignment="1" applyFont="1">
      <alignment shrinkToFit="0" wrapText="1"/>
    </xf>
    <xf borderId="0" fillId="0" fontId="1" numFmtId="3" xfId="0" applyAlignment="1" applyFont="1" applyNumberFormat="1">
      <alignment shrinkToFit="0" wrapText="1"/>
    </xf>
    <xf borderId="0" fillId="0" fontId="1" numFmtId="3" xfId="0" applyAlignment="1" applyFont="1" applyNumberFormat="1">
      <alignment horizontal="center"/>
    </xf>
    <xf borderId="0" fillId="0" fontId="1" numFmtId="0" xfId="0" applyAlignment="1" applyFont="1">
      <alignment horizontal="center" shrinkToFit="0" wrapText="1"/>
    </xf>
    <xf borderId="0" fillId="0" fontId="1" numFmtId="3" xfId="0" applyFont="1" applyNumberFormat="1"/>
    <xf borderId="0" fillId="0" fontId="1" numFmtId="0" xfId="0" applyAlignment="1" applyFont="1">
      <alignment vertical="bottom"/>
    </xf>
    <xf borderId="0" fillId="0" fontId="12" numFmtId="0" xfId="0" applyAlignment="1" applyFont="1">
      <alignment readingOrder="0"/>
    </xf>
    <xf borderId="0" fillId="0" fontId="7" numFmtId="0" xfId="0" applyAlignment="1" applyFont="1">
      <alignment horizontal="center" readingOrder="0" shrinkToFit="0" wrapText="1"/>
    </xf>
    <xf borderId="0" fillId="0" fontId="12"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9">
    <tableStyle count="2" pivot="0" name="Phase1-style">
      <tableStyleElement dxfId="1" type="firstRowStripe"/>
      <tableStyleElement dxfId="2" type="secondRowStripe"/>
    </tableStyle>
    <tableStyle count="2" pivot="0" name="Phase1-style 2">
      <tableStyleElement dxfId="1" type="firstRowStripe"/>
      <tableStyleElement dxfId="2" type="secondRowStripe"/>
    </tableStyle>
    <tableStyle count="2" pivot="0" name="Phase1-style 3">
      <tableStyleElement dxfId="1" type="firstRowStripe"/>
      <tableStyleElement dxfId="2" type="secondRowStripe"/>
    </tableStyle>
    <tableStyle count="2" pivot="0" name="Phase1-style 4">
      <tableStyleElement dxfId="1" type="firstRowStripe"/>
      <tableStyleElement dxfId="2" type="secondRowStripe"/>
    </tableStyle>
    <tableStyle count="2" pivot="0" name="Phase1-style 5">
      <tableStyleElement dxfId="2" type="firstRowStripe"/>
      <tableStyleElement dxfId="1" type="secondRowStripe"/>
    </tableStyle>
    <tableStyle count="2" pivot="0" name="Phase1-style 6">
      <tableStyleElement dxfId="1" type="firstRowStripe"/>
      <tableStyleElement dxfId="2" type="secondRowStripe"/>
    </tableStyle>
    <tableStyle count="2" pivot="0" name="Phase1-style 7">
      <tableStyleElement dxfId="2" type="firstRowStripe"/>
      <tableStyleElement dxfId="1" type="secondRowStripe"/>
    </tableStyle>
    <tableStyle count="2" pivot="0" name="Phase1-style 8">
      <tableStyleElement dxfId="2" type="firstRowStripe"/>
      <tableStyleElement dxfId="1" type="secondRowStripe"/>
    </tableStyle>
    <tableStyle count="2" pivot="0" name="Phase1-style 9">
      <tableStyleElement dxfId="2" type="firstRowStripe"/>
      <tableStyleElement dxfId="1" type="secondRowStripe"/>
    </tableStyle>
    <tableStyle count="2" pivot="0" name="Phase1-style 10">
      <tableStyleElement dxfId="2" type="firstRowStripe"/>
      <tableStyleElement dxfId="1" type="secondRowStripe"/>
    </tableStyle>
    <tableStyle count="2" pivot="0" name="Phase1-style 11">
      <tableStyleElement dxfId="2" type="firstRowStripe"/>
      <tableStyleElement dxfId="1" type="secondRowStripe"/>
    </tableStyle>
    <tableStyle count="2" pivot="0" name="Phase2-style">
      <tableStyleElement dxfId="2" type="firstRowStripe"/>
      <tableStyleElement dxfId="1" type="secondRowStripe"/>
    </tableStyle>
    <tableStyle count="2" pivot="0" name="Phase2-style 2">
      <tableStyleElement dxfId="1" type="firstRowStripe"/>
      <tableStyleElement dxfId="2" type="secondRowStripe"/>
    </tableStyle>
    <tableStyle count="2" pivot="0" name="Phase2-style 3">
      <tableStyleElement dxfId="1" type="firstRowStripe"/>
      <tableStyleElement dxfId="2" type="secondRowStripe"/>
    </tableStyle>
    <tableStyle count="2" pivot="0" name="Phase2-style 4">
      <tableStyleElement dxfId="2" type="firstRowStripe"/>
      <tableStyleElement dxfId="1" type="secondRowStripe"/>
    </tableStyle>
    <tableStyle count="2" pivot="0" name="Phase2-style 5">
      <tableStyleElement dxfId="1" type="firstRowStripe"/>
      <tableStyleElement dxfId="2" type="secondRowStripe"/>
    </tableStyle>
    <tableStyle count="2" pivot="0" name="Phase2-style 6">
      <tableStyleElement dxfId="2" type="firstRowStripe"/>
      <tableStyleElement dxfId="1" type="secondRowStripe"/>
    </tableStyle>
    <tableStyle count="2" pivot="0" name="Phase2-style 7">
      <tableStyleElement dxfId="2" type="firstRowStripe"/>
      <tableStyleElement dxfId="1" type="secondRowStripe"/>
    </tableStyle>
    <tableStyle count="2" pivot="0" name="Phase2-style 8">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3067050"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9:H9"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Phase1-style" showColumnStripes="0" showFirstColumn="1" showLastColumn="1" showRowStripes="1"/>
</table>
</file>

<file path=xl/tables/table2.xml><?xml version="1.0" encoding="utf-8"?>
<table xmlns="http://schemas.openxmlformats.org/spreadsheetml/2006/main" headerRowCount="0" ref="B10:H10"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Phase1-style 2" showColumnStripes="0" showFirstColumn="1" showLastColumn="1" showRowStripes="1"/>
</table>
</file>

<file path=xl/tables/table3.xml><?xml version="1.0" encoding="utf-8"?>
<table xmlns="http://schemas.openxmlformats.org/spreadsheetml/2006/main" headerRowCount="0" ref="B11:H13"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Phase1-style 3" showColumnStripes="0" showFirstColumn="1" showLastColumn="1" showRowStripes="1"/>
</table>
</file>

<file path=xl/tables/table4.xml><?xml version="1.0" encoding="utf-8"?>
<table xmlns="http://schemas.openxmlformats.org/spreadsheetml/2006/main" headerRowCount="0" ref="B15:G15" displayName="Table_4" name="Table_4" id="4">
  <tableColumns count="6">
    <tableColumn name="Column1" id="1"/>
    <tableColumn name="Column2" id="2"/>
    <tableColumn name="Column3" id="3"/>
    <tableColumn name="Column4" id="4"/>
    <tableColumn name="Column5" id="5"/>
    <tableColumn name="Column6" id="6"/>
  </tableColumns>
  <tableStyleInfo name="Phase1-style 4" showColumnStripes="0" showFirstColumn="1" showLastColumn="1" showRowStripes="1"/>
</table>
</file>

<file path=xl/tables/table5.xml><?xml version="1.0" encoding="utf-8"?>
<table xmlns="http://schemas.openxmlformats.org/spreadsheetml/2006/main" headerRowCount="0" ref="B16:J16" displayName="Table_5" name="Table_5" id="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hase1-style 5" showColumnStripes="0" showFirstColumn="1" showLastColumn="1" showRowStripes="1"/>
</table>
</file>

<file path=xl/tables/table6.xml><?xml version="1.0" encoding="utf-8"?>
<table xmlns="http://schemas.openxmlformats.org/spreadsheetml/2006/main" headerRowCount="0" ref="A17:J21" displayName="Table_6" name="Table_6" id="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hase1-style 6" showColumnStripes="0" showFirstColumn="1" showLastColumn="1" showRowStripes="1"/>
</table>
</file>

<file path=xl/tables/table7.xml><?xml version="1.0" encoding="utf-8"?>
<table xmlns="http://schemas.openxmlformats.org/spreadsheetml/2006/main" headerRowCount="0" ref="B23:G23" displayName="Table_7" name="Table_7" id="7">
  <tableColumns count="6">
    <tableColumn name="Column1" id="1"/>
    <tableColumn name="Column2" id="2"/>
    <tableColumn name="Column3" id="3"/>
    <tableColumn name="Column4" id="4"/>
    <tableColumn name="Column5" id="5"/>
    <tableColumn name="Column6" id="6"/>
  </tableColumns>
  <tableStyleInfo name="Phase1-style 7" showColumnStripes="0" showFirstColumn="1" showLastColumn="1" showRowStripes="1"/>
</table>
</file>

<file path=xl/tables/table8.xml><?xml version="1.0" encoding="utf-8"?>
<table xmlns="http://schemas.openxmlformats.org/spreadsheetml/2006/main" headerRowCount="0" ref="B24:J24" displayName="Table_8" name="Table_8" id="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hase1-style 8" showColumnStripes="0" showFirstColumn="1" showLastColumn="1" showRowStripes="1"/>
</table>
</file>

<file path=xl/tables/table9.xml><?xml version="1.0" encoding="utf-8"?>
<table xmlns="http://schemas.openxmlformats.org/spreadsheetml/2006/main" headerRowCount="0" ref="B27:J27" displayName="Table_9" name="Table_9" id="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hase1-style 9" showColumnStripes="0" showFirstColumn="1" showLastColumn="1" showRowStripes="1"/>
</table>
</file>

<file path=xl/tables/table10.xml><?xml version="1.0" encoding="utf-8"?>
<table xmlns="http://schemas.openxmlformats.org/spreadsheetml/2006/main" headerRowCount="0" ref="B28:J28" displayName="Table_10" name="Table_10" id="1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hase1-style 10" showColumnStripes="0" showFirstColumn="1" showLastColumn="1" showRowStripes="1"/>
</table>
</file>

<file path=xl/tables/table11.xml><?xml version="1.0" encoding="utf-8"?>
<table xmlns="http://schemas.openxmlformats.org/spreadsheetml/2006/main" headerRowCount="0" ref="H40:I40" displayName="Table_11" name="Table_11" id="11">
  <tableColumns count="2">
    <tableColumn name="Column1" id="1"/>
    <tableColumn name="Column2" id="2"/>
  </tableColumns>
  <tableStyleInfo name="Phase1-style 11" showColumnStripes="0" showFirstColumn="1" showLastColumn="1" showRowStripes="1"/>
</table>
</file>

<file path=xl/tables/table12.xml><?xml version="1.0" encoding="utf-8"?>
<table xmlns="http://schemas.openxmlformats.org/spreadsheetml/2006/main" headerRowCount="0" ref="B7:H7" displayName="Table_12" name="Table_12" id="12">
  <tableColumns count="7">
    <tableColumn name="Column1" id="1"/>
    <tableColumn name="Column2" id="2"/>
    <tableColumn name="Column3" id="3"/>
    <tableColumn name="Column4" id="4"/>
    <tableColumn name="Column5" id="5"/>
    <tableColumn name="Column6" id="6"/>
    <tableColumn name="Column7" id="7"/>
  </tableColumns>
  <tableStyleInfo name="Phase2-style" showColumnStripes="0" showFirstColumn="1" showLastColumn="1" showRowStripes="1"/>
</table>
</file>

<file path=xl/tables/table13.xml><?xml version="1.0" encoding="utf-8"?>
<table xmlns="http://schemas.openxmlformats.org/spreadsheetml/2006/main" headerRowCount="0" ref="B9:H9" displayName="Table_13" name="Table_13" id="13">
  <tableColumns count="7">
    <tableColumn name="Column1" id="1"/>
    <tableColumn name="Column2" id="2"/>
    <tableColumn name="Column3" id="3"/>
    <tableColumn name="Column4" id="4"/>
    <tableColumn name="Column5" id="5"/>
    <tableColumn name="Column6" id="6"/>
    <tableColumn name="Column7" id="7"/>
  </tableColumns>
  <tableStyleInfo name="Phase2-style 2" showColumnStripes="0" showFirstColumn="1" showLastColumn="1" showRowStripes="1"/>
</table>
</file>

<file path=xl/tables/table14.xml><?xml version="1.0" encoding="utf-8"?>
<table xmlns="http://schemas.openxmlformats.org/spreadsheetml/2006/main" headerRowCount="0" ref="B11:G11" displayName="Table_14" name="Table_14" id="14">
  <tableColumns count="6">
    <tableColumn name="Column1" id="1"/>
    <tableColumn name="Column2" id="2"/>
    <tableColumn name="Column3" id="3"/>
    <tableColumn name="Column4" id="4"/>
    <tableColumn name="Column5" id="5"/>
    <tableColumn name="Column6" id="6"/>
  </tableColumns>
  <tableStyleInfo name="Phase2-style 3" showColumnStripes="0" showFirstColumn="1" showLastColumn="1" showRowStripes="1"/>
</table>
</file>

<file path=xl/tables/table15.xml><?xml version="1.0" encoding="utf-8"?>
<table xmlns="http://schemas.openxmlformats.org/spreadsheetml/2006/main" headerRowCount="0" ref="B12:J12" displayName="Table_15" name="Table_15" id="1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hase2-style 4" showColumnStripes="0" showFirstColumn="1" showLastColumn="1" showRowStripes="1"/>
</table>
</file>

<file path=xl/tables/table16.xml><?xml version="1.0" encoding="utf-8"?>
<table xmlns="http://schemas.openxmlformats.org/spreadsheetml/2006/main" headerRowCount="0" ref="A13:R19" displayName="Table_16" name="Table_16" id="1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Phase2-style 5" showColumnStripes="0" showFirstColumn="1" showLastColumn="1" showRowStripes="1"/>
</table>
</file>

<file path=xl/tables/table17.xml><?xml version="1.0" encoding="utf-8"?>
<table xmlns="http://schemas.openxmlformats.org/spreadsheetml/2006/main" headerRowCount="0" ref="B23:J23" displayName="Table_17" name="Table_17" id="1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hase2-style 6" showColumnStripes="0" showFirstColumn="1" showLastColumn="1" showRowStripes="1"/>
</table>
</file>

<file path=xl/tables/table18.xml><?xml version="1.0" encoding="utf-8"?>
<table xmlns="http://schemas.openxmlformats.org/spreadsheetml/2006/main" headerRowCount="0" ref="B24:J24" displayName="Table_18" name="Table_18" id="1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hase2-style 7" showColumnStripes="0" showFirstColumn="1" showLastColumn="1" showRowStripes="1"/>
</table>
</file>

<file path=xl/tables/table19.xml><?xml version="1.0" encoding="utf-8"?>
<table xmlns="http://schemas.openxmlformats.org/spreadsheetml/2006/main" headerRowCount="0" ref="H36:I36" displayName="Table_19" name="Table_19" id="19">
  <tableColumns count="2">
    <tableColumn name="Column1" id="1"/>
    <tableColumn name="Column2" id="2"/>
  </tableColumns>
  <tableStyleInfo name="Phase2-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5.xml"/><Relationship Id="rId22" Type="http://schemas.openxmlformats.org/officeDocument/2006/relationships/table" Target="../tables/table7.xml"/><Relationship Id="rId21" Type="http://schemas.openxmlformats.org/officeDocument/2006/relationships/table" Target="../tables/table6.xml"/><Relationship Id="rId24" Type="http://schemas.openxmlformats.org/officeDocument/2006/relationships/table" Target="../tables/table9.xml"/><Relationship Id="rId23" Type="http://schemas.openxmlformats.org/officeDocument/2006/relationships/table" Target="../tables/table8.xml"/><Relationship Id="rId1" Type="http://schemas.openxmlformats.org/officeDocument/2006/relationships/comments" Target="../comments1.xml"/><Relationship Id="rId2" Type="http://schemas.openxmlformats.org/officeDocument/2006/relationships/hyperlink" Target="https://docs.google.com/document/d/110gPV3aFqUZOWhtgDA_C4VuufkmQ-i6Pc0qERqRX0Sc/edit?tab=t.0" TargetMode="External"/><Relationship Id="rId3" Type="http://schemas.openxmlformats.org/officeDocument/2006/relationships/drawing" Target="../drawings/drawing1.xml"/><Relationship Id="rId4" Type="http://schemas.openxmlformats.org/officeDocument/2006/relationships/vmlDrawing" Target="../drawings/vmlDrawing1.vml"/><Relationship Id="rId26" Type="http://schemas.openxmlformats.org/officeDocument/2006/relationships/table" Target="../tables/table11.xml"/><Relationship Id="rId25" Type="http://schemas.openxmlformats.org/officeDocument/2006/relationships/table" Target="../tables/table10.xml"/><Relationship Id="rId17" Type="http://schemas.openxmlformats.org/officeDocument/2006/relationships/table" Target="../tables/table2.xml"/><Relationship Id="rId16" Type="http://schemas.openxmlformats.org/officeDocument/2006/relationships/table" Target="../tables/table1.xml"/><Relationship Id="rId19" Type="http://schemas.openxmlformats.org/officeDocument/2006/relationships/table" Target="../tables/table4.xml"/><Relationship Id="rId1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1" Type="http://schemas.openxmlformats.org/officeDocument/2006/relationships/table" Target="../tables/table13.xml"/><Relationship Id="rId10" Type="http://schemas.openxmlformats.org/officeDocument/2006/relationships/table" Target="../tables/table12.xml"/><Relationship Id="rId13" Type="http://schemas.openxmlformats.org/officeDocument/2006/relationships/table" Target="../tables/table15.xml"/><Relationship Id="rId12" Type="http://schemas.openxmlformats.org/officeDocument/2006/relationships/table" Target="../tables/table14.xml"/><Relationship Id="rId1" Type="http://schemas.openxmlformats.org/officeDocument/2006/relationships/drawing" Target="../drawings/drawing2.xml"/><Relationship Id="rId15" Type="http://schemas.openxmlformats.org/officeDocument/2006/relationships/table" Target="../tables/table17.xml"/><Relationship Id="rId14" Type="http://schemas.openxmlformats.org/officeDocument/2006/relationships/table" Target="../tables/table16.xml"/><Relationship Id="rId17" Type="http://schemas.openxmlformats.org/officeDocument/2006/relationships/table" Target="../tables/table19.xml"/><Relationship Id="rId16"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4.38"/>
    <col customWidth="1" min="2" max="2" width="41.25"/>
    <col customWidth="1" min="3" max="3" width="36.75"/>
    <col customWidth="1" min="4" max="4" width="35.38"/>
    <col customWidth="1" min="5" max="5" width="56.63"/>
    <col customWidth="1" min="6" max="6" width="13.75"/>
    <col customWidth="1" min="7" max="7" width="12.13"/>
    <col customWidth="1" min="8" max="8" width="14.38"/>
    <col customWidth="1" min="9" max="10" width="15.13"/>
  </cols>
  <sheetData>
    <row r="1" ht="73.5" customHeight="1">
      <c r="A1" s="1"/>
      <c r="C1" s="2" t="s">
        <v>0</v>
      </c>
      <c r="F1" s="3"/>
      <c r="G1" s="4"/>
      <c r="H1" s="1"/>
      <c r="I1" s="5"/>
      <c r="J1" s="5"/>
    </row>
    <row r="2" ht="31.5" customHeight="1">
      <c r="A2" s="6" t="s">
        <v>1</v>
      </c>
      <c r="E2" s="7"/>
      <c r="F2" s="3"/>
      <c r="G2" s="4"/>
      <c r="H2" s="1"/>
      <c r="I2" s="5"/>
      <c r="J2" s="5"/>
    </row>
    <row r="3">
      <c r="A3" s="8" t="s">
        <v>2</v>
      </c>
      <c r="E3" s="9"/>
    </row>
    <row r="4">
      <c r="A4" s="10"/>
    </row>
    <row r="5" ht="29.25" customHeight="1">
      <c r="A5" s="1"/>
      <c r="B5" s="11" t="s">
        <v>3</v>
      </c>
      <c r="C5" s="12" t="s">
        <v>4</v>
      </c>
      <c r="D5" s="12" t="s">
        <v>5</v>
      </c>
      <c r="E5" s="13" t="s">
        <v>6</v>
      </c>
      <c r="F5" s="12" t="s">
        <v>7</v>
      </c>
      <c r="G5" s="12" t="s">
        <v>8</v>
      </c>
      <c r="H5" s="14" t="s">
        <v>9</v>
      </c>
      <c r="I5" s="14" t="s">
        <v>10</v>
      </c>
      <c r="J5" s="14" t="s">
        <v>11</v>
      </c>
    </row>
    <row r="6" collapsed="1">
      <c r="A6" s="15" t="s">
        <v>12</v>
      </c>
      <c r="B6" s="16" t="s">
        <v>13</v>
      </c>
      <c r="C6" s="17"/>
      <c r="D6" s="17"/>
      <c r="E6" s="18"/>
      <c r="F6" s="19">
        <v>18.0</v>
      </c>
      <c r="G6" s="19">
        <v>25.0</v>
      </c>
      <c r="H6" s="20" t="s">
        <v>14</v>
      </c>
      <c r="I6" s="21" t="s">
        <v>15</v>
      </c>
      <c r="J6" s="17"/>
    </row>
    <row r="7" ht="108.0" hidden="1" customHeight="1" outlineLevel="1">
      <c r="A7" s="22"/>
      <c r="B7" s="23" t="s">
        <v>16</v>
      </c>
      <c r="C7" s="24" t="s">
        <v>17</v>
      </c>
      <c r="D7" s="24" t="s">
        <v>18</v>
      </c>
      <c r="E7" s="24" t="s">
        <v>19</v>
      </c>
      <c r="F7" s="25">
        <v>4.0</v>
      </c>
      <c r="G7" s="25">
        <v>6.0</v>
      </c>
      <c r="H7" s="26"/>
      <c r="I7" s="22"/>
      <c r="J7" s="22"/>
    </row>
    <row r="8" ht="92.25" hidden="1" customHeight="1" outlineLevel="1">
      <c r="A8" s="27"/>
      <c r="B8" s="28" t="s">
        <v>20</v>
      </c>
      <c r="C8" s="8" t="s">
        <v>21</v>
      </c>
      <c r="D8" s="8" t="s">
        <v>22</v>
      </c>
      <c r="E8" s="8" t="s">
        <v>23</v>
      </c>
      <c r="F8" s="29">
        <v>8.0</v>
      </c>
      <c r="G8" s="29">
        <v>10.0</v>
      </c>
      <c r="H8" s="27"/>
      <c r="I8" s="27"/>
      <c r="J8" s="27"/>
    </row>
    <row r="9" ht="183.75" hidden="1" customHeight="1" outlineLevel="1">
      <c r="A9" s="27"/>
      <c r="B9" s="28" t="s">
        <v>24</v>
      </c>
      <c r="C9" s="8" t="s">
        <v>25</v>
      </c>
      <c r="D9" s="8" t="s">
        <v>26</v>
      </c>
      <c r="E9" s="8" t="s">
        <v>27</v>
      </c>
      <c r="F9" s="30">
        <v>3.0</v>
      </c>
      <c r="G9" s="29">
        <v>4.0</v>
      </c>
      <c r="H9" s="27"/>
      <c r="I9" s="27"/>
      <c r="J9" s="27"/>
    </row>
    <row r="10" ht="129.0" hidden="1" customHeight="1" outlineLevel="1">
      <c r="A10" s="27"/>
      <c r="B10" s="28" t="s">
        <v>28</v>
      </c>
      <c r="C10" s="8" t="s">
        <v>29</v>
      </c>
      <c r="D10" s="8" t="s">
        <v>30</v>
      </c>
      <c r="E10" s="31" t="s">
        <v>31</v>
      </c>
      <c r="F10" s="30">
        <v>3.0</v>
      </c>
      <c r="G10" s="29">
        <v>5.0</v>
      </c>
      <c r="H10" s="27"/>
      <c r="I10" s="27"/>
      <c r="J10" s="27"/>
    </row>
    <row r="11">
      <c r="A11" s="32"/>
      <c r="B11" s="33"/>
      <c r="C11" s="34"/>
      <c r="D11" s="26"/>
      <c r="E11" s="35"/>
      <c r="F11" s="36"/>
      <c r="G11" s="37"/>
      <c r="H11" s="38"/>
      <c r="I11" s="38"/>
      <c r="J11" s="26"/>
    </row>
    <row r="12" collapsed="1">
      <c r="A12" s="39" t="s">
        <v>12</v>
      </c>
      <c r="B12" s="40" t="s">
        <v>32</v>
      </c>
      <c r="C12" s="41"/>
      <c r="D12" s="42"/>
      <c r="E12" s="43"/>
      <c r="F12" s="44">
        <v>7.0</v>
      </c>
      <c r="G12" s="19">
        <v>12.0</v>
      </c>
      <c r="H12" s="20" t="s">
        <v>14</v>
      </c>
      <c r="I12" s="20" t="s">
        <v>15</v>
      </c>
      <c r="J12" s="42"/>
    </row>
    <row r="13" hidden="1" outlineLevel="1">
      <c r="A13" s="26"/>
      <c r="B13" s="45" t="s">
        <v>33</v>
      </c>
      <c r="C13" s="46" t="s">
        <v>34</v>
      </c>
      <c r="D13" s="35" t="s">
        <v>35</v>
      </c>
      <c r="E13" s="24" t="s">
        <v>36</v>
      </c>
      <c r="F13" s="47">
        <v>5.0</v>
      </c>
      <c r="G13" s="48">
        <v>8.0</v>
      </c>
      <c r="H13" s="26"/>
      <c r="I13" s="26"/>
      <c r="J13" s="26"/>
    </row>
    <row r="14" hidden="1" outlineLevel="1">
      <c r="A14" s="26"/>
      <c r="B14" s="45" t="s">
        <v>37</v>
      </c>
      <c r="C14" s="46" t="s">
        <v>38</v>
      </c>
      <c r="D14" s="24" t="s">
        <v>39</v>
      </c>
      <c r="E14" s="24" t="s">
        <v>40</v>
      </c>
      <c r="F14" s="47">
        <v>2.0</v>
      </c>
      <c r="G14" s="48">
        <v>4.0</v>
      </c>
      <c r="H14" s="26"/>
      <c r="I14" s="26"/>
      <c r="J14" s="26"/>
    </row>
    <row r="15">
      <c r="A15" s="22"/>
      <c r="B15" s="49"/>
      <c r="C15" s="35"/>
      <c r="D15" s="35"/>
      <c r="E15" s="35"/>
      <c r="F15" s="36"/>
      <c r="G15" s="50"/>
      <c r="H15" s="22"/>
      <c r="I15" s="22"/>
      <c r="J15" s="22"/>
    </row>
    <row r="16" ht="52.5" customHeight="1">
      <c r="A16" s="15" t="s">
        <v>12</v>
      </c>
      <c r="B16" s="51" t="s">
        <v>41</v>
      </c>
      <c r="C16" s="52"/>
      <c r="D16" s="17"/>
      <c r="E16" s="53"/>
      <c r="F16" s="44">
        <v>54.0</v>
      </c>
      <c r="G16" s="19">
        <v>77.0</v>
      </c>
      <c r="H16" s="21" t="s">
        <v>42</v>
      </c>
      <c r="I16" s="21" t="s">
        <v>15</v>
      </c>
      <c r="J16" s="17"/>
    </row>
    <row r="17" ht="178.5" customHeight="1" outlineLevel="1">
      <c r="A17" s="22"/>
      <c r="B17" s="23" t="s">
        <v>43</v>
      </c>
      <c r="C17" s="24" t="s">
        <v>44</v>
      </c>
      <c r="D17" s="24" t="s">
        <v>45</v>
      </c>
      <c r="E17" s="46" t="s">
        <v>46</v>
      </c>
      <c r="F17" s="54">
        <v>16.0</v>
      </c>
      <c r="G17" s="48">
        <v>20.0</v>
      </c>
      <c r="H17" s="22"/>
      <c r="I17" s="22"/>
      <c r="J17" s="22"/>
    </row>
    <row r="18" ht="176.25" customHeight="1" outlineLevel="1">
      <c r="A18" s="22"/>
      <c r="B18" s="23" t="s">
        <v>47</v>
      </c>
      <c r="C18" s="24" t="s">
        <v>48</v>
      </c>
      <c r="D18" s="24" t="s">
        <v>49</v>
      </c>
      <c r="E18" s="46" t="s">
        <v>50</v>
      </c>
      <c r="F18" s="54">
        <v>16.0</v>
      </c>
      <c r="G18" s="48">
        <v>20.0</v>
      </c>
      <c r="H18" s="22"/>
      <c r="I18" s="22"/>
      <c r="J18" s="22"/>
    </row>
    <row r="19" ht="187.5" customHeight="1" outlineLevel="1">
      <c r="A19" s="55"/>
      <c r="B19" s="28" t="s">
        <v>51</v>
      </c>
      <c r="C19" s="8" t="s">
        <v>52</v>
      </c>
      <c r="D19" s="8" t="s">
        <v>53</v>
      </c>
      <c r="E19" s="56" t="s">
        <v>54</v>
      </c>
      <c r="F19" s="57">
        <v>8.0</v>
      </c>
      <c r="G19" s="58">
        <v>12.0</v>
      </c>
      <c r="H19" s="55"/>
      <c r="I19" s="55"/>
      <c r="J19" s="55"/>
    </row>
    <row r="20" ht="256.5" customHeight="1" outlineLevel="1">
      <c r="A20" s="22"/>
      <c r="B20" s="23" t="s">
        <v>55</v>
      </c>
      <c r="C20" s="24" t="s">
        <v>56</v>
      </c>
      <c r="D20" s="24" t="s">
        <v>57</v>
      </c>
      <c r="E20" s="46" t="s">
        <v>58</v>
      </c>
      <c r="F20" s="54">
        <v>6.0</v>
      </c>
      <c r="G20" s="48">
        <v>10.0</v>
      </c>
      <c r="H20" s="22"/>
      <c r="I20" s="22"/>
      <c r="J20" s="22"/>
    </row>
    <row r="21" ht="76.5" customHeight="1" outlineLevel="1">
      <c r="A21" s="22"/>
      <c r="B21" s="23" t="s">
        <v>59</v>
      </c>
      <c r="C21" s="24" t="s">
        <v>60</v>
      </c>
      <c r="D21" s="24" t="s">
        <v>61</v>
      </c>
      <c r="E21" s="46" t="s">
        <v>62</v>
      </c>
      <c r="F21" s="54">
        <v>8.0</v>
      </c>
      <c r="G21" s="48">
        <v>15.0</v>
      </c>
      <c r="H21" s="22"/>
      <c r="I21" s="22"/>
      <c r="J21" s="22"/>
    </row>
    <row r="22">
      <c r="A22" s="55"/>
      <c r="B22" s="55"/>
      <c r="C22" s="27"/>
      <c r="D22" s="27"/>
      <c r="E22" s="59"/>
      <c r="F22" s="60"/>
      <c r="G22" s="60"/>
      <c r="H22" s="27"/>
      <c r="I22" s="27"/>
      <c r="J22" s="27"/>
    </row>
    <row r="23" ht="19.5" customHeight="1">
      <c r="A23" s="15" t="s">
        <v>12</v>
      </c>
      <c r="B23" s="51" t="s">
        <v>63</v>
      </c>
      <c r="C23" s="42"/>
      <c r="D23" s="42"/>
      <c r="E23" s="43"/>
      <c r="F23" s="44">
        <v>8.0</v>
      </c>
      <c r="G23" s="19">
        <v>10.0</v>
      </c>
      <c r="H23" s="61" t="s">
        <v>14</v>
      </c>
      <c r="I23" s="21" t="s">
        <v>15</v>
      </c>
      <c r="J23" s="17"/>
    </row>
    <row r="24" outlineLevel="1">
      <c r="A24" s="22"/>
      <c r="B24" s="23" t="s">
        <v>64</v>
      </c>
      <c r="C24" s="24" t="s">
        <v>65</v>
      </c>
      <c r="D24" s="24" t="s">
        <v>66</v>
      </c>
      <c r="E24" s="24" t="s">
        <v>67</v>
      </c>
      <c r="F24" s="47">
        <v>8.0</v>
      </c>
      <c r="G24" s="48">
        <v>10.0</v>
      </c>
      <c r="H24" s="22"/>
      <c r="I24" s="22"/>
      <c r="J24" s="22"/>
    </row>
    <row r="25">
      <c r="A25" s="62"/>
      <c r="B25" s="63"/>
      <c r="C25" s="64"/>
      <c r="D25" s="64"/>
      <c r="E25" s="65"/>
      <c r="F25" s="66"/>
      <c r="G25" s="66"/>
      <c r="H25" s="67"/>
      <c r="I25" s="67"/>
      <c r="J25" s="65"/>
    </row>
    <row r="26" collapsed="1">
      <c r="A26" s="68" t="s">
        <v>12</v>
      </c>
      <c r="B26" s="69" t="s">
        <v>68</v>
      </c>
      <c r="C26" s="70"/>
      <c r="D26" s="70"/>
      <c r="E26" s="71"/>
      <c r="F26" s="72">
        <v>9.0</v>
      </c>
      <c r="G26" s="72">
        <v>18.0</v>
      </c>
      <c r="H26" s="61" t="s">
        <v>14</v>
      </c>
      <c r="I26" s="67" t="s">
        <v>15</v>
      </c>
      <c r="J26" s="71"/>
    </row>
    <row r="27" hidden="1" outlineLevel="1">
      <c r="A27" s="22"/>
      <c r="B27" s="23" t="s">
        <v>69</v>
      </c>
      <c r="C27" s="24" t="s">
        <v>70</v>
      </c>
      <c r="D27" s="24" t="s">
        <v>71</v>
      </c>
      <c r="E27" s="24" t="s">
        <v>72</v>
      </c>
      <c r="F27" s="47">
        <v>5.0</v>
      </c>
      <c r="G27" s="48">
        <v>10.0</v>
      </c>
      <c r="H27" s="22"/>
      <c r="I27" s="22"/>
      <c r="J27" s="22"/>
    </row>
    <row r="28" hidden="1" outlineLevel="1">
      <c r="A28" s="22"/>
      <c r="B28" s="23" t="s">
        <v>73</v>
      </c>
      <c r="C28" s="24" t="s">
        <v>74</v>
      </c>
      <c r="D28" s="24" t="s">
        <v>75</v>
      </c>
      <c r="E28" s="24" t="s">
        <v>76</v>
      </c>
      <c r="F28" s="47">
        <v>4.0</v>
      </c>
      <c r="G28" s="48">
        <v>8.0</v>
      </c>
      <c r="H28" s="22"/>
      <c r="I28" s="22"/>
      <c r="J28" s="22"/>
    </row>
    <row r="29">
      <c r="A29" s="65"/>
      <c r="B29" s="65"/>
      <c r="C29" s="65"/>
      <c r="D29" s="65"/>
      <c r="E29" s="65"/>
      <c r="F29" s="73"/>
      <c r="G29" s="66"/>
      <c r="H29" s="65"/>
      <c r="I29" s="65"/>
      <c r="J29" s="65"/>
    </row>
    <row r="30">
      <c r="A30" s="65"/>
      <c r="B30" s="74" t="s">
        <v>77</v>
      </c>
      <c r="C30" s="65"/>
      <c r="D30" s="65"/>
      <c r="E30" s="65"/>
      <c r="F30" s="75">
        <f t="shared" ref="F30:G30" si="1">SUM(F6,F12,F16,F23,F26)</f>
        <v>96</v>
      </c>
      <c r="G30" s="75">
        <f t="shared" si="1"/>
        <v>142</v>
      </c>
      <c r="H30" s="65"/>
      <c r="I30" s="65"/>
      <c r="J30" s="65"/>
    </row>
    <row r="31">
      <c r="A31" s="65"/>
      <c r="B31" s="65"/>
      <c r="C31" s="65"/>
      <c r="D31" s="65"/>
      <c r="E31" s="65"/>
      <c r="F31" s="73"/>
      <c r="G31" s="73"/>
      <c r="H31" s="65"/>
      <c r="I31" s="65"/>
      <c r="J31" s="65"/>
    </row>
    <row r="32">
      <c r="A32" s="76" t="s">
        <v>12</v>
      </c>
      <c r="B32" s="77" t="s">
        <v>78</v>
      </c>
      <c r="C32" s="71"/>
      <c r="D32" s="71"/>
      <c r="E32" s="71"/>
      <c r="F32" s="78">
        <f t="shared" ref="F32:G32" si="2">F30*0.2</f>
        <v>19.2</v>
      </c>
      <c r="G32" s="78">
        <f t="shared" si="2"/>
        <v>28.4</v>
      </c>
      <c r="H32" s="71"/>
      <c r="I32" s="71"/>
      <c r="J32" s="71"/>
    </row>
    <row r="33">
      <c r="A33" s="65"/>
      <c r="B33" s="79" t="s">
        <v>79</v>
      </c>
      <c r="C33" s="65"/>
      <c r="D33" s="65"/>
      <c r="E33" s="65"/>
      <c r="F33" s="66"/>
      <c r="G33" s="66"/>
      <c r="H33" s="65"/>
      <c r="I33" s="65"/>
      <c r="J33" s="65"/>
    </row>
    <row r="34">
      <c r="A34" s="65"/>
      <c r="B34" s="80" t="s">
        <v>80</v>
      </c>
      <c r="C34" s="65"/>
      <c r="D34" s="65"/>
      <c r="E34" s="65"/>
      <c r="F34" s="66"/>
      <c r="G34" s="66"/>
      <c r="H34" s="65"/>
      <c r="I34" s="65"/>
      <c r="J34" s="65"/>
    </row>
    <row r="35">
      <c r="A35" s="65"/>
      <c r="B35" s="81" t="s">
        <v>81</v>
      </c>
      <c r="C35" s="65"/>
      <c r="D35" s="65"/>
      <c r="E35" s="65"/>
      <c r="F35" s="66"/>
      <c r="G35" s="66"/>
      <c r="H35" s="65"/>
      <c r="I35" s="65"/>
      <c r="J35" s="65"/>
    </row>
    <row r="36">
      <c r="A36" s="65"/>
      <c r="B36" s="65"/>
      <c r="C36" s="65"/>
      <c r="D36" s="65"/>
      <c r="E36" s="65"/>
      <c r="F36" s="66"/>
      <c r="G36" s="66"/>
      <c r="H36" s="65"/>
      <c r="I36" s="65"/>
      <c r="J36" s="65"/>
    </row>
    <row r="37">
      <c r="A37" s="82"/>
      <c r="B37" s="82"/>
      <c r="E37" s="83" t="s">
        <v>82</v>
      </c>
      <c r="F37" s="84">
        <f t="shared" ref="F37:G37" si="3">SUM(F30+F32)</f>
        <v>115.2</v>
      </c>
      <c r="G37" s="84">
        <f t="shared" si="3"/>
        <v>170.4</v>
      </c>
      <c r="H37" s="82"/>
      <c r="I37" s="82"/>
      <c r="J37" s="82"/>
    </row>
    <row r="38">
      <c r="A38" s="65"/>
      <c r="B38" s="65"/>
      <c r="C38" s="65"/>
      <c r="D38" s="65"/>
      <c r="E38" s="85"/>
      <c r="F38" s="86"/>
      <c r="G38" s="86"/>
      <c r="H38" s="65"/>
      <c r="I38" s="65"/>
      <c r="J38" s="65"/>
    </row>
    <row r="39">
      <c r="A39" s="65"/>
      <c r="B39" s="65"/>
      <c r="C39" s="65"/>
      <c r="D39" s="65"/>
      <c r="E39" s="65"/>
      <c r="F39" s="66"/>
      <c r="G39" s="66"/>
      <c r="H39" s="65"/>
      <c r="I39" s="65"/>
      <c r="J39" s="65"/>
    </row>
    <row r="40">
      <c r="A40" s="76" t="s">
        <v>12</v>
      </c>
      <c r="B40" s="87" t="s">
        <v>83</v>
      </c>
      <c r="C40" s="71"/>
      <c r="D40" s="71"/>
      <c r="E40" s="71"/>
      <c r="F40" s="88"/>
      <c r="G40" s="88"/>
      <c r="H40" s="61" t="s">
        <v>14</v>
      </c>
      <c r="I40" s="61" t="s">
        <v>15</v>
      </c>
      <c r="J40" s="71"/>
    </row>
    <row r="41">
      <c r="A41" s="27"/>
      <c r="B41" s="89" t="s">
        <v>84</v>
      </c>
      <c r="C41" s="90" t="s">
        <v>85</v>
      </c>
      <c r="D41" s="27"/>
      <c r="E41" s="27"/>
      <c r="F41" s="91"/>
      <c r="G41" s="91"/>
      <c r="H41" s="27"/>
      <c r="I41" s="27"/>
      <c r="J41" s="27"/>
    </row>
    <row r="42">
      <c r="A42" s="65"/>
    </row>
    <row r="43">
      <c r="A43" s="82"/>
      <c r="E43" s="83" t="s">
        <v>86</v>
      </c>
      <c r="F43" s="84">
        <f>(F37+G37)/2</f>
        <v>142.8</v>
      </c>
      <c r="H43" s="82"/>
      <c r="I43" s="82"/>
      <c r="J43" s="82"/>
    </row>
    <row r="44">
      <c r="E44" s="82"/>
      <c r="F44" s="92"/>
      <c r="G44" s="92"/>
      <c r="H44" s="82"/>
      <c r="I44" s="82"/>
      <c r="J44" s="82"/>
    </row>
    <row r="45">
      <c r="E45" s="83" t="s">
        <v>87</v>
      </c>
      <c r="F45" s="93">
        <f>F43*245</f>
        <v>34986</v>
      </c>
      <c r="H45" s="82"/>
      <c r="I45" s="82"/>
      <c r="J45" s="82"/>
    </row>
    <row r="46">
      <c r="E46" s="82"/>
      <c r="F46" s="92"/>
      <c r="G46" s="94"/>
      <c r="H46" s="82"/>
      <c r="I46" s="82"/>
      <c r="J46" s="82"/>
    </row>
    <row r="47">
      <c r="E47" s="83" t="s">
        <v>88</v>
      </c>
      <c r="F47" s="93">
        <f>F45+6600</f>
        <v>41586</v>
      </c>
      <c r="H47" s="82"/>
      <c r="I47" s="82"/>
      <c r="J47" s="82"/>
    </row>
    <row r="48">
      <c r="A48" s="65"/>
      <c r="B48" s="65"/>
      <c r="C48" s="65"/>
      <c r="D48" s="65"/>
      <c r="E48" s="85"/>
      <c r="F48" s="86"/>
      <c r="G48" s="86"/>
      <c r="H48" s="65"/>
      <c r="I48" s="65"/>
      <c r="J48" s="65"/>
    </row>
    <row r="49">
      <c r="A49" s="65"/>
      <c r="B49" s="65"/>
      <c r="C49" s="65"/>
      <c r="D49" s="65"/>
      <c r="E49" s="85"/>
      <c r="F49" s="86"/>
      <c r="G49" s="86"/>
      <c r="H49" s="65"/>
      <c r="I49" s="65"/>
      <c r="J49" s="65"/>
    </row>
    <row r="50">
      <c r="A50" s="65"/>
      <c r="B50" s="65"/>
      <c r="C50" s="65"/>
      <c r="D50" s="65"/>
      <c r="E50" s="85"/>
      <c r="F50" s="86"/>
      <c r="G50" s="86"/>
      <c r="H50" s="65"/>
      <c r="I50" s="65"/>
      <c r="J50" s="65"/>
    </row>
    <row r="51">
      <c r="A51" s="65"/>
      <c r="B51" s="65"/>
      <c r="C51" s="65"/>
      <c r="D51" s="65"/>
      <c r="E51" s="85"/>
      <c r="F51" s="86"/>
      <c r="G51" s="86"/>
      <c r="H51" s="65"/>
      <c r="I51" s="65"/>
      <c r="J51" s="65"/>
    </row>
    <row r="52">
      <c r="A52" s="65"/>
      <c r="B52" s="65"/>
      <c r="C52" s="65"/>
      <c r="D52" s="65"/>
      <c r="E52" s="85"/>
      <c r="F52" s="86"/>
      <c r="G52" s="86"/>
      <c r="H52" s="65"/>
      <c r="I52" s="65"/>
      <c r="J52" s="65"/>
    </row>
    <row r="53">
      <c r="A53" s="65"/>
      <c r="B53" s="65"/>
      <c r="C53" s="65"/>
      <c r="D53" s="65"/>
      <c r="E53" s="85"/>
      <c r="F53" s="86"/>
      <c r="G53" s="86"/>
      <c r="H53" s="65"/>
      <c r="I53" s="65"/>
      <c r="J53" s="65"/>
    </row>
    <row r="54">
      <c r="A54" s="65"/>
      <c r="B54" s="65"/>
      <c r="C54" s="65"/>
      <c r="D54" s="65"/>
      <c r="E54" s="85"/>
      <c r="F54" s="86"/>
      <c r="G54" s="86"/>
      <c r="H54" s="65"/>
      <c r="I54" s="65"/>
      <c r="J54" s="65"/>
    </row>
    <row r="55">
      <c r="A55" s="65"/>
      <c r="B55" s="65"/>
      <c r="C55" s="65"/>
      <c r="D55" s="65"/>
      <c r="E55" s="85"/>
      <c r="F55" s="86"/>
      <c r="G55" s="86"/>
      <c r="H55" s="65"/>
      <c r="I55" s="65"/>
      <c r="J55" s="65"/>
    </row>
    <row r="56">
      <c r="A56" s="65"/>
      <c r="B56" s="65"/>
      <c r="C56" s="65"/>
      <c r="D56" s="65"/>
      <c r="E56" s="85"/>
      <c r="F56" s="86"/>
      <c r="G56" s="86"/>
      <c r="H56" s="65"/>
      <c r="I56" s="65"/>
      <c r="J56" s="65"/>
    </row>
    <row r="57">
      <c r="A57" s="65"/>
      <c r="B57" s="65"/>
      <c r="C57" s="65"/>
      <c r="D57" s="65"/>
      <c r="E57" s="85"/>
      <c r="F57" s="86"/>
      <c r="G57" s="86"/>
      <c r="H57" s="65"/>
      <c r="I57" s="65"/>
      <c r="J57" s="65"/>
    </row>
  </sheetData>
  <mergeCells count="12">
    <mergeCell ref="B37:D37"/>
    <mergeCell ref="A43:D47"/>
    <mergeCell ref="F43:G43"/>
    <mergeCell ref="F45:G45"/>
    <mergeCell ref="F47:G47"/>
    <mergeCell ref="A1:B1"/>
    <mergeCell ref="C1:E1"/>
    <mergeCell ref="A2:D2"/>
    <mergeCell ref="A3:D3"/>
    <mergeCell ref="E3:J3"/>
    <mergeCell ref="A4:J4"/>
    <mergeCell ref="A42:J42"/>
  </mergeCells>
  <dataValidations>
    <dataValidation type="list" allowBlank="1" showErrorMessage="1" sqref="H6 H12 H16 H23 H26 H40">
      <formula1>"High,Standard,Low"</formula1>
    </dataValidation>
    <dataValidation type="list" allowBlank="1" showErrorMessage="1" sqref="I6 I12 I16 I23 I26 I40">
      <formula1>"NOW,NEXT,LATER"</formula1>
    </dataValidation>
  </dataValidations>
  <hyperlinks>
    <hyperlink r:id="rId2" ref="E10"/>
  </hyperlinks>
  <printOptions gridLines="1" horizontalCentered="1"/>
  <pageMargins bottom="0.75" footer="0.0" header="0.0" left="0.25" right="0.25" top="0.75"/>
  <pageSetup fitToHeight="0" cellComments="atEnd" orientation="landscape" pageOrder="overThenDown"/>
  <drawing r:id="rId3"/>
  <legacyDrawing r:id="rId4"/>
  <tableParts count="11">
    <tablePart r:id="rId16"/>
    <tablePart r:id="rId17"/>
    <tablePart r:id="rId18"/>
    <tablePart r:id="rId19"/>
    <tablePart r:id="rId20"/>
    <tablePart r:id="rId21"/>
    <tablePart r:id="rId22"/>
    <tablePart r:id="rId23"/>
    <tablePart r:id="rId24"/>
    <tablePart r:id="rId25"/>
    <tablePart r:id="rId2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7.75"/>
    <col customWidth="1" min="2" max="2" width="32.13"/>
    <col customWidth="1" min="3" max="3" width="36.38"/>
    <col customWidth="1" min="4" max="4" width="44.38"/>
    <col customWidth="1" min="5" max="5" width="34.13"/>
    <col customWidth="1" min="6" max="6" width="18.0"/>
    <col customWidth="1" min="7" max="7" width="16.0"/>
    <col customWidth="1" min="8" max="8" width="16.38"/>
  </cols>
  <sheetData>
    <row r="1">
      <c r="A1" s="1"/>
      <c r="C1" s="2"/>
      <c r="F1" s="3"/>
      <c r="G1" s="4"/>
      <c r="H1" s="1"/>
      <c r="I1" s="5"/>
      <c r="J1" s="95"/>
    </row>
    <row r="2">
      <c r="A2" s="6" t="s">
        <v>1</v>
      </c>
      <c r="E2" s="96" t="s">
        <v>0</v>
      </c>
      <c r="F2" s="3"/>
      <c r="G2" s="4"/>
      <c r="H2" s="1"/>
      <c r="I2" s="5"/>
      <c r="J2" s="95"/>
    </row>
    <row r="3" ht="90.0" customHeight="1">
      <c r="A3" s="8" t="s">
        <v>89</v>
      </c>
      <c r="E3" s="9"/>
    </row>
    <row r="4">
      <c r="A4" s="10"/>
    </row>
    <row r="5">
      <c r="A5" s="1"/>
      <c r="B5" s="11" t="s">
        <v>3</v>
      </c>
      <c r="C5" s="12" t="s">
        <v>4</v>
      </c>
      <c r="D5" s="12" t="s">
        <v>5</v>
      </c>
      <c r="E5" s="13" t="s">
        <v>6</v>
      </c>
      <c r="F5" s="12" t="s">
        <v>7</v>
      </c>
      <c r="G5" s="12" t="s">
        <v>8</v>
      </c>
      <c r="H5" s="14" t="s">
        <v>9</v>
      </c>
      <c r="I5" s="14" t="s">
        <v>10</v>
      </c>
      <c r="J5" s="97"/>
    </row>
    <row r="6" collapsed="1">
      <c r="A6" s="15" t="s">
        <v>12</v>
      </c>
      <c r="B6" s="16" t="s">
        <v>13</v>
      </c>
      <c r="C6" s="17"/>
      <c r="D6" s="17"/>
      <c r="E6" s="18"/>
      <c r="F6" s="19">
        <v>8.0</v>
      </c>
      <c r="G6" s="19">
        <v>12.0</v>
      </c>
      <c r="H6" s="20" t="s">
        <v>14</v>
      </c>
      <c r="I6" s="61" t="s">
        <v>90</v>
      </c>
      <c r="J6" s="55"/>
    </row>
    <row r="7" ht="170.25" hidden="1" customHeight="1" outlineLevel="1">
      <c r="A7" s="22"/>
      <c r="B7" s="23" t="s">
        <v>91</v>
      </c>
      <c r="C7" s="24" t="s">
        <v>92</v>
      </c>
      <c r="D7" s="24" t="s">
        <v>93</v>
      </c>
      <c r="E7" s="46" t="s">
        <v>94</v>
      </c>
      <c r="F7" s="54">
        <v>8.0</v>
      </c>
      <c r="G7" s="48">
        <v>12.0</v>
      </c>
      <c r="H7" s="22"/>
      <c r="I7" s="22"/>
      <c r="J7" s="55"/>
    </row>
    <row r="8">
      <c r="A8" s="27"/>
      <c r="B8" s="28"/>
      <c r="C8" s="8"/>
      <c r="D8" s="8"/>
      <c r="E8" s="8"/>
      <c r="F8" s="29"/>
      <c r="G8" s="29"/>
      <c r="H8" s="27"/>
      <c r="I8" s="27"/>
      <c r="J8" s="27"/>
    </row>
    <row r="9" collapsed="1">
      <c r="A9" s="39" t="s">
        <v>12</v>
      </c>
      <c r="B9" s="40" t="s">
        <v>32</v>
      </c>
      <c r="C9" s="41"/>
      <c r="D9" s="42"/>
      <c r="E9" s="43"/>
      <c r="F9" s="44">
        <v>6.0</v>
      </c>
      <c r="G9" s="19">
        <v>10.0</v>
      </c>
      <c r="H9" s="20" t="s">
        <v>14</v>
      </c>
      <c r="I9" s="61" t="s">
        <v>90</v>
      </c>
      <c r="J9" s="27"/>
    </row>
    <row r="10" hidden="1" outlineLevel="1">
      <c r="A10" s="26"/>
      <c r="B10" s="45" t="s">
        <v>37</v>
      </c>
      <c r="C10" s="46" t="s">
        <v>38</v>
      </c>
      <c r="D10" s="35" t="s">
        <v>95</v>
      </c>
      <c r="E10" s="24" t="s">
        <v>96</v>
      </c>
      <c r="F10" s="47">
        <v>6.0</v>
      </c>
      <c r="G10" s="98">
        <v>10.0</v>
      </c>
      <c r="H10" s="26"/>
      <c r="I10" s="26"/>
      <c r="J10" s="27"/>
    </row>
    <row r="11">
      <c r="A11" s="22"/>
      <c r="B11" s="49"/>
      <c r="C11" s="35"/>
      <c r="D11" s="35"/>
      <c r="E11" s="35"/>
      <c r="F11" s="36"/>
      <c r="G11" s="50"/>
      <c r="H11" s="22"/>
      <c r="I11" s="22"/>
      <c r="J11" s="55"/>
    </row>
    <row r="12" collapsed="1">
      <c r="A12" s="15" t="s">
        <v>12</v>
      </c>
      <c r="B12" s="51" t="s">
        <v>97</v>
      </c>
      <c r="C12" s="52"/>
      <c r="D12" s="17"/>
      <c r="E12" s="53"/>
      <c r="F12" s="44">
        <v>28.0</v>
      </c>
      <c r="G12" s="19">
        <v>42.0</v>
      </c>
      <c r="H12" s="21" t="s">
        <v>42</v>
      </c>
      <c r="I12" s="61" t="s">
        <v>90</v>
      </c>
      <c r="J12" s="99"/>
      <c r="K12" s="100"/>
      <c r="L12" s="8"/>
      <c r="M12" s="55"/>
      <c r="N12" s="101"/>
      <c r="O12" s="102"/>
      <c r="P12" s="55"/>
      <c r="Q12" s="103"/>
      <c r="R12" s="104"/>
    </row>
    <row r="13" hidden="1" outlineLevel="1">
      <c r="A13" s="22"/>
      <c r="B13" s="23" t="s">
        <v>98</v>
      </c>
      <c r="C13" s="24" t="s">
        <v>99</v>
      </c>
      <c r="D13" s="24" t="s">
        <v>100</v>
      </c>
      <c r="E13" s="46" t="s">
        <v>101</v>
      </c>
      <c r="F13" s="54">
        <v>8.0</v>
      </c>
      <c r="G13" s="48">
        <v>12.0</v>
      </c>
      <c r="H13" s="22"/>
      <c r="I13" s="22"/>
      <c r="J13" s="55"/>
      <c r="K13" s="28"/>
      <c r="L13" s="8"/>
      <c r="M13" s="8"/>
      <c r="N13" s="56"/>
      <c r="O13" s="57"/>
      <c r="P13" s="58"/>
      <c r="Q13" s="55"/>
      <c r="R13" s="55"/>
    </row>
    <row r="14" hidden="1" outlineLevel="1">
      <c r="A14" s="22"/>
      <c r="B14" s="23" t="s">
        <v>102</v>
      </c>
      <c r="C14" s="24" t="s">
        <v>103</v>
      </c>
      <c r="D14" s="24" t="s">
        <v>104</v>
      </c>
      <c r="E14" s="46" t="s">
        <v>105</v>
      </c>
      <c r="F14" s="54">
        <v>8.0</v>
      </c>
      <c r="G14" s="48">
        <v>12.0</v>
      </c>
      <c r="H14" s="22"/>
      <c r="I14" s="22"/>
      <c r="J14" s="55"/>
      <c r="K14" s="28"/>
      <c r="L14" s="8"/>
      <c r="M14" s="8"/>
      <c r="N14" s="56"/>
      <c r="O14" s="57"/>
      <c r="P14" s="58"/>
      <c r="Q14" s="55"/>
      <c r="R14" s="55"/>
    </row>
    <row r="15" hidden="1" outlineLevel="1">
      <c r="A15" s="22"/>
      <c r="B15" s="23" t="s">
        <v>106</v>
      </c>
      <c r="C15" s="24" t="s">
        <v>107</v>
      </c>
      <c r="D15" s="24" t="s">
        <v>53</v>
      </c>
      <c r="E15" s="46" t="s">
        <v>108</v>
      </c>
      <c r="F15" s="54">
        <v>4.0</v>
      </c>
      <c r="G15" s="48">
        <v>6.0</v>
      </c>
      <c r="H15" s="22"/>
      <c r="I15" s="22"/>
      <c r="J15" s="55"/>
      <c r="K15" s="28"/>
      <c r="L15" s="8"/>
      <c r="M15" s="8"/>
      <c r="N15" s="56"/>
      <c r="O15" s="57"/>
      <c r="P15" s="58"/>
      <c r="Q15" s="55"/>
      <c r="R15" s="55"/>
    </row>
    <row r="16" hidden="1" outlineLevel="1">
      <c r="A16" s="64"/>
      <c r="B16" s="105" t="s">
        <v>109</v>
      </c>
      <c r="C16" s="106" t="s">
        <v>110</v>
      </c>
      <c r="D16" s="106" t="s">
        <v>111</v>
      </c>
      <c r="E16" s="107" t="s">
        <v>112</v>
      </c>
      <c r="F16" s="108">
        <v>8.0</v>
      </c>
      <c r="G16" s="109">
        <v>12.0</v>
      </c>
      <c r="H16" s="64"/>
      <c r="I16" s="64"/>
      <c r="J16" s="64"/>
      <c r="K16" s="64"/>
      <c r="L16" s="64"/>
      <c r="M16" s="64"/>
      <c r="N16" s="110"/>
      <c r="O16" s="110"/>
      <c r="P16" s="64"/>
      <c r="Q16" s="64"/>
      <c r="R16" s="64"/>
      <c r="S16" s="111"/>
      <c r="T16" s="111"/>
      <c r="U16" s="111"/>
      <c r="V16" s="111"/>
      <c r="W16" s="111"/>
      <c r="X16" s="111"/>
      <c r="Y16" s="111"/>
      <c r="Z16" s="111"/>
    </row>
    <row r="17">
      <c r="A17" s="22"/>
      <c r="B17" s="23"/>
      <c r="C17" s="24"/>
      <c r="D17" s="24"/>
      <c r="E17" s="46"/>
      <c r="F17" s="54"/>
      <c r="G17" s="48"/>
      <c r="H17" s="22"/>
      <c r="I17" s="22"/>
      <c r="J17" s="55"/>
      <c r="K17" s="28"/>
      <c r="L17" s="8"/>
      <c r="M17" s="8"/>
      <c r="N17" s="56"/>
      <c r="O17" s="57"/>
      <c r="P17" s="58"/>
      <c r="Q17" s="55"/>
      <c r="R17" s="55"/>
    </row>
    <row r="18" collapsed="1">
      <c r="A18" s="15" t="s">
        <v>12</v>
      </c>
      <c r="B18" s="51" t="s">
        <v>113</v>
      </c>
      <c r="C18" s="17"/>
      <c r="D18" s="17"/>
      <c r="E18" s="18"/>
      <c r="F18" s="19">
        <v>8.0</v>
      </c>
      <c r="G18" s="19">
        <v>12.0</v>
      </c>
      <c r="H18" s="20" t="s">
        <v>14</v>
      </c>
      <c r="I18" s="61" t="s">
        <v>90</v>
      </c>
      <c r="J18" s="55"/>
      <c r="K18" s="28"/>
      <c r="L18" s="8"/>
      <c r="M18" s="8"/>
      <c r="N18" s="56"/>
      <c r="O18" s="57"/>
      <c r="P18" s="58"/>
      <c r="Q18" s="55"/>
      <c r="R18" s="55"/>
    </row>
    <row r="19" hidden="1" outlineLevel="1">
      <c r="A19" s="22"/>
      <c r="B19" s="23" t="s">
        <v>114</v>
      </c>
      <c r="C19" s="24" t="s">
        <v>115</v>
      </c>
      <c r="D19" s="24" t="s">
        <v>116</v>
      </c>
      <c r="E19" s="46" t="s">
        <v>117</v>
      </c>
      <c r="F19" s="54">
        <v>6.0</v>
      </c>
      <c r="G19" s="48">
        <v>10.0</v>
      </c>
      <c r="H19" s="22"/>
      <c r="I19" s="22"/>
      <c r="J19" s="55"/>
      <c r="K19" s="28"/>
      <c r="L19" s="8"/>
      <c r="M19" s="8"/>
      <c r="N19" s="56"/>
      <c r="O19" s="57"/>
      <c r="P19" s="58"/>
      <c r="Q19" s="55"/>
      <c r="R19" s="55"/>
    </row>
    <row r="20" hidden="1" outlineLevel="1">
      <c r="A20" s="22"/>
      <c r="B20" s="23" t="s">
        <v>118</v>
      </c>
      <c r="C20" s="112" t="s">
        <v>119</v>
      </c>
      <c r="D20" s="24" t="s">
        <v>120</v>
      </c>
      <c r="E20" s="46" t="s">
        <v>121</v>
      </c>
      <c r="F20" s="54"/>
      <c r="G20" s="48"/>
      <c r="H20" s="22"/>
      <c r="I20" s="22"/>
      <c r="J20" s="55"/>
      <c r="K20" s="28"/>
      <c r="M20" s="8"/>
      <c r="N20" s="56"/>
      <c r="O20" s="57"/>
      <c r="P20" s="58"/>
      <c r="Q20" s="55"/>
      <c r="R20" s="55"/>
    </row>
    <row r="21">
      <c r="A21" s="62"/>
      <c r="B21" s="63"/>
      <c r="C21" s="64"/>
      <c r="D21" s="64"/>
      <c r="E21" s="65"/>
      <c r="F21" s="66"/>
      <c r="G21" s="66"/>
      <c r="H21" s="67"/>
      <c r="I21" s="67"/>
      <c r="J21" s="65"/>
    </row>
    <row r="22" collapsed="1">
      <c r="A22" s="68" t="s">
        <v>12</v>
      </c>
      <c r="B22" s="69" t="s">
        <v>68</v>
      </c>
      <c r="C22" s="70"/>
      <c r="D22" s="70"/>
      <c r="E22" s="71"/>
      <c r="F22" s="72">
        <v>9.0</v>
      </c>
      <c r="G22" s="72">
        <v>18.0</v>
      </c>
      <c r="H22" s="61" t="s">
        <v>14</v>
      </c>
      <c r="I22" s="113" t="s">
        <v>90</v>
      </c>
      <c r="J22" s="65"/>
    </row>
    <row r="23" hidden="1" outlineLevel="1">
      <c r="A23" s="22"/>
      <c r="B23" s="23" t="s">
        <v>69</v>
      </c>
      <c r="C23" s="24" t="s">
        <v>70</v>
      </c>
      <c r="D23" s="24" t="s">
        <v>71</v>
      </c>
      <c r="E23" s="24" t="s">
        <v>122</v>
      </c>
      <c r="F23" s="47">
        <v>5.0</v>
      </c>
      <c r="G23" s="48">
        <v>10.0</v>
      </c>
      <c r="H23" s="22"/>
      <c r="I23" s="22"/>
      <c r="J23" s="55"/>
    </row>
    <row r="24" hidden="1" outlineLevel="1">
      <c r="A24" s="22"/>
      <c r="B24" s="23" t="s">
        <v>73</v>
      </c>
      <c r="C24" s="24" t="s">
        <v>74</v>
      </c>
      <c r="D24" s="24" t="s">
        <v>75</v>
      </c>
      <c r="E24" s="24" t="s">
        <v>76</v>
      </c>
      <c r="F24" s="47">
        <v>4.0</v>
      </c>
      <c r="G24" s="48">
        <v>8.0</v>
      </c>
      <c r="H24" s="22"/>
      <c r="I24" s="22"/>
      <c r="J24" s="55"/>
    </row>
    <row r="25">
      <c r="A25" s="65"/>
      <c r="B25" s="65"/>
      <c r="C25" s="65"/>
      <c r="D25" s="65"/>
      <c r="E25" s="65"/>
      <c r="F25" s="73"/>
      <c r="G25" s="66"/>
      <c r="H25" s="65"/>
      <c r="I25" s="65"/>
      <c r="J25" s="65"/>
    </row>
    <row r="26">
      <c r="A26" s="65"/>
      <c r="B26" s="74" t="s">
        <v>77</v>
      </c>
      <c r="C26" s="65"/>
      <c r="D26" s="65"/>
      <c r="E26" s="65"/>
      <c r="F26" s="75">
        <f t="shared" ref="F26:G26" si="1">SUM(F6,F9,F12,F18,F22)</f>
        <v>59</v>
      </c>
      <c r="G26" s="75">
        <f t="shared" si="1"/>
        <v>94</v>
      </c>
      <c r="H26" s="65"/>
      <c r="I26" s="65"/>
      <c r="J26" s="65"/>
    </row>
    <row r="27">
      <c r="A27" s="65"/>
      <c r="B27" s="65"/>
      <c r="C27" s="65"/>
      <c r="D27" s="65"/>
      <c r="E27" s="65"/>
      <c r="F27" s="73"/>
      <c r="G27" s="73"/>
      <c r="H27" s="65"/>
      <c r="I27" s="65"/>
      <c r="J27" s="65"/>
    </row>
    <row r="28">
      <c r="A28" s="76" t="s">
        <v>12</v>
      </c>
      <c r="B28" s="77" t="s">
        <v>78</v>
      </c>
      <c r="C28" s="71"/>
      <c r="D28" s="71"/>
      <c r="E28" s="71"/>
      <c r="F28" s="78">
        <f t="shared" ref="F28:G28" si="2">F26*0.2</f>
        <v>11.8</v>
      </c>
      <c r="G28" s="78">
        <f t="shared" si="2"/>
        <v>18.8</v>
      </c>
      <c r="H28" s="71"/>
      <c r="I28" s="71"/>
      <c r="J28" s="65"/>
    </row>
    <row r="29">
      <c r="A29" s="65"/>
      <c r="B29" s="79" t="s">
        <v>79</v>
      </c>
      <c r="C29" s="65"/>
      <c r="D29" s="65"/>
      <c r="E29" s="65"/>
      <c r="F29" s="66"/>
      <c r="G29" s="66"/>
      <c r="H29" s="65"/>
      <c r="I29" s="65"/>
      <c r="J29" s="65"/>
    </row>
    <row r="30">
      <c r="A30" s="65"/>
      <c r="B30" s="80" t="s">
        <v>80</v>
      </c>
      <c r="C30" s="65"/>
      <c r="D30" s="65"/>
      <c r="E30" s="65"/>
      <c r="F30" s="66"/>
      <c r="G30" s="66"/>
      <c r="H30" s="65"/>
      <c r="I30" s="65"/>
      <c r="J30" s="65"/>
    </row>
    <row r="31">
      <c r="A31" s="65"/>
      <c r="B31" s="81" t="s">
        <v>81</v>
      </c>
      <c r="C31" s="65"/>
      <c r="D31" s="65"/>
      <c r="E31" s="65"/>
      <c r="F31" s="66"/>
      <c r="G31" s="66"/>
      <c r="H31" s="65"/>
      <c r="I31" s="65"/>
      <c r="J31" s="65"/>
    </row>
    <row r="32">
      <c r="A32" s="65"/>
      <c r="B32" s="65"/>
      <c r="C32" s="65"/>
      <c r="D32" s="65"/>
      <c r="E32" s="65"/>
      <c r="F32" s="66"/>
      <c r="G32" s="66"/>
      <c r="H32" s="65"/>
      <c r="I32" s="65"/>
      <c r="J32" s="65"/>
    </row>
    <row r="33">
      <c r="A33" s="82"/>
      <c r="B33" s="82"/>
      <c r="E33" s="83" t="s">
        <v>82</v>
      </c>
      <c r="F33" s="84">
        <f t="shared" ref="F33:G33" si="3">SUM(F26+F28)</f>
        <v>70.8</v>
      </c>
      <c r="G33" s="84">
        <f t="shared" si="3"/>
        <v>112.8</v>
      </c>
      <c r="H33" s="82"/>
      <c r="I33" s="82"/>
      <c r="J33" s="65"/>
    </row>
    <row r="34">
      <c r="A34" s="65"/>
      <c r="B34" s="65"/>
      <c r="C34" s="65"/>
      <c r="D34" s="65"/>
      <c r="E34" s="85"/>
      <c r="F34" s="86"/>
      <c r="G34" s="86"/>
      <c r="H34" s="65"/>
      <c r="I34" s="65"/>
      <c r="J34" s="65"/>
    </row>
    <row r="35">
      <c r="A35" s="65"/>
      <c r="B35" s="65"/>
      <c r="C35" s="65"/>
      <c r="D35" s="65"/>
      <c r="E35" s="65"/>
      <c r="F35" s="66"/>
      <c r="G35" s="66"/>
      <c r="H35" s="65"/>
      <c r="I35" s="65"/>
      <c r="J35" s="65"/>
    </row>
    <row r="36">
      <c r="A36" s="76" t="s">
        <v>12</v>
      </c>
      <c r="B36" s="87" t="s">
        <v>83</v>
      </c>
      <c r="C36" s="71"/>
      <c r="D36" s="71"/>
      <c r="E36" s="71"/>
      <c r="F36" s="88"/>
      <c r="G36" s="88"/>
      <c r="H36" s="61" t="s">
        <v>14</v>
      </c>
      <c r="I36" s="61" t="s">
        <v>90</v>
      </c>
      <c r="J36" s="65"/>
    </row>
    <row r="37">
      <c r="A37" s="27"/>
      <c r="B37" s="89" t="s">
        <v>84</v>
      </c>
      <c r="C37" s="90" t="s">
        <v>85</v>
      </c>
      <c r="D37" s="27"/>
      <c r="E37" s="27"/>
      <c r="F37" s="91"/>
      <c r="G37" s="91"/>
      <c r="H37" s="27"/>
      <c r="I37" s="27"/>
      <c r="J37" s="27"/>
    </row>
    <row r="38">
      <c r="A38" s="65"/>
    </row>
    <row r="39">
      <c r="A39" s="82"/>
      <c r="E39" s="83" t="s">
        <v>86</v>
      </c>
      <c r="F39" s="84">
        <f>(F33+G33)/2</f>
        <v>91.8</v>
      </c>
      <c r="H39" s="82"/>
      <c r="I39" s="82"/>
      <c r="J39" s="65"/>
    </row>
    <row r="40">
      <c r="E40" s="82"/>
      <c r="F40" s="92"/>
      <c r="G40" s="92"/>
      <c r="H40" s="82"/>
      <c r="I40" s="82"/>
      <c r="J40" s="65"/>
    </row>
    <row r="41">
      <c r="E41" s="83" t="s">
        <v>87</v>
      </c>
      <c r="F41" s="93">
        <f>F39*245</f>
        <v>22491</v>
      </c>
      <c r="H41" s="82"/>
      <c r="I41" s="82"/>
      <c r="J41" s="65"/>
    </row>
    <row r="42">
      <c r="E42" s="82"/>
      <c r="F42" s="92"/>
      <c r="G42" s="94"/>
      <c r="H42" s="82"/>
      <c r="I42" s="82"/>
      <c r="J42" s="65"/>
    </row>
    <row r="43">
      <c r="E43" s="83" t="s">
        <v>88</v>
      </c>
      <c r="F43" s="93">
        <f>F41+6600</f>
        <v>29091</v>
      </c>
      <c r="H43" s="82"/>
      <c r="I43" s="82"/>
      <c r="J43" s="65"/>
    </row>
    <row r="44">
      <c r="A44" s="65"/>
      <c r="B44" s="65"/>
      <c r="C44" s="65"/>
      <c r="D44" s="65"/>
      <c r="E44" s="85"/>
      <c r="F44" s="86"/>
      <c r="G44" s="86"/>
      <c r="H44" s="65"/>
      <c r="I44" s="65"/>
      <c r="J44" s="65"/>
    </row>
    <row r="45">
      <c r="A45" s="65"/>
      <c r="B45" s="65"/>
      <c r="C45" s="65"/>
      <c r="D45" s="65"/>
      <c r="E45" s="85"/>
      <c r="F45" s="86"/>
      <c r="G45" s="86"/>
      <c r="H45" s="65"/>
      <c r="I45" s="65"/>
      <c r="J45" s="65"/>
    </row>
    <row r="46">
      <c r="A46" s="65"/>
      <c r="B46" s="65"/>
      <c r="C46" s="65"/>
      <c r="D46" s="65"/>
      <c r="E46" s="85"/>
      <c r="F46" s="86"/>
      <c r="G46" s="86"/>
      <c r="H46" s="65"/>
      <c r="I46" s="65"/>
      <c r="J46" s="65"/>
    </row>
    <row r="47">
      <c r="A47" s="65"/>
      <c r="B47" s="65"/>
      <c r="C47" s="65"/>
      <c r="D47" s="65"/>
      <c r="E47" s="85"/>
      <c r="F47" s="86"/>
      <c r="G47" s="86"/>
      <c r="H47" s="65"/>
      <c r="I47" s="65"/>
      <c r="J47" s="65"/>
    </row>
    <row r="48">
      <c r="A48" s="65"/>
      <c r="B48" s="65"/>
      <c r="C48" s="65"/>
      <c r="D48" s="65"/>
      <c r="E48" s="85"/>
      <c r="F48" s="86"/>
      <c r="G48" s="86"/>
      <c r="H48" s="65"/>
      <c r="I48" s="65"/>
      <c r="J48" s="65"/>
    </row>
    <row r="49">
      <c r="F49" s="114"/>
      <c r="G49" s="114"/>
    </row>
    <row r="50">
      <c r="F50" s="114"/>
      <c r="G50" s="114"/>
    </row>
    <row r="51">
      <c r="F51" s="114"/>
      <c r="G51" s="114"/>
    </row>
    <row r="52">
      <c r="F52" s="114"/>
      <c r="G52" s="114"/>
    </row>
    <row r="53">
      <c r="F53" s="114"/>
      <c r="G53" s="114"/>
    </row>
    <row r="54">
      <c r="F54" s="114"/>
      <c r="G54" s="114"/>
    </row>
    <row r="55">
      <c r="F55" s="114"/>
      <c r="G55" s="114"/>
    </row>
    <row r="56">
      <c r="F56" s="114"/>
      <c r="G56" s="114"/>
    </row>
    <row r="57">
      <c r="F57" s="114"/>
      <c r="G57" s="114"/>
    </row>
    <row r="58">
      <c r="F58" s="114"/>
      <c r="G58" s="114"/>
    </row>
    <row r="59">
      <c r="F59" s="114"/>
      <c r="G59" s="114"/>
    </row>
    <row r="60">
      <c r="F60" s="114"/>
      <c r="G60" s="114"/>
    </row>
    <row r="61">
      <c r="F61" s="114"/>
      <c r="G61" s="114"/>
    </row>
    <row r="62">
      <c r="F62" s="114"/>
      <c r="G62" s="114"/>
    </row>
    <row r="63">
      <c r="F63" s="114"/>
      <c r="G63" s="114"/>
    </row>
    <row r="64">
      <c r="F64" s="114"/>
      <c r="G64" s="114"/>
    </row>
    <row r="65">
      <c r="F65" s="114"/>
      <c r="G65" s="114"/>
    </row>
    <row r="66">
      <c r="F66" s="114"/>
      <c r="G66" s="114"/>
    </row>
    <row r="67">
      <c r="F67" s="114"/>
      <c r="G67" s="114"/>
    </row>
    <row r="68">
      <c r="F68" s="114"/>
      <c r="G68" s="114"/>
    </row>
    <row r="69">
      <c r="F69" s="114"/>
      <c r="G69" s="114"/>
    </row>
    <row r="70">
      <c r="F70" s="114"/>
      <c r="G70" s="114"/>
    </row>
    <row r="71">
      <c r="F71" s="114"/>
      <c r="G71" s="114"/>
    </row>
    <row r="72">
      <c r="F72" s="114"/>
      <c r="G72" s="114"/>
    </row>
    <row r="73">
      <c r="F73" s="114"/>
      <c r="G73" s="114"/>
    </row>
    <row r="74">
      <c r="F74" s="114"/>
      <c r="G74" s="114"/>
    </row>
    <row r="75">
      <c r="F75" s="114"/>
      <c r="G75" s="114"/>
    </row>
    <row r="76">
      <c r="F76" s="114"/>
      <c r="G76" s="114"/>
    </row>
    <row r="77">
      <c r="F77" s="114"/>
      <c r="G77" s="114"/>
    </row>
    <row r="78">
      <c r="F78" s="114"/>
      <c r="G78" s="114"/>
    </row>
    <row r="79">
      <c r="F79" s="114"/>
      <c r="G79" s="114"/>
    </row>
    <row r="80">
      <c r="F80" s="114"/>
      <c r="G80" s="114"/>
    </row>
    <row r="81">
      <c r="F81" s="114"/>
      <c r="G81" s="114"/>
    </row>
    <row r="82">
      <c r="F82" s="114"/>
      <c r="G82" s="114"/>
    </row>
    <row r="83">
      <c r="F83" s="114"/>
      <c r="G83" s="114"/>
    </row>
    <row r="84">
      <c r="F84" s="114"/>
      <c r="G84" s="114"/>
    </row>
    <row r="85">
      <c r="F85" s="114"/>
      <c r="G85" s="114"/>
    </row>
    <row r="86">
      <c r="F86" s="114"/>
      <c r="G86" s="114"/>
    </row>
    <row r="87">
      <c r="F87" s="114"/>
      <c r="G87" s="114"/>
    </row>
    <row r="88">
      <c r="F88" s="114"/>
      <c r="G88" s="114"/>
    </row>
    <row r="89">
      <c r="F89" s="114"/>
      <c r="G89" s="114"/>
    </row>
    <row r="90">
      <c r="F90" s="114"/>
      <c r="G90" s="114"/>
    </row>
    <row r="91">
      <c r="F91" s="114"/>
      <c r="G91" s="114"/>
    </row>
    <row r="92">
      <c r="F92" s="114"/>
      <c r="G92" s="114"/>
    </row>
    <row r="93">
      <c r="F93" s="114"/>
      <c r="G93" s="114"/>
    </row>
    <row r="94">
      <c r="F94" s="114"/>
      <c r="G94" s="114"/>
    </row>
    <row r="95">
      <c r="F95" s="114"/>
      <c r="G95" s="114"/>
    </row>
    <row r="96">
      <c r="F96" s="114"/>
      <c r="G96" s="114"/>
    </row>
    <row r="97">
      <c r="F97" s="114"/>
      <c r="G97" s="114"/>
    </row>
    <row r="98">
      <c r="F98" s="114"/>
      <c r="G98" s="114"/>
    </row>
    <row r="99">
      <c r="F99" s="114"/>
      <c r="G99" s="114"/>
    </row>
    <row r="100">
      <c r="F100" s="114"/>
      <c r="G100" s="114"/>
    </row>
    <row r="101">
      <c r="F101" s="114"/>
      <c r="G101" s="114"/>
    </row>
    <row r="102">
      <c r="F102" s="114"/>
      <c r="G102" s="114"/>
    </row>
    <row r="103">
      <c r="F103" s="114"/>
      <c r="G103" s="114"/>
    </row>
    <row r="104">
      <c r="F104" s="114"/>
      <c r="G104" s="114"/>
    </row>
    <row r="105">
      <c r="F105" s="114"/>
      <c r="G105" s="114"/>
    </row>
    <row r="106">
      <c r="F106" s="114"/>
      <c r="G106" s="114"/>
    </row>
    <row r="107">
      <c r="F107" s="114"/>
      <c r="G107" s="114"/>
    </row>
    <row r="108">
      <c r="F108" s="114"/>
      <c r="G108" s="114"/>
    </row>
    <row r="109">
      <c r="F109" s="114"/>
      <c r="G109" s="114"/>
    </row>
    <row r="110">
      <c r="F110" s="114"/>
      <c r="G110" s="114"/>
    </row>
    <row r="111">
      <c r="F111" s="114"/>
      <c r="G111" s="114"/>
    </row>
    <row r="112">
      <c r="F112" s="114"/>
      <c r="G112" s="114"/>
    </row>
    <row r="113">
      <c r="F113" s="114"/>
      <c r="G113" s="114"/>
    </row>
    <row r="114">
      <c r="F114" s="114"/>
      <c r="G114" s="114"/>
    </row>
    <row r="115">
      <c r="F115" s="114"/>
      <c r="G115" s="114"/>
    </row>
    <row r="116">
      <c r="F116" s="114"/>
      <c r="G116" s="114"/>
    </row>
    <row r="117">
      <c r="F117" s="114"/>
      <c r="G117" s="114"/>
    </row>
    <row r="118">
      <c r="F118" s="114"/>
      <c r="G118" s="114"/>
    </row>
    <row r="119">
      <c r="F119" s="114"/>
      <c r="G119" s="114"/>
    </row>
    <row r="120">
      <c r="F120" s="114"/>
      <c r="G120" s="114"/>
    </row>
    <row r="121">
      <c r="F121" s="114"/>
      <c r="G121" s="114"/>
    </row>
    <row r="122">
      <c r="F122" s="114"/>
      <c r="G122" s="114"/>
    </row>
    <row r="123">
      <c r="F123" s="114"/>
      <c r="G123" s="114"/>
    </row>
    <row r="124">
      <c r="F124" s="114"/>
      <c r="G124" s="114"/>
    </row>
    <row r="125">
      <c r="F125" s="114"/>
      <c r="G125" s="114"/>
    </row>
    <row r="126">
      <c r="F126" s="114"/>
      <c r="G126" s="114"/>
    </row>
    <row r="127">
      <c r="F127" s="114"/>
      <c r="G127" s="114"/>
    </row>
    <row r="128">
      <c r="F128" s="114"/>
      <c r="G128" s="114"/>
    </row>
    <row r="129">
      <c r="F129" s="114"/>
      <c r="G129" s="114"/>
    </row>
    <row r="130">
      <c r="F130" s="114"/>
      <c r="G130" s="114"/>
    </row>
    <row r="131">
      <c r="F131" s="114"/>
      <c r="G131" s="114"/>
    </row>
    <row r="132">
      <c r="F132" s="114"/>
      <c r="G132" s="114"/>
    </row>
    <row r="133">
      <c r="F133" s="114"/>
      <c r="G133" s="114"/>
    </row>
    <row r="134">
      <c r="F134" s="114"/>
      <c r="G134" s="114"/>
    </row>
    <row r="135">
      <c r="F135" s="114"/>
      <c r="G135" s="114"/>
    </row>
    <row r="136">
      <c r="F136" s="114"/>
      <c r="G136" s="114"/>
    </row>
    <row r="137">
      <c r="F137" s="114"/>
      <c r="G137" s="114"/>
    </row>
    <row r="138">
      <c r="F138" s="114"/>
      <c r="G138" s="114"/>
    </row>
    <row r="139">
      <c r="F139" s="114"/>
      <c r="G139" s="114"/>
    </row>
    <row r="140">
      <c r="F140" s="114"/>
      <c r="G140" s="114"/>
    </row>
    <row r="141">
      <c r="F141" s="114"/>
      <c r="G141" s="114"/>
    </row>
    <row r="142">
      <c r="F142" s="114"/>
      <c r="G142" s="114"/>
    </row>
    <row r="143">
      <c r="F143" s="114"/>
      <c r="G143" s="114"/>
    </row>
    <row r="144">
      <c r="F144" s="114"/>
      <c r="G144" s="114"/>
    </row>
    <row r="145">
      <c r="F145" s="114"/>
      <c r="G145" s="114"/>
    </row>
    <row r="146">
      <c r="F146" s="114"/>
      <c r="G146" s="114"/>
    </row>
    <row r="147">
      <c r="F147" s="114"/>
      <c r="G147" s="114"/>
    </row>
    <row r="148">
      <c r="F148" s="114"/>
      <c r="G148" s="114"/>
    </row>
    <row r="149">
      <c r="F149" s="114"/>
      <c r="G149" s="114"/>
    </row>
    <row r="150">
      <c r="F150" s="114"/>
      <c r="G150" s="114"/>
    </row>
    <row r="151">
      <c r="F151" s="114"/>
      <c r="G151" s="114"/>
    </row>
    <row r="152">
      <c r="F152" s="114"/>
      <c r="G152" s="114"/>
    </row>
    <row r="153">
      <c r="F153" s="114"/>
      <c r="G153" s="114"/>
    </row>
    <row r="154">
      <c r="F154" s="114"/>
      <c r="G154" s="114"/>
    </row>
    <row r="155">
      <c r="F155" s="114"/>
      <c r="G155" s="114"/>
    </row>
    <row r="156">
      <c r="F156" s="114"/>
      <c r="G156" s="114"/>
    </row>
    <row r="157">
      <c r="F157" s="114"/>
      <c r="G157" s="114"/>
    </row>
    <row r="158">
      <c r="F158" s="114"/>
      <c r="G158" s="114"/>
    </row>
    <row r="159">
      <c r="F159" s="114"/>
      <c r="G159" s="114"/>
    </row>
    <row r="160">
      <c r="F160" s="114"/>
      <c r="G160" s="114"/>
    </row>
    <row r="161">
      <c r="F161" s="114"/>
      <c r="G161" s="114"/>
    </row>
    <row r="162">
      <c r="F162" s="114"/>
      <c r="G162" s="114"/>
    </row>
    <row r="163">
      <c r="F163" s="114"/>
      <c r="G163" s="114"/>
    </row>
    <row r="164">
      <c r="F164" s="114"/>
      <c r="G164" s="114"/>
    </row>
    <row r="165">
      <c r="F165" s="114"/>
      <c r="G165" s="114"/>
    </row>
    <row r="166">
      <c r="F166" s="114"/>
      <c r="G166" s="114"/>
    </row>
    <row r="167">
      <c r="F167" s="114"/>
      <c r="G167" s="114"/>
    </row>
    <row r="168">
      <c r="F168" s="114"/>
      <c r="G168" s="114"/>
    </row>
    <row r="169">
      <c r="F169" s="114"/>
      <c r="G169" s="114"/>
    </row>
    <row r="170">
      <c r="F170" s="114"/>
      <c r="G170" s="114"/>
    </row>
    <row r="171">
      <c r="F171" s="114"/>
      <c r="G171" s="114"/>
    </row>
    <row r="172">
      <c r="F172" s="114"/>
      <c r="G172" s="114"/>
    </row>
    <row r="173">
      <c r="F173" s="114"/>
      <c r="G173" s="114"/>
    </row>
    <row r="174">
      <c r="F174" s="114"/>
      <c r="G174" s="114"/>
    </row>
    <row r="175">
      <c r="F175" s="114"/>
      <c r="G175" s="114"/>
    </row>
    <row r="176">
      <c r="F176" s="114"/>
      <c r="G176" s="114"/>
    </row>
    <row r="177">
      <c r="F177" s="114"/>
      <c r="G177" s="114"/>
    </row>
    <row r="178">
      <c r="F178" s="114"/>
      <c r="G178" s="114"/>
    </row>
    <row r="179">
      <c r="F179" s="114"/>
      <c r="G179" s="114"/>
    </row>
    <row r="180">
      <c r="F180" s="114"/>
      <c r="G180" s="114"/>
    </row>
    <row r="181">
      <c r="F181" s="114"/>
      <c r="G181" s="114"/>
    </row>
    <row r="182">
      <c r="F182" s="114"/>
      <c r="G182" s="114"/>
    </row>
    <row r="183">
      <c r="F183" s="114"/>
      <c r="G183" s="114"/>
    </row>
    <row r="184">
      <c r="F184" s="114"/>
      <c r="G184" s="114"/>
    </row>
    <row r="185">
      <c r="F185" s="114"/>
      <c r="G185" s="114"/>
    </row>
    <row r="186">
      <c r="F186" s="114"/>
      <c r="G186" s="114"/>
    </row>
    <row r="187">
      <c r="F187" s="114"/>
      <c r="G187" s="114"/>
    </row>
    <row r="188">
      <c r="F188" s="114"/>
      <c r="G188" s="114"/>
    </row>
    <row r="189">
      <c r="F189" s="114"/>
      <c r="G189" s="114"/>
    </row>
    <row r="190">
      <c r="F190" s="114"/>
      <c r="G190" s="114"/>
    </row>
    <row r="191">
      <c r="F191" s="114"/>
      <c r="G191" s="114"/>
    </row>
    <row r="192">
      <c r="F192" s="114"/>
      <c r="G192" s="114"/>
    </row>
    <row r="193">
      <c r="F193" s="114"/>
      <c r="G193" s="114"/>
    </row>
    <row r="194">
      <c r="F194" s="114"/>
      <c r="G194" s="114"/>
    </row>
    <row r="195">
      <c r="F195" s="114"/>
      <c r="G195" s="114"/>
    </row>
    <row r="196">
      <c r="F196" s="114"/>
      <c r="G196" s="114"/>
    </row>
    <row r="197">
      <c r="F197" s="114"/>
      <c r="G197" s="114"/>
    </row>
    <row r="198">
      <c r="F198" s="114"/>
      <c r="G198" s="114"/>
    </row>
    <row r="199">
      <c r="F199" s="114"/>
      <c r="G199" s="114"/>
    </row>
    <row r="200">
      <c r="F200" s="114"/>
      <c r="G200" s="114"/>
    </row>
    <row r="201">
      <c r="F201" s="114"/>
      <c r="G201" s="114"/>
    </row>
    <row r="202">
      <c r="F202" s="114"/>
      <c r="G202" s="114"/>
    </row>
    <row r="203">
      <c r="F203" s="114"/>
      <c r="G203" s="114"/>
    </row>
    <row r="204">
      <c r="F204" s="114"/>
      <c r="G204" s="114"/>
    </row>
    <row r="205">
      <c r="F205" s="114"/>
      <c r="G205" s="114"/>
    </row>
    <row r="206">
      <c r="F206" s="114"/>
      <c r="G206" s="114"/>
    </row>
    <row r="207">
      <c r="F207" s="114"/>
      <c r="G207" s="114"/>
    </row>
    <row r="208">
      <c r="F208" s="114"/>
      <c r="G208" s="114"/>
    </row>
    <row r="209">
      <c r="F209" s="114"/>
      <c r="G209" s="114"/>
    </row>
    <row r="210">
      <c r="F210" s="114"/>
      <c r="G210" s="114"/>
    </row>
    <row r="211">
      <c r="F211" s="114"/>
      <c r="G211" s="114"/>
    </row>
    <row r="212">
      <c r="F212" s="114"/>
      <c r="G212" s="114"/>
    </row>
    <row r="213">
      <c r="F213" s="114"/>
      <c r="G213" s="114"/>
    </row>
    <row r="214">
      <c r="F214" s="114"/>
      <c r="G214" s="114"/>
    </row>
    <row r="215">
      <c r="F215" s="114"/>
      <c r="G215" s="114"/>
    </row>
    <row r="216">
      <c r="F216" s="114"/>
      <c r="G216" s="114"/>
    </row>
    <row r="217">
      <c r="F217" s="114"/>
      <c r="G217" s="114"/>
    </row>
    <row r="218">
      <c r="F218" s="114"/>
      <c r="G218" s="114"/>
    </row>
    <row r="219">
      <c r="F219" s="114"/>
      <c r="G219" s="114"/>
    </row>
    <row r="220">
      <c r="F220" s="114"/>
      <c r="G220" s="114"/>
    </row>
    <row r="221">
      <c r="F221" s="114"/>
      <c r="G221" s="114"/>
    </row>
    <row r="222">
      <c r="F222" s="114"/>
      <c r="G222" s="114"/>
    </row>
    <row r="223">
      <c r="F223" s="114"/>
      <c r="G223" s="114"/>
    </row>
    <row r="224">
      <c r="F224" s="114"/>
      <c r="G224" s="114"/>
    </row>
    <row r="225">
      <c r="F225" s="114"/>
      <c r="G225" s="114"/>
    </row>
    <row r="226">
      <c r="F226" s="114"/>
      <c r="G226" s="114"/>
    </row>
    <row r="227">
      <c r="F227" s="114"/>
      <c r="G227" s="114"/>
    </row>
    <row r="228">
      <c r="F228" s="114"/>
      <c r="G228" s="114"/>
    </row>
    <row r="229">
      <c r="F229" s="114"/>
      <c r="G229" s="114"/>
    </row>
    <row r="230">
      <c r="F230" s="114"/>
      <c r="G230" s="114"/>
    </row>
    <row r="231">
      <c r="F231" s="114"/>
      <c r="G231" s="114"/>
    </row>
    <row r="232">
      <c r="F232" s="114"/>
      <c r="G232" s="114"/>
    </row>
    <row r="233">
      <c r="F233" s="114"/>
      <c r="G233" s="114"/>
    </row>
    <row r="234">
      <c r="F234" s="114"/>
      <c r="G234" s="114"/>
    </row>
    <row r="235">
      <c r="F235" s="114"/>
      <c r="G235" s="114"/>
    </row>
    <row r="236">
      <c r="F236" s="114"/>
      <c r="G236" s="114"/>
    </row>
    <row r="237">
      <c r="F237" s="114"/>
      <c r="G237" s="114"/>
    </row>
    <row r="238">
      <c r="F238" s="114"/>
      <c r="G238" s="114"/>
    </row>
    <row r="239">
      <c r="F239" s="114"/>
      <c r="G239" s="114"/>
    </row>
    <row r="240">
      <c r="F240" s="114"/>
      <c r="G240" s="114"/>
    </row>
    <row r="241">
      <c r="F241" s="114"/>
      <c r="G241" s="114"/>
    </row>
    <row r="242">
      <c r="F242" s="114"/>
      <c r="G242" s="114"/>
    </row>
    <row r="243">
      <c r="F243" s="114"/>
      <c r="G243" s="114"/>
    </row>
    <row r="244">
      <c r="F244" s="114"/>
      <c r="G244" s="114"/>
    </row>
    <row r="245">
      <c r="F245" s="114"/>
      <c r="G245" s="114"/>
    </row>
    <row r="246">
      <c r="F246" s="114"/>
      <c r="G246" s="114"/>
    </row>
    <row r="247">
      <c r="F247" s="114"/>
      <c r="G247" s="114"/>
    </row>
    <row r="248">
      <c r="F248" s="114"/>
      <c r="G248" s="114"/>
    </row>
    <row r="249">
      <c r="F249" s="114"/>
      <c r="G249" s="114"/>
    </row>
    <row r="250">
      <c r="F250" s="114"/>
      <c r="G250" s="114"/>
    </row>
    <row r="251">
      <c r="F251" s="114"/>
      <c r="G251" s="114"/>
    </row>
    <row r="252">
      <c r="F252" s="114"/>
      <c r="G252" s="114"/>
    </row>
    <row r="253">
      <c r="F253" s="114"/>
      <c r="G253" s="114"/>
    </row>
    <row r="254">
      <c r="F254" s="114"/>
      <c r="G254" s="114"/>
    </row>
    <row r="255">
      <c r="F255" s="114"/>
      <c r="G255" s="114"/>
    </row>
    <row r="256">
      <c r="F256" s="114"/>
      <c r="G256" s="114"/>
    </row>
    <row r="257">
      <c r="F257" s="114"/>
      <c r="G257" s="114"/>
    </row>
    <row r="258">
      <c r="F258" s="114"/>
      <c r="G258" s="114"/>
    </row>
    <row r="259">
      <c r="F259" s="114"/>
      <c r="G259" s="114"/>
    </row>
    <row r="260">
      <c r="F260" s="114"/>
      <c r="G260" s="114"/>
    </row>
    <row r="261">
      <c r="F261" s="114"/>
      <c r="G261" s="114"/>
    </row>
    <row r="262">
      <c r="F262" s="114"/>
      <c r="G262" s="114"/>
    </row>
    <row r="263">
      <c r="F263" s="114"/>
      <c r="G263" s="114"/>
    </row>
    <row r="264">
      <c r="F264" s="114"/>
      <c r="G264" s="114"/>
    </row>
    <row r="265">
      <c r="F265" s="114"/>
      <c r="G265" s="114"/>
    </row>
    <row r="266">
      <c r="F266" s="114"/>
      <c r="G266" s="114"/>
    </row>
    <row r="267">
      <c r="F267" s="114"/>
      <c r="G267" s="114"/>
    </row>
    <row r="268">
      <c r="F268" s="114"/>
      <c r="G268" s="114"/>
    </row>
    <row r="269">
      <c r="F269" s="114"/>
      <c r="G269" s="114"/>
    </row>
    <row r="270">
      <c r="F270" s="114"/>
      <c r="G270" s="114"/>
    </row>
    <row r="271">
      <c r="F271" s="114"/>
      <c r="G271" s="114"/>
    </row>
    <row r="272">
      <c r="F272" s="114"/>
      <c r="G272" s="114"/>
    </row>
    <row r="273">
      <c r="F273" s="114"/>
      <c r="G273" s="114"/>
    </row>
    <row r="274">
      <c r="F274" s="114"/>
      <c r="G274" s="114"/>
    </row>
    <row r="275">
      <c r="F275" s="114"/>
      <c r="G275" s="114"/>
    </row>
    <row r="276">
      <c r="F276" s="114"/>
      <c r="G276" s="114"/>
    </row>
    <row r="277">
      <c r="F277" s="114"/>
      <c r="G277" s="114"/>
    </row>
    <row r="278">
      <c r="F278" s="114"/>
      <c r="G278" s="114"/>
    </row>
    <row r="279">
      <c r="F279" s="114"/>
      <c r="G279" s="114"/>
    </row>
    <row r="280">
      <c r="F280" s="114"/>
      <c r="G280" s="114"/>
    </row>
    <row r="281">
      <c r="F281" s="114"/>
      <c r="G281" s="114"/>
    </row>
    <row r="282">
      <c r="F282" s="114"/>
      <c r="G282" s="114"/>
    </row>
    <row r="283">
      <c r="F283" s="114"/>
      <c r="G283" s="114"/>
    </row>
    <row r="284">
      <c r="F284" s="114"/>
      <c r="G284" s="114"/>
    </row>
    <row r="285">
      <c r="F285" s="114"/>
      <c r="G285" s="114"/>
    </row>
    <row r="286">
      <c r="F286" s="114"/>
      <c r="G286" s="114"/>
    </row>
    <row r="287">
      <c r="F287" s="114"/>
      <c r="G287" s="114"/>
    </row>
    <row r="288">
      <c r="F288" s="114"/>
      <c r="G288" s="114"/>
    </row>
    <row r="289">
      <c r="F289" s="114"/>
      <c r="G289" s="114"/>
    </row>
    <row r="290">
      <c r="F290" s="114"/>
      <c r="G290" s="114"/>
    </row>
    <row r="291">
      <c r="F291" s="114"/>
      <c r="G291" s="114"/>
    </row>
    <row r="292">
      <c r="F292" s="114"/>
      <c r="G292" s="114"/>
    </row>
    <row r="293">
      <c r="F293" s="114"/>
      <c r="G293" s="114"/>
    </row>
    <row r="294">
      <c r="F294" s="114"/>
      <c r="G294" s="114"/>
    </row>
    <row r="295">
      <c r="F295" s="114"/>
      <c r="G295" s="114"/>
    </row>
    <row r="296">
      <c r="F296" s="114"/>
      <c r="G296" s="114"/>
    </row>
    <row r="297">
      <c r="F297" s="114"/>
      <c r="G297" s="114"/>
    </row>
    <row r="298">
      <c r="F298" s="114"/>
      <c r="G298" s="114"/>
    </row>
    <row r="299">
      <c r="F299" s="114"/>
      <c r="G299" s="114"/>
    </row>
    <row r="300">
      <c r="F300" s="114"/>
      <c r="G300" s="114"/>
    </row>
    <row r="301">
      <c r="F301" s="114"/>
      <c r="G301" s="114"/>
    </row>
    <row r="302">
      <c r="F302" s="114"/>
      <c r="G302" s="114"/>
    </row>
    <row r="303">
      <c r="F303" s="114"/>
      <c r="G303" s="114"/>
    </row>
    <row r="304">
      <c r="F304" s="114"/>
      <c r="G304" s="114"/>
    </row>
    <row r="305">
      <c r="F305" s="114"/>
      <c r="G305" s="114"/>
    </row>
    <row r="306">
      <c r="F306" s="114"/>
      <c r="G306" s="114"/>
    </row>
    <row r="307">
      <c r="F307" s="114"/>
      <c r="G307" s="114"/>
    </row>
    <row r="308">
      <c r="F308" s="114"/>
      <c r="G308" s="114"/>
    </row>
    <row r="309">
      <c r="F309" s="114"/>
      <c r="G309" s="114"/>
    </row>
    <row r="310">
      <c r="F310" s="114"/>
      <c r="G310" s="114"/>
    </row>
    <row r="311">
      <c r="F311" s="114"/>
      <c r="G311" s="114"/>
    </row>
    <row r="312">
      <c r="F312" s="114"/>
      <c r="G312" s="114"/>
    </row>
    <row r="313">
      <c r="F313" s="114"/>
      <c r="G313" s="114"/>
    </row>
    <row r="314">
      <c r="F314" s="114"/>
      <c r="G314" s="114"/>
    </row>
    <row r="315">
      <c r="F315" s="114"/>
      <c r="G315" s="114"/>
    </row>
    <row r="316">
      <c r="F316" s="114"/>
      <c r="G316" s="114"/>
    </row>
    <row r="317">
      <c r="F317" s="114"/>
      <c r="G317" s="114"/>
    </row>
    <row r="318">
      <c r="F318" s="114"/>
      <c r="G318" s="114"/>
    </row>
    <row r="319">
      <c r="F319" s="114"/>
      <c r="G319" s="114"/>
    </row>
    <row r="320">
      <c r="F320" s="114"/>
      <c r="G320" s="114"/>
    </row>
    <row r="321">
      <c r="F321" s="114"/>
      <c r="G321" s="114"/>
    </row>
    <row r="322">
      <c r="F322" s="114"/>
      <c r="G322" s="114"/>
    </row>
    <row r="323">
      <c r="F323" s="114"/>
      <c r="G323" s="114"/>
    </row>
    <row r="324">
      <c r="F324" s="114"/>
      <c r="G324" s="114"/>
    </row>
    <row r="325">
      <c r="F325" s="114"/>
      <c r="G325" s="114"/>
    </row>
    <row r="326">
      <c r="F326" s="114"/>
      <c r="G326" s="114"/>
    </row>
    <row r="327">
      <c r="F327" s="114"/>
      <c r="G327" s="114"/>
    </row>
    <row r="328">
      <c r="F328" s="114"/>
      <c r="G328" s="114"/>
    </row>
    <row r="329">
      <c r="F329" s="114"/>
      <c r="G329" s="114"/>
    </row>
    <row r="330">
      <c r="F330" s="114"/>
      <c r="G330" s="114"/>
    </row>
    <row r="331">
      <c r="F331" s="114"/>
      <c r="G331" s="114"/>
    </row>
    <row r="332">
      <c r="F332" s="114"/>
      <c r="G332" s="114"/>
    </row>
    <row r="333">
      <c r="F333" s="114"/>
      <c r="G333" s="114"/>
    </row>
    <row r="334">
      <c r="F334" s="114"/>
      <c r="G334" s="114"/>
    </row>
    <row r="335">
      <c r="F335" s="114"/>
      <c r="G335" s="114"/>
    </row>
    <row r="336">
      <c r="F336" s="114"/>
      <c r="G336" s="114"/>
    </row>
    <row r="337">
      <c r="F337" s="114"/>
      <c r="G337" s="114"/>
    </row>
    <row r="338">
      <c r="F338" s="114"/>
      <c r="G338" s="114"/>
    </row>
    <row r="339">
      <c r="F339" s="114"/>
      <c r="G339" s="114"/>
    </row>
    <row r="340">
      <c r="F340" s="114"/>
      <c r="G340" s="114"/>
    </row>
    <row r="341">
      <c r="F341" s="114"/>
      <c r="G341" s="114"/>
    </row>
    <row r="342">
      <c r="F342" s="114"/>
      <c r="G342" s="114"/>
    </row>
    <row r="343">
      <c r="F343" s="114"/>
      <c r="G343" s="114"/>
    </row>
    <row r="344">
      <c r="F344" s="114"/>
      <c r="G344" s="114"/>
    </row>
    <row r="345">
      <c r="F345" s="114"/>
      <c r="G345" s="114"/>
    </row>
    <row r="346">
      <c r="F346" s="114"/>
      <c r="G346" s="114"/>
    </row>
    <row r="347">
      <c r="F347" s="114"/>
      <c r="G347" s="114"/>
    </row>
    <row r="348">
      <c r="F348" s="114"/>
      <c r="G348" s="114"/>
    </row>
    <row r="349">
      <c r="F349" s="114"/>
      <c r="G349" s="114"/>
    </row>
    <row r="350">
      <c r="F350" s="114"/>
      <c r="G350" s="114"/>
    </row>
    <row r="351">
      <c r="F351" s="114"/>
      <c r="G351" s="114"/>
    </row>
    <row r="352">
      <c r="F352" s="114"/>
      <c r="G352" s="114"/>
    </row>
    <row r="353">
      <c r="F353" s="114"/>
      <c r="G353" s="114"/>
    </row>
    <row r="354">
      <c r="F354" s="114"/>
      <c r="G354" s="114"/>
    </row>
    <row r="355">
      <c r="F355" s="114"/>
      <c r="G355" s="114"/>
    </row>
    <row r="356">
      <c r="F356" s="114"/>
      <c r="G356" s="114"/>
    </row>
    <row r="357">
      <c r="F357" s="114"/>
      <c r="G357" s="114"/>
    </row>
    <row r="358">
      <c r="F358" s="114"/>
      <c r="G358" s="114"/>
    </row>
    <row r="359">
      <c r="F359" s="114"/>
      <c r="G359" s="114"/>
    </row>
    <row r="360">
      <c r="F360" s="114"/>
      <c r="G360" s="114"/>
    </row>
    <row r="361">
      <c r="F361" s="114"/>
      <c r="G361" s="114"/>
    </row>
    <row r="362">
      <c r="F362" s="114"/>
      <c r="G362" s="114"/>
    </row>
    <row r="363">
      <c r="F363" s="114"/>
      <c r="G363" s="114"/>
    </row>
    <row r="364">
      <c r="F364" s="114"/>
      <c r="G364" s="114"/>
    </row>
    <row r="365">
      <c r="F365" s="114"/>
      <c r="G365" s="114"/>
    </row>
    <row r="366">
      <c r="F366" s="114"/>
      <c r="G366" s="114"/>
    </row>
    <row r="367">
      <c r="F367" s="114"/>
      <c r="G367" s="114"/>
    </row>
    <row r="368">
      <c r="F368" s="114"/>
      <c r="G368" s="114"/>
    </row>
    <row r="369">
      <c r="F369" s="114"/>
      <c r="G369" s="114"/>
    </row>
    <row r="370">
      <c r="F370" s="114"/>
      <c r="G370" s="114"/>
    </row>
    <row r="371">
      <c r="F371" s="114"/>
      <c r="G371" s="114"/>
    </row>
    <row r="372">
      <c r="F372" s="114"/>
      <c r="G372" s="114"/>
    </row>
    <row r="373">
      <c r="F373" s="114"/>
      <c r="G373" s="114"/>
    </row>
    <row r="374">
      <c r="F374" s="114"/>
      <c r="G374" s="114"/>
    </row>
    <row r="375">
      <c r="F375" s="114"/>
      <c r="G375" s="114"/>
    </row>
    <row r="376">
      <c r="F376" s="114"/>
      <c r="G376" s="114"/>
    </row>
    <row r="377">
      <c r="F377" s="114"/>
      <c r="G377" s="114"/>
    </row>
    <row r="378">
      <c r="F378" s="114"/>
      <c r="G378" s="114"/>
    </row>
    <row r="379">
      <c r="F379" s="114"/>
      <c r="G379" s="114"/>
    </row>
    <row r="380">
      <c r="F380" s="114"/>
      <c r="G380" s="114"/>
    </row>
    <row r="381">
      <c r="F381" s="114"/>
      <c r="G381" s="114"/>
    </row>
    <row r="382">
      <c r="F382" s="114"/>
      <c r="G382" s="114"/>
    </row>
    <row r="383">
      <c r="F383" s="114"/>
      <c r="G383" s="114"/>
    </row>
    <row r="384">
      <c r="F384" s="114"/>
      <c r="G384" s="114"/>
    </row>
    <row r="385">
      <c r="F385" s="114"/>
      <c r="G385" s="114"/>
    </row>
    <row r="386">
      <c r="F386" s="114"/>
      <c r="G386" s="114"/>
    </row>
    <row r="387">
      <c r="F387" s="114"/>
      <c r="G387" s="114"/>
    </row>
    <row r="388">
      <c r="F388" s="114"/>
      <c r="G388" s="114"/>
    </row>
    <row r="389">
      <c r="F389" s="114"/>
      <c r="G389" s="114"/>
    </row>
    <row r="390">
      <c r="F390" s="114"/>
      <c r="G390" s="114"/>
    </row>
    <row r="391">
      <c r="F391" s="114"/>
      <c r="G391" s="114"/>
    </row>
    <row r="392">
      <c r="F392" s="114"/>
      <c r="G392" s="114"/>
    </row>
    <row r="393">
      <c r="F393" s="114"/>
      <c r="G393" s="114"/>
    </row>
    <row r="394">
      <c r="F394" s="114"/>
      <c r="G394" s="114"/>
    </row>
    <row r="395">
      <c r="F395" s="114"/>
      <c r="G395" s="114"/>
    </row>
    <row r="396">
      <c r="F396" s="114"/>
      <c r="G396" s="114"/>
    </row>
    <row r="397">
      <c r="F397" s="114"/>
      <c r="G397" s="114"/>
    </row>
    <row r="398">
      <c r="F398" s="114"/>
      <c r="G398" s="114"/>
    </row>
    <row r="399">
      <c r="F399" s="114"/>
      <c r="G399" s="114"/>
    </row>
    <row r="400">
      <c r="F400" s="114"/>
      <c r="G400" s="114"/>
    </row>
    <row r="401">
      <c r="F401" s="114"/>
      <c r="G401" s="114"/>
    </row>
    <row r="402">
      <c r="F402" s="114"/>
      <c r="G402" s="114"/>
    </row>
    <row r="403">
      <c r="F403" s="114"/>
      <c r="G403" s="114"/>
    </row>
    <row r="404">
      <c r="F404" s="114"/>
      <c r="G404" s="114"/>
    </row>
    <row r="405">
      <c r="F405" s="114"/>
      <c r="G405" s="114"/>
    </row>
    <row r="406">
      <c r="F406" s="114"/>
      <c r="G406" s="114"/>
    </row>
    <row r="407">
      <c r="F407" s="114"/>
      <c r="G407" s="114"/>
    </row>
    <row r="408">
      <c r="F408" s="114"/>
      <c r="G408" s="114"/>
    </row>
    <row r="409">
      <c r="F409" s="114"/>
      <c r="G409" s="114"/>
    </row>
    <row r="410">
      <c r="F410" s="114"/>
      <c r="G410" s="114"/>
    </row>
    <row r="411">
      <c r="F411" s="114"/>
      <c r="G411" s="114"/>
    </row>
    <row r="412">
      <c r="F412" s="114"/>
      <c r="G412" s="114"/>
    </row>
    <row r="413">
      <c r="F413" s="114"/>
      <c r="G413" s="114"/>
    </row>
    <row r="414">
      <c r="F414" s="114"/>
      <c r="G414" s="114"/>
    </row>
    <row r="415">
      <c r="F415" s="114"/>
      <c r="G415" s="114"/>
    </row>
    <row r="416">
      <c r="F416" s="114"/>
      <c r="G416" s="114"/>
    </row>
    <row r="417">
      <c r="F417" s="114"/>
      <c r="G417" s="114"/>
    </row>
    <row r="418">
      <c r="F418" s="114"/>
      <c r="G418" s="114"/>
    </row>
    <row r="419">
      <c r="F419" s="114"/>
      <c r="G419" s="114"/>
    </row>
    <row r="420">
      <c r="F420" s="114"/>
      <c r="G420" s="114"/>
    </row>
    <row r="421">
      <c r="F421" s="114"/>
      <c r="G421" s="114"/>
    </row>
    <row r="422">
      <c r="F422" s="114"/>
      <c r="G422" s="114"/>
    </row>
    <row r="423">
      <c r="F423" s="114"/>
      <c r="G423" s="114"/>
    </row>
    <row r="424">
      <c r="F424" s="114"/>
      <c r="G424" s="114"/>
    </row>
    <row r="425">
      <c r="F425" s="114"/>
      <c r="G425" s="114"/>
    </row>
    <row r="426">
      <c r="F426" s="114"/>
      <c r="G426" s="114"/>
    </row>
    <row r="427">
      <c r="F427" s="114"/>
      <c r="G427" s="114"/>
    </row>
    <row r="428">
      <c r="F428" s="114"/>
      <c r="G428" s="114"/>
    </row>
    <row r="429">
      <c r="F429" s="114"/>
      <c r="G429" s="114"/>
    </row>
    <row r="430">
      <c r="F430" s="114"/>
      <c r="G430" s="114"/>
    </row>
    <row r="431">
      <c r="F431" s="114"/>
      <c r="G431" s="114"/>
    </row>
    <row r="432">
      <c r="F432" s="114"/>
      <c r="G432" s="114"/>
    </row>
    <row r="433">
      <c r="F433" s="114"/>
      <c r="G433" s="114"/>
    </row>
    <row r="434">
      <c r="F434" s="114"/>
      <c r="G434" s="114"/>
    </row>
    <row r="435">
      <c r="F435" s="114"/>
      <c r="G435" s="114"/>
    </row>
    <row r="436">
      <c r="F436" s="114"/>
      <c r="G436" s="114"/>
    </row>
    <row r="437">
      <c r="F437" s="114"/>
      <c r="G437" s="114"/>
    </row>
    <row r="438">
      <c r="F438" s="114"/>
      <c r="G438" s="114"/>
    </row>
    <row r="439">
      <c r="F439" s="114"/>
      <c r="G439" s="114"/>
    </row>
    <row r="440">
      <c r="F440" s="114"/>
      <c r="G440" s="114"/>
    </row>
    <row r="441">
      <c r="F441" s="114"/>
      <c r="G441" s="114"/>
    </row>
    <row r="442">
      <c r="F442" s="114"/>
      <c r="G442" s="114"/>
    </row>
    <row r="443">
      <c r="F443" s="114"/>
      <c r="G443" s="114"/>
    </row>
    <row r="444">
      <c r="F444" s="114"/>
      <c r="G444" s="114"/>
    </row>
    <row r="445">
      <c r="F445" s="114"/>
      <c r="G445" s="114"/>
    </row>
    <row r="446">
      <c r="F446" s="114"/>
      <c r="G446" s="114"/>
    </row>
    <row r="447">
      <c r="F447" s="114"/>
      <c r="G447" s="114"/>
    </row>
    <row r="448">
      <c r="F448" s="114"/>
      <c r="G448" s="114"/>
    </row>
    <row r="449">
      <c r="F449" s="114"/>
      <c r="G449" s="114"/>
    </row>
    <row r="450">
      <c r="F450" s="114"/>
      <c r="G450" s="114"/>
    </row>
    <row r="451">
      <c r="F451" s="114"/>
      <c r="G451" s="114"/>
    </row>
    <row r="452">
      <c r="F452" s="114"/>
      <c r="G452" s="114"/>
    </row>
    <row r="453">
      <c r="F453" s="114"/>
      <c r="G453" s="114"/>
    </row>
    <row r="454">
      <c r="F454" s="114"/>
      <c r="G454" s="114"/>
    </row>
    <row r="455">
      <c r="F455" s="114"/>
      <c r="G455" s="114"/>
    </row>
    <row r="456">
      <c r="F456" s="114"/>
      <c r="G456" s="114"/>
    </row>
    <row r="457">
      <c r="F457" s="114"/>
      <c r="G457" s="114"/>
    </row>
    <row r="458">
      <c r="F458" s="114"/>
      <c r="G458" s="114"/>
    </row>
    <row r="459">
      <c r="F459" s="114"/>
      <c r="G459" s="114"/>
    </row>
    <row r="460">
      <c r="F460" s="114"/>
      <c r="G460" s="114"/>
    </row>
    <row r="461">
      <c r="F461" s="114"/>
      <c r="G461" s="114"/>
    </row>
    <row r="462">
      <c r="F462" s="114"/>
      <c r="G462" s="114"/>
    </row>
    <row r="463">
      <c r="F463" s="114"/>
      <c r="G463" s="114"/>
    </row>
    <row r="464">
      <c r="F464" s="114"/>
      <c r="G464" s="114"/>
    </row>
    <row r="465">
      <c r="F465" s="114"/>
      <c r="G465" s="114"/>
    </row>
    <row r="466">
      <c r="F466" s="114"/>
      <c r="G466" s="114"/>
    </row>
    <row r="467">
      <c r="F467" s="114"/>
      <c r="G467" s="114"/>
    </row>
    <row r="468">
      <c r="F468" s="114"/>
      <c r="G468" s="114"/>
    </row>
    <row r="469">
      <c r="F469" s="114"/>
      <c r="G469" s="114"/>
    </row>
    <row r="470">
      <c r="F470" s="114"/>
      <c r="G470" s="114"/>
    </row>
    <row r="471">
      <c r="F471" s="114"/>
      <c r="G471" s="114"/>
    </row>
    <row r="472">
      <c r="F472" s="114"/>
      <c r="G472" s="114"/>
    </row>
    <row r="473">
      <c r="F473" s="114"/>
      <c r="G473" s="114"/>
    </row>
    <row r="474">
      <c r="F474" s="114"/>
      <c r="G474" s="114"/>
    </row>
    <row r="475">
      <c r="F475" s="114"/>
      <c r="G475" s="114"/>
    </row>
    <row r="476">
      <c r="F476" s="114"/>
      <c r="G476" s="114"/>
    </row>
    <row r="477">
      <c r="F477" s="114"/>
      <c r="G477" s="114"/>
    </row>
    <row r="478">
      <c r="F478" s="114"/>
      <c r="G478" s="114"/>
    </row>
    <row r="479">
      <c r="F479" s="114"/>
      <c r="G479" s="114"/>
    </row>
    <row r="480">
      <c r="F480" s="114"/>
      <c r="G480" s="114"/>
    </row>
    <row r="481">
      <c r="F481" s="114"/>
      <c r="G481" s="114"/>
    </row>
    <row r="482">
      <c r="F482" s="114"/>
      <c r="G482" s="114"/>
    </row>
    <row r="483">
      <c r="F483" s="114"/>
      <c r="G483" s="114"/>
    </row>
    <row r="484">
      <c r="F484" s="114"/>
      <c r="G484" s="114"/>
    </row>
    <row r="485">
      <c r="F485" s="114"/>
      <c r="G485" s="114"/>
    </row>
    <row r="486">
      <c r="F486" s="114"/>
      <c r="G486" s="114"/>
    </row>
    <row r="487">
      <c r="F487" s="114"/>
      <c r="G487" s="114"/>
    </row>
    <row r="488">
      <c r="F488" s="114"/>
      <c r="G488" s="114"/>
    </row>
    <row r="489">
      <c r="F489" s="114"/>
      <c r="G489" s="114"/>
    </row>
    <row r="490">
      <c r="F490" s="114"/>
      <c r="G490" s="114"/>
    </row>
    <row r="491">
      <c r="F491" s="114"/>
      <c r="G491" s="114"/>
    </row>
    <row r="492">
      <c r="F492" s="114"/>
      <c r="G492" s="114"/>
    </row>
    <row r="493">
      <c r="F493" s="114"/>
      <c r="G493" s="114"/>
    </row>
    <row r="494">
      <c r="F494" s="114"/>
      <c r="G494" s="114"/>
    </row>
    <row r="495">
      <c r="F495" s="114"/>
      <c r="G495" s="114"/>
    </row>
    <row r="496">
      <c r="F496" s="114"/>
      <c r="G496" s="114"/>
    </row>
    <row r="497">
      <c r="F497" s="114"/>
      <c r="G497" s="114"/>
    </row>
    <row r="498">
      <c r="F498" s="114"/>
      <c r="G498" s="114"/>
    </row>
    <row r="499">
      <c r="F499" s="114"/>
      <c r="G499" s="114"/>
    </row>
    <row r="500">
      <c r="F500" s="114"/>
      <c r="G500" s="114"/>
    </row>
    <row r="501">
      <c r="F501" s="114"/>
      <c r="G501" s="114"/>
    </row>
    <row r="502">
      <c r="F502" s="114"/>
      <c r="G502" s="114"/>
    </row>
    <row r="503">
      <c r="F503" s="114"/>
      <c r="G503" s="114"/>
    </row>
    <row r="504">
      <c r="F504" s="114"/>
      <c r="G504" s="114"/>
    </row>
    <row r="505">
      <c r="F505" s="114"/>
      <c r="G505" s="114"/>
    </row>
    <row r="506">
      <c r="F506" s="114"/>
      <c r="G506" s="114"/>
    </row>
    <row r="507">
      <c r="F507" s="114"/>
      <c r="G507" s="114"/>
    </row>
    <row r="508">
      <c r="F508" s="114"/>
      <c r="G508" s="114"/>
    </row>
    <row r="509">
      <c r="F509" s="114"/>
      <c r="G509" s="114"/>
    </row>
    <row r="510">
      <c r="F510" s="114"/>
      <c r="G510" s="114"/>
    </row>
    <row r="511">
      <c r="F511" s="114"/>
      <c r="G511" s="114"/>
    </row>
    <row r="512">
      <c r="F512" s="114"/>
      <c r="G512" s="114"/>
    </row>
    <row r="513">
      <c r="F513" s="114"/>
      <c r="G513" s="114"/>
    </row>
    <row r="514">
      <c r="F514" s="114"/>
      <c r="G514" s="114"/>
    </row>
    <row r="515">
      <c r="F515" s="114"/>
      <c r="G515" s="114"/>
    </row>
    <row r="516">
      <c r="F516" s="114"/>
      <c r="G516" s="114"/>
    </row>
    <row r="517">
      <c r="F517" s="114"/>
      <c r="G517" s="114"/>
    </row>
    <row r="518">
      <c r="F518" s="114"/>
      <c r="G518" s="114"/>
    </row>
    <row r="519">
      <c r="F519" s="114"/>
      <c r="G519" s="114"/>
    </row>
    <row r="520">
      <c r="F520" s="114"/>
      <c r="G520" s="114"/>
    </row>
    <row r="521">
      <c r="F521" s="114"/>
      <c r="G521" s="114"/>
    </row>
    <row r="522">
      <c r="F522" s="114"/>
      <c r="G522" s="114"/>
    </row>
    <row r="523">
      <c r="F523" s="114"/>
      <c r="G523" s="114"/>
    </row>
    <row r="524">
      <c r="F524" s="114"/>
      <c r="G524" s="114"/>
    </row>
    <row r="525">
      <c r="F525" s="114"/>
      <c r="G525" s="114"/>
    </row>
    <row r="526">
      <c r="F526" s="114"/>
      <c r="G526" s="114"/>
    </row>
    <row r="527">
      <c r="F527" s="114"/>
      <c r="G527" s="114"/>
    </row>
    <row r="528">
      <c r="F528" s="114"/>
      <c r="G528" s="114"/>
    </row>
    <row r="529">
      <c r="F529" s="114"/>
      <c r="G529" s="114"/>
    </row>
    <row r="530">
      <c r="F530" s="114"/>
      <c r="G530" s="114"/>
    </row>
    <row r="531">
      <c r="F531" s="114"/>
      <c r="G531" s="114"/>
    </row>
    <row r="532">
      <c r="F532" s="114"/>
      <c r="G532" s="114"/>
    </row>
    <row r="533">
      <c r="F533" s="114"/>
      <c r="G533" s="114"/>
    </row>
    <row r="534">
      <c r="F534" s="114"/>
      <c r="G534" s="114"/>
    </row>
    <row r="535">
      <c r="F535" s="114"/>
      <c r="G535" s="114"/>
    </row>
    <row r="536">
      <c r="F536" s="114"/>
      <c r="G536" s="114"/>
    </row>
    <row r="537">
      <c r="F537" s="114"/>
      <c r="G537" s="114"/>
    </row>
    <row r="538">
      <c r="F538" s="114"/>
      <c r="G538" s="114"/>
    </row>
    <row r="539">
      <c r="F539" s="114"/>
      <c r="G539" s="114"/>
    </row>
    <row r="540">
      <c r="F540" s="114"/>
      <c r="G540" s="114"/>
    </row>
    <row r="541">
      <c r="F541" s="114"/>
      <c r="G541" s="114"/>
    </row>
    <row r="542">
      <c r="F542" s="114"/>
      <c r="G542" s="114"/>
    </row>
    <row r="543">
      <c r="F543" s="114"/>
      <c r="G543" s="114"/>
    </row>
    <row r="544">
      <c r="F544" s="114"/>
      <c r="G544" s="114"/>
    </row>
    <row r="545">
      <c r="F545" s="114"/>
      <c r="G545" s="114"/>
    </row>
    <row r="546">
      <c r="F546" s="114"/>
      <c r="G546" s="114"/>
    </row>
    <row r="547">
      <c r="F547" s="114"/>
      <c r="G547" s="114"/>
    </row>
    <row r="548">
      <c r="F548" s="114"/>
      <c r="G548" s="114"/>
    </row>
    <row r="549">
      <c r="F549" s="114"/>
      <c r="G549" s="114"/>
    </row>
    <row r="550">
      <c r="F550" s="114"/>
      <c r="G550" s="114"/>
    </row>
    <row r="551">
      <c r="F551" s="114"/>
      <c r="G551" s="114"/>
    </row>
    <row r="552">
      <c r="F552" s="114"/>
      <c r="G552" s="114"/>
    </row>
    <row r="553">
      <c r="F553" s="114"/>
      <c r="G553" s="114"/>
    </row>
    <row r="554">
      <c r="F554" s="114"/>
      <c r="G554" s="114"/>
    </row>
    <row r="555">
      <c r="F555" s="114"/>
      <c r="G555" s="114"/>
    </row>
    <row r="556">
      <c r="F556" s="114"/>
      <c r="G556" s="114"/>
    </row>
    <row r="557">
      <c r="F557" s="114"/>
      <c r="G557" s="114"/>
    </row>
    <row r="558">
      <c r="F558" s="114"/>
      <c r="G558" s="114"/>
    </row>
    <row r="559">
      <c r="F559" s="114"/>
      <c r="G559" s="114"/>
    </row>
    <row r="560">
      <c r="F560" s="114"/>
      <c r="G560" s="114"/>
    </row>
    <row r="561">
      <c r="F561" s="114"/>
      <c r="G561" s="114"/>
    </row>
    <row r="562">
      <c r="F562" s="114"/>
      <c r="G562" s="114"/>
    </row>
    <row r="563">
      <c r="F563" s="114"/>
      <c r="G563" s="114"/>
    </row>
    <row r="564">
      <c r="F564" s="114"/>
      <c r="G564" s="114"/>
    </row>
    <row r="565">
      <c r="F565" s="114"/>
      <c r="G565" s="114"/>
    </row>
    <row r="566">
      <c r="F566" s="114"/>
      <c r="G566" s="114"/>
    </row>
    <row r="567">
      <c r="F567" s="114"/>
      <c r="G567" s="114"/>
    </row>
    <row r="568">
      <c r="F568" s="114"/>
      <c r="G568" s="114"/>
    </row>
    <row r="569">
      <c r="F569" s="114"/>
      <c r="G569" s="114"/>
    </row>
    <row r="570">
      <c r="F570" s="114"/>
      <c r="G570" s="114"/>
    </row>
    <row r="571">
      <c r="F571" s="114"/>
      <c r="G571" s="114"/>
    </row>
    <row r="572">
      <c r="F572" s="114"/>
      <c r="G572" s="114"/>
    </row>
    <row r="573">
      <c r="F573" s="114"/>
      <c r="G573" s="114"/>
    </row>
    <row r="574">
      <c r="F574" s="114"/>
      <c r="G574" s="114"/>
    </row>
    <row r="575">
      <c r="F575" s="114"/>
      <c r="G575" s="114"/>
    </row>
    <row r="576">
      <c r="F576" s="114"/>
      <c r="G576" s="114"/>
    </row>
    <row r="577">
      <c r="F577" s="114"/>
      <c r="G577" s="114"/>
    </row>
    <row r="578">
      <c r="F578" s="114"/>
      <c r="G578" s="114"/>
    </row>
    <row r="579">
      <c r="F579" s="114"/>
      <c r="G579" s="114"/>
    </row>
    <row r="580">
      <c r="F580" s="114"/>
      <c r="G580" s="114"/>
    </row>
    <row r="581">
      <c r="F581" s="114"/>
      <c r="G581" s="114"/>
    </row>
    <row r="582">
      <c r="F582" s="114"/>
      <c r="G582" s="114"/>
    </row>
    <row r="583">
      <c r="F583" s="114"/>
      <c r="G583" s="114"/>
    </row>
    <row r="584">
      <c r="F584" s="114"/>
      <c r="G584" s="114"/>
    </row>
    <row r="585">
      <c r="F585" s="114"/>
      <c r="G585" s="114"/>
    </row>
    <row r="586">
      <c r="F586" s="114"/>
      <c r="G586" s="114"/>
    </row>
    <row r="587">
      <c r="F587" s="114"/>
      <c r="G587" s="114"/>
    </row>
    <row r="588">
      <c r="F588" s="114"/>
      <c r="G588" s="114"/>
    </row>
    <row r="589">
      <c r="F589" s="114"/>
      <c r="G589" s="114"/>
    </row>
    <row r="590">
      <c r="F590" s="114"/>
      <c r="G590" s="114"/>
    </row>
    <row r="591">
      <c r="F591" s="114"/>
      <c r="G591" s="114"/>
    </row>
    <row r="592">
      <c r="F592" s="114"/>
      <c r="G592" s="114"/>
    </row>
    <row r="593">
      <c r="F593" s="114"/>
      <c r="G593" s="114"/>
    </row>
    <row r="594">
      <c r="F594" s="114"/>
      <c r="G594" s="114"/>
    </row>
    <row r="595">
      <c r="F595" s="114"/>
      <c r="G595" s="114"/>
    </row>
    <row r="596">
      <c r="F596" s="114"/>
      <c r="G596" s="114"/>
    </row>
    <row r="597">
      <c r="F597" s="114"/>
      <c r="G597" s="114"/>
    </row>
    <row r="598">
      <c r="F598" s="114"/>
      <c r="G598" s="114"/>
    </row>
    <row r="599">
      <c r="F599" s="114"/>
      <c r="G599" s="114"/>
    </row>
    <row r="600">
      <c r="F600" s="114"/>
      <c r="G600" s="114"/>
    </row>
    <row r="601">
      <c r="F601" s="114"/>
      <c r="G601" s="114"/>
    </row>
    <row r="602">
      <c r="F602" s="114"/>
      <c r="G602" s="114"/>
    </row>
    <row r="603">
      <c r="F603" s="114"/>
      <c r="G603" s="114"/>
    </row>
    <row r="604">
      <c r="F604" s="114"/>
      <c r="G604" s="114"/>
    </row>
    <row r="605">
      <c r="F605" s="114"/>
      <c r="G605" s="114"/>
    </row>
    <row r="606">
      <c r="F606" s="114"/>
      <c r="G606" s="114"/>
    </row>
    <row r="607">
      <c r="F607" s="114"/>
      <c r="G607" s="114"/>
    </row>
    <row r="608">
      <c r="F608" s="114"/>
      <c r="G608" s="114"/>
    </row>
    <row r="609">
      <c r="F609" s="114"/>
      <c r="G609" s="114"/>
    </row>
    <row r="610">
      <c r="F610" s="114"/>
      <c r="G610" s="114"/>
    </row>
    <row r="611">
      <c r="F611" s="114"/>
      <c r="G611" s="114"/>
    </row>
    <row r="612">
      <c r="F612" s="114"/>
      <c r="G612" s="114"/>
    </row>
    <row r="613">
      <c r="F613" s="114"/>
      <c r="G613" s="114"/>
    </row>
    <row r="614">
      <c r="F614" s="114"/>
      <c r="G614" s="114"/>
    </row>
    <row r="615">
      <c r="F615" s="114"/>
      <c r="G615" s="114"/>
    </row>
    <row r="616">
      <c r="F616" s="114"/>
      <c r="G616" s="114"/>
    </row>
    <row r="617">
      <c r="F617" s="114"/>
      <c r="G617" s="114"/>
    </row>
    <row r="618">
      <c r="F618" s="114"/>
      <c r="G618" s="114"/>
    </row>
    <row r="619">
      <c r="F619" s="114"/>
      <c r="G619" s="114"/>
    </row>
    <row r="620">
      <c r="F620" s="114"/>
      <c r="G620" s="114"/>
    </row>
    <row r="621">
      <c r="F621" s="114"/>
      <c r="G621" s="114"/>
    </row>
    <row r="622">
      <c r="F622" s="114"/>
      <c r="G622" s="114"/>
    </row>
    <row r="623">
      <c r="F623" s="114"/>
      <c r="G623" s="114"/>
    </row>
    <row r="624">
      <c r="F624" s="114"/>
      <c r="G624" s="114"/>
    </row>
    <row r="625">
      <c r="F625" s="114"/>
      <c r="G625" s="114"/>
    </row>
    <row r="626">
      <c r="F626" s="114"/>
      <c r="G626" s="114"/>
    </row>
    <row r="627">
      <c r="F627" s="114"/>
      <c r="G627" s="114"/>
    </row>
    <row r="628">
      <c r="F628" s="114"/>
      <c r="G628" s="114"/>
    </row>
    <row r="629">
      <c r="F629" s="114"/>
      <c r="G629" s="114"/>
    </row>
    <row r="630">
      <c r="F630" s="114"/>
      <c r="G630" s="114"/>
    </row>
    <row r="631">
      <c r="F631" s="114"/>
      <c r="G631" s="114"/>
    </row>
    <row r="632">
      <c r="F632" s="114"/>
      <c r="G632" s="114"/>
    </row>
    <row r="633">
      <c r="F633" s="114"/>
      <c r="G633" s="114"/>
    </row>
    <row r="634">
      <c r="F634" s="114"/>
      <c r="G634" s="114"/>
    </row>
    <row r="635">
      <c r="F635" s="114"/>
      <c r="G635" s="114"/>
    </row>
    <row r="636">
      <c r="F636" s="114"/>
      <c r="G636" s="114"/>
    </row>
    <row r="637">
      <c r="F637" s="114"/>
      <c r="G637" s="114"/>
    </row>
    <row r="638">
      <c r="F638" s="114"/>
      <c r="G638" s="114"/>
    </row>
    <row r="639">
      <c r="F639" s="114"/>
      <c r="G639" s="114"/>
    </row>
    <row r="640">
      <c r="F640" s="114"/>
      <c r="G640" s="114"/>
    </row>
    <row r="641">
      <c r="F641" s="114"/>
      <c r="G641" s="114"/>
    </row>
    <row r="642">
      <c r="F642" s="114"/>
      <c r="G642" s="114"/>
    </row>
    <row r="643">
      <c r="F643" s="114"/>
      <c r="G643" s="114"/>
    </row>
    <row r="644">
      <c r="F644" s="114"/>
      <c r="G644" s="114"/>
    </row>
    <row r="645">
      <c r="F645" s="114"/>
      <c r="G645" s="114"/>
    </row>
    <row r="646">
      <c r="F646" s="114"/>
      <c r="G646" s="114"/>
    </row>
    <row r="647">
      <c r="F647" s="114"/>
      <c r="G647" s="114"/>
    </row>
    <row r="648">
      <c r="F648" s="114"/>
      <c r="G648" s="114"/>
    </row>
    <row r="649">
      <c r="F649" s="114"/>
      <c r="G649" s="114"/>
    </row>
    <row r="650">
      <c r="F650" s="114"/>
      <c r="G650" s="114"/>
    </row>
    <row r="651">
      <c r="F651" s="114"/>
      <c r="G651" s="114"/>
    </row>
    <row r="652">
      <c r="F652" s="114"/>
      <c r="G652" s="114"/>
    </row>
    <row r="653">
      <c r="F653" s="114"/>
      <c r="G653" s="114"/>
    </row>
    <row r="654">
      <c r="F654" s="114"/>
      <c r="G654" s="114"/>
    </row>
    <row r="655">
      <c r="F655" s="114"/>
      <c r="G655" s="114"/>
    </row>
    <row r="656">
      <c r="F656" s="114"/>
      <c r="G656" s="114"/>
    </row>
    <row r="657">
      <c r="F657" s="114"/>
      <c r="G657" s="114"/>
    </row>
    <row r="658">
      <c r="F658" s="114"/>
      <c r="G658" s="114"/>
    </row>
    <row r="659">
      <c r="F659" s="114"/>
      <c r="G659" s="114"/>
    </row>
    <row r="660">
      <c r="F660" s="114"/>
      <c r="G660" s="114"/>
    </row>
    <row r="661">
      <c r="F661" s="114"/>
      <c r="G661" s="114"/>
    </row>
    <row r="662">
      <c r="F662" s="114"/>
      <c r="G662" s="114"/>
    </row>
    <row r="663">
      <c r="F663" s="114"/>
      <c r="G663" s="114"/>
    </row>
    <row r="664">
      <c r="F664" s="114"/>
      <c r="G664" s="114"/>
    </row>
    <row r="665">
      <c r="F665" s="114"/>
      <c r="G665" s="114"/>
    </row>
    <row r="666">
      <c r="F666" s="114"/>
      <c r="G666" s="114"/>
    </row>
    <row r="667">
      <c r="F667" s="114"/>
      <c r="G667" s="114"/>
    </row>
    <row r="668">
      <c r="F668" s="114"/>
      <c r="G668" s="114"/>
    </row>
    <row r="669">
      <c r="F669" s="114"/>
      <c r="G669" s="114"/>
    </row>
    <row r="670">
      <c r="F670" s="114"/>
      <c r="G670" s="114"/>
    </row>
    <row r="671">
      <c r="F671" s="114"/>
      <c r="G671" s="114"/>
    </row>
    <row r="672">
      <c r="F672" s="114"/>
      <c r="G672" s="114"/>
    </row>
    <row r="673">
      <c r="F673" s="114"/>
      <c r="G673" s="114"/>
    </row>
    <row r="674">
      <c r="F674" s="114"/>
      <c r="G674" s="114"/>
    </row>
    <row r="675">
      <c r="F675" s="114"/>
      <c r="G675" s="114"/>
    </row>
    <row r="676">
      <c r="F676" s="114"/>
      <c r="G676" s="114"/>
    </row>
    <row r="677">
      <c r="F677" s="114"/>
      <c r="G677" s="114"/>
    </row>
    <row r="678">
      <c r="F678" s="114"/>
      <c r="G678" s="114"/>
    </row>
    <row r="679">
      <c r="F679" s="114"/>
      <c r="G679" s="114"/>
    </row>
    <row r="680">
      <c r="F680" s="114"/>
      <c r="G680" s="114"/>
    </row>
    <row r="681">
      <c r="F681" s="114"/>
      <c r="G681" s="114"/>
    </row>
    <row r="682">
      <c r="F682" s="114"/>
      <c r="G682" s="114"/>
    </row>
    <row r="683">
      <c r="F683" s="114"/>
      <c r="G683" s="114"/>
    </row>
    <row r="684">
      <c r="F684" s="114"/>
      <c r="G684" s="114"/>
    </row>
    <row r="685">
      <c r="F685" s="114"/>
      <c r="G685" s="114"/>
    </row>
    <row r="686">
      <c r="F686" s="114"/>
      <c r="G686" s="114"/>
    </row>
    <row r="687">
      <c r="F687" s="114"/>
      <c r="G687" s="114"/>
    </row>
    <row r="688">
      <c r="F688" s="114"/>
      <c r="G688" s="114"/>
    </row>
    <row r="689">
      <c r="F689" s="114"/>
      <c r="G689" s="114"/>
    </row>
    <row r="690">
      <c r="F690" s="114"/>
      <c r="G690" s="114"/>
    </row>
    <row r="691">
      <c r="F691" s="114"/>
      <c r="G691" s="114"/>
    </row>
    <row r="692">
      <c r="F692" s="114"/>
      <c r="G692" s="114"/>
    </row>
    <row r="693">
      <c r="F693" s="114"/>
      <c r="G693" s="114"/>
    </row>
    <row r="694">
      <c r="F694" s="114"/>
      <c r="G694" s="114"/>
    </row>
    <row r="695">
      <c r="F695" s="114"/>
      <c r="G695" s="114"/>
    </row>
    <row r="696">
      <c r="F696" s="114"/>
      <c r="G696" s="114"/>
    </row>
    <row r="697">
      <c r="F697" s="114"/>
      <c r="G697" s="114"/>
    </row>
    <row r="698">
      <c r="F698" s="114"/>
      <c r="G698" s="114"/>
    </row>
    <row r="699">
      <c r="F699" s="114"/>
      <c r="G699" s="114"/>
    </row>
    <row r="700">
      <c r="F700" s="114"/>
      <c r="G700" s="114"/>
    </row>
    <row r="701">
      <c r="F701" s="114"/>
      <c r="G701" s="114"/>
    </row>
    <row r="702">
      <c r="F702" s="114"/>
      <c r="G702" s="114"/>
    </row>
    <row r="703">
      <c r="F703" s="114"/>
      <c r="G703" s="114"/>
    </row>
    <row r="704">
      <c r="F704" s="114"/>
      <c r="G704" s="114"/>
    </row>
    <row r="705">
      <c r="F705" s="114"/>
      <c r="G705" s="114"/>
    </row>
    <row r="706">
      <c r="F706" s="114"/>
      <c r="G706" s="114"/>
    </row>
    <row r="707">
      <c r="F707" s="114"/>
      <c r="G707" s="114"/>
    </row>
    <row r="708">
      <c r="F708" s="114"/>
      <c r="G708" s="114"/>
    </row>
    <row r="709">
      <c r="F709" s="114"/>
      <c r="G709" s="114"/>
    </row>
    <row r="710">
      <c r="F710" s="114"/>
      <c r="G710" s="114"/>
    </row>
    <row r="711">
      <c r="F711" s="114"/>
      <c r="G711" s="114"/>
    </row>
    <row r="712">
      <c r="F712" s="114"/>
      <c r="G712" s="114"/>
    </row>
    <row r="713">
      <c r="F713" s="114"/>
      <c r="G713" s="114"/>
    </row>
    <row r="714">
      <c r="F714" s="114"/>
      <c r="G714" s="114"/>
    </row>
    <row r="715">
      <c r="F715" s="114"/>
      <c r="G715" s="114"/>
    </row>
    <row r="716">
      <c r="F716" s="114"/>
      <c r="G716" s="114"/>
    </row>
    <row r="717">
      <c r="F717" s="114"/>
      <c r="G717" s="114"/>
    </row>
    <row r="718">
      <c r="F718" s="114"/>
      <c r="G718" s="114"/>
    </row>
    <row r="719">
      <c r="F719" s="114"/>
      <c r="G719" s="114"/>
    </row>
    <row r="720">
      <c r="F720" s="114"/>
      <c r="G720" s="114"/>
    </row>
    <row r="721">
      <c r="F721" s="114"/>
      <c r="G721" s="114"/>
    </row>
    <row r="722">
      <c r="F722" s="114"/>
      <c r="G722" s="114"/>
    </row>
    <row r="723">
      <c r="F723" s="114"/>
      <c r="G723" s="114"/>
    </row>
    <row r="724">
      <c r="F724" s="114"/>
      <c r="G724" s="114"/>
    </row>
    <row r="725">
      <c r="F725" s="114"/>
      <c r="G725" s="114"/>
    </row>
    <row r="726">
      <c r="F726" s="114"/>
      <c r="G726" s="114"/>
    </row>
    <row r="727">
      <c r="F727" s="114"/>
      <c r="G727" s="114"/>
    </row>
    <row r="728">
      <c r="F728" s="114"/>
      <c r="G728" s="114"/>
    </row>
    <row r="729">
      <c r="F729" s="114"/>
      <c r="G729" s="114"/>
    </row>
    <row r="730">
      <c r="F730" s="114"/>
      <c r="G730" s="114"/>
    </row>
    <row r="731">
      <c r="F731" s="114"/>
      <c r="G731" s="114"/>
    </row>
    <row r="732">
      <c r="F732" s="114"/>
      <c r="G732" s="114"/>
    </row>
    <row r="733">
      <c r="F733" s="114"/>
      <c r="G733" s="114"/>
    </row>
    <row r="734">
      <c r="F734" s="114"/>
      <c r="G734" s="114"/>
    </row>
    <row r="735">
      <c r="F735" s="114"/>
      <c r="G735" s="114"/>
    </row>
    <row r="736">
      <c r="F736" s="114"/>
      <c r="G736" s="114"/>
    </row>
    <row r="737">
      <c r="F737" s="114"/>
      <c r="G737" s="114"/>
    </row>
    <row r="738">
      <c r="F738" s="114"/>
      <c r="G738" s="114"/>
    </row>
    <row r="739">
      <c r="F739" s="114"/>
      <c r="G739" s="114"/>
    </row>
    <row r="740">
      <c r="F740" s="114"/>
      <c r="G740" s="114"/>
    </row>
    <row r="741">
      <c r="F741" s="114"/>
      <c r="G741" s="114"/>
    </row>
    <row r="742">
      <c r="F742" s="114"/>
      <c r="G742" s="114"/>
    </row>
    <row r="743">
      <c r="F743" s="114"/>
      <c r="G743" s="114"/>
    </row>
    <row r="744">
      <c r="F744" s="114"/>
      <c r="G744" s="114"/>
    </row>
    <row r="745">
      <c r="F745" s="114"/>
      <c r="G745" s="114"/>
    </row>
    <row r="746">
      <c r="F746" s="114"/>
      <c r="G746" s="114"/>
    </row>
    <row r="747">
      <c r="F747" s="114"/>
      <c r="G747" s="114"/>
    </row>
    <row r="748">
      <c r="F748" s="114"/>
      <c r="G748" s="114"/>
    </row>
    <row r="749">
      <c r="F749" s="114"/>
      <c r="G749" s="114"/>
    </row>
    <row r="750">
      <c r="F750" s="114"/>
      <c r="G750" s="114"/>
    </row>
    <row r="751">
      <c r="F751" s="114"/>
      <c r="G751" s="114"/>
    </row>
    <row r="752">
      <c r="F752" s="114"/>
      <c r="G752" s="114"/>
    </row>
    <row r="753">
      <c r="F753" s="114"/>
      <c r="G753" s="114"/>
    </row>
    <row r="754">
      <c r="F754" s="114"/>
      <c r="G754" s="114"/>
    </row>
    <row r="755">
      <c r="F755" s="114"/>
      <c r="G755" s="114"/>
    </row>
    <row r="756">
      <c r="F756" s="114"/>
      <c r="G756" s="114"/>
    </row>
    <row r="757">
      <c r="F757" s="114"/>
      <c r="G757" s="114"/>
    </row>
    <row r="758">
      <c r="F758" s="114"/>
      <c r="G758" s="114"/>
    </row>
    <row r="759">
      <c r="F759" s="114"/>
      <c r="G759" s="114"/>
    </row>
    <row r="760">
      <c r="F760" s="114"/>
      <c r="G760" s="114"/>
    </row>
    <row r="761">
      <c r="F761" s="114"/>
      <c r="G761" s="114"/>
    </row>
    <row r="762">
      <c r="F762" s="114"/>
      <c r="G762" s="114"/>
    </row>
    <row r="763">
      <c r="F763" s="114"/>
      <c r="G763" s="114"/>
    </row>
    <row r="764">
      <c r="F764" s="114"/>
      <c r="G764" s="114"/>
    </row>
    <row r="765">
      <c r="F765" s="114"/>
      <c r="G765" s="114"/>
    </row>
    <row r="766">
      <c r="F766" s="114"/>
      <c r="G766" s="114"/>
    </row>
    <row r="767">
      <c r="F767" s="114"/>
      <c r="G767" s="114"/>
    </row>
    <row r="768">
      <c r="F768" s="114"/>
      <c r="G768" s="114"/>
    </row>
    <row r="769">
      <c r="F769" s="114"/>
      <c r="G769" s="114"/>
    </row>
    <row r="770">
      <c r="F770" s="114"/>
      <c r="G770" s="114"/>
    </row>
    <row r="771">
      <c r="F771" s="114"/>
      <c r="G771" s="114"/>
    </row>
    <row r="772">
      <c r="F772" s="114"/>
      <c r="G772" s="114"/>
    </row>
    <row r="773">
      <c r="F773" s="114"/>
      <c r="G773" s="114"/>
    </row>
    <row r="774">
      <c r="F774" s="114"/>
      <c r="G774" s="114"/>
    </row>
    <row r="775">
      <c r="F775" s="114"/>
      <c r="G775" s="114"/>
    </row>
    <row r="776">
      <c r="F776" s="114"/>
      <c r="G776" s="114"/>
    </row>
    <row r="777">
      <c r="F777" s="114"/>
      <c r="G777" s="114"/>
    </row>
    <row r="778">
      <c r="F778" s="114"/>
      <c r="G778" s="114"/>
    </row>
    <row r="779">
      <c r="F779" s="114"/>
      <c r="G779" s="114"/>
    </row>
    <row r="780">
      <c r="F780" s="114"/>
      <c r="G780" s="114"/>
    </row>
    <row r="781">
      <c r="F781" s="114"/>
      <c r="G781" s="114"/>
    </row>
    <row r="782">
      <c r="F782" s="114"/>
      <c r="G782" s="114"/>
    </row>
    <row r="783">
      <c r="F783" s="114"/>
      <c r="G783" s="114"/>
    </row>
    <row r="784">
      <c r="F784" s="114"/>
      <c r="G784" s="114"/>
    </row>
    <row r="785">
      <c r="F785" s="114"/>
      <c r="G785" s="114"/>
    </row>
    <row r="786">
      <c r="F786" s="114"/>
      <c r="G786" s="114"/>
    </row>
    <row r="787">
      <c r="F787" s="114"/>
      <c r="G787" s="114"/>
    </row>
    <row r="788">
      <c r="F788" s="114"/>
      <c r="G788" s="114"/>
    </row>
    <row r="789">
      <c r="F789" s="114"/>
      <c r="G789" s="114"/>
    </row>
    <row r="790">
      <c r="F790" s="114"/>
      <c r="G790" s="114"/>
    </row>
    <row r="791">
      <c r="F791" s="114"/>
      <c r="G791" s="114"/>
    </row>
    <row r="792">
      <c r="F792" s="114"/>
      <c r="G792" s="114"/>
    </row>
    <row r="793">
      <c r="F793" s="114"/>
      <c r="G793" s="114"/>
    </row>
    <row r="794">
      <c r="F794" s="114"/>
      <c r="G794" s="114"/>
    </row>
    <row r="795">
      <c r="F795" s="114"/>
      <c r="G795" s="114"/>
    </row>
    <row r="796">
      <c r="F796" s="114"/>
      <c r="G796" s="114"/>
    </row>
    <row r="797">
      <c r="F797" s="114"/>
      <c r="G797" s="114"/>
    </row>
    <row r="798">
      <c r="F798" s="114"/>
      <c r="G798" s="114"/>
    </row>
    <row r="799">
      <c r="F799" s="114"/>
      <c r="G799" s="114"/>
    </row>
    <row r="800">
      <c r="F800" s="114"/>
      <c r="G800" s="114"/>
    </row>
    <row r="801">
      <c r="F801" s="114"/>
      <c r="G801" s="114"/>
    </row>
    <row r="802">
      <c r="F802" s="114"/>
      <c r="G802" s="114"/>
    </row>
    <row r="803">
      <c r="F803" s="114"/>
      <c r="G803" s="114"/>
    </row>
    <row r="804">
      <c r="F804" s="114"/>
      <c r="G804" s="114"/>
    </row>
    <row r="805">
      <c r="F805" s="114"/>
      <c r="G805" s="114"/>
    </row>
    <row r="806">
      <c r="F806" s="114"/>
      <c r="G806" s="114"/>
    </row>
    <row r="807">
      <c r="F807" s="114"/>
      <c r="G807" s="114"/>
    </row>
    <row r="808">
      <c r="F808" s="114"/>
      <c r="G808" s="114"/>
    </row>
    <row r="809">
      <c r="F809" s="114"/>
      <c r="G809" s="114"/>
    </row>
    <row r="810">
      <c r="F810" s="114"/>
      <c r="G810" s="114"/>
    </row>
    <row r="811">
      <c r="F811" s="114"/>
      <c r="G811" s="114"/>
    </row>
    <row r="812">
      <c r="F812" s="114"/>
      <c r="G812" s="114"/>
    </row>
    <row r="813">
      <c r="F813" s="114"/>
      <c r="G813" s="114"/>
    </row>
    <row r="814">
      <c r="F814" s="114"/>
      <c r="G814" s="114"/>
    </row>
    <row r="815">
      <c r="F815" s="114"/>
      <c r="G815" s="114"/>
    </row>
    <row r="816">
      <c r="F816" s="114"/>
      <c r="G816" s="114"/>
    </row>
    <row r="817">
      <c r="F817" s="114"/>
      <c r="G817" s="114"/>
    </row>
    <row r="818">
      <c r="F818" s="114"/>
      <c r="G818" s="114"/>
    </row>
    <row r="819">
      <c r="F819" s="114"/>
      <c r="G819" s="114"/>
    </row>
    <row r="820">
      <c r="F820" s="114"/>
      <c r="G820" s="114"/>
    </row>
    <row r="821">
      <c r="F821" s="114"/>
      <c r="G821" s="114"/>
    </row>
    <row r="822">
      <c r="F822" s="114"/>
      <c r="G822" s="114"/>
    </row>
    <row r="823">
      <c r="F823" s="114"/>
      <c r="G823" s="114"/>
    </row>
    <row r="824">
      <c r="F824" s="114"/>
      <c r="G824" s="114"/>
    </row>
    <row r="825">
      <c r="F825" s="114"/>
      <c r="G825" s="114"/>
    </row>
    <row r="826">
      <c r="F826" s="114"/>
      <c r="G826" s="114"/>
    </row>
    <row r="827">
      <c r="F827" s="114"/>
      <c r="G827" s="114"/>
    </row>
    <row r="828">
      <c r="F828" s="114"/>
      <c r="G828" s="114"/>
    </row>
    <row r="829">
      <c r="F829" s="114"/>
      <c r="G829" s="114"/>
    </row>
    <row r="830">
      <c r="F830" s="114"/>
      <c r="G830" s="114"/>
    </row>
    <row r="831">
      <c r="F831" s="114"/>
      <c r="G831" s="114"/>
    </row>
    <row r="832">
      <c r="F832" s="114"/>
      <c r="G832" s="114"/>
    </row>
    <row r="833">
      <c r="F833" s="114"/>
      <c r="G833" s="114"/>
    </row>
    <row r="834">
      <c r="F834" s="114"/>
      <c r="G834" s="114"/>
    </row>
    <row r="835">
      <c r="F835" s="114"/>
      <c r="G835" s="114"/>
    </row>
    <row r="836">
      <c r="F836" s="114"/>
      <c r="G836" s="114"/>
    </row>
    <row r="837">
      <c r="F837" s="114"/>
      <c r="G837" s="114"/>
    </row>
    <row r="838">
      <c r="F838" s="114"/>
      <c r="G838" s="114"/>
    </row>
    <row r="839">
      <c r="F839" s="114"/>
      <c r="G839" s="114"/>
    </row>
    <row r="840">
      <c r="F840" s="114"/>
      <c r="G840" s="114"/>
    </row>
    <row r="841">
      <c r="F841" s="114"/>
      <c r="G841" s="114"/>
    </row>
    <row r="842">
      <c r="F842" s="114"/>
      <c r="G842" s="114"/>
    </row>
    <row r="843">
      <c r="F843" s="114"/>
      <c r="G843" s="114"/>
    </row>
    <row r="844">
      <c r="F844" s="114"/>
      <c r="G844" s="114"/>
    </row>
    <row r="845">
      <c r="F845" s="114"/>
      <c r="G845" s="114"/>
    </row>
    <row r="846">
      <c r="F846" s="114"/>
      <c r="G846" s="114"/>
    </row>
    <row r="847">
      <c r="F847" s="114"/>
      <c r="G847" s="114"/>
    </row>
    <row r="848">
      <c r="F848" s="114"/>
      <c r="G848" s="114"/>
    </row>
    <row r="849">
      <c r="F849" s="114"/>
      <c r="G849" s="114"/>
    </row>
    <row r="850">
      <c r="F850" s="114"/>
      <c r="G850" s="114"/>
    </row>
    <row r="851">
      <c r="F851" s="114"/>
      <c r="G851" s="114"/>
    </row>
    <row r="852">
      <c r="F852" s="114"/>
      <c r="G852" s="114"/>
    </row>
    <row r="853">
      <c r="F853" s="114"/>
      <c r="G853" s="114"/>
    </row>
    <row r="854">
      <c r="F854" s="114"/>
      <c r="G854" s="114"/>
    </row>
    <row r="855">
      <c r="F855" s="114"/>
      <c r="G855" s="114"/>
    </row>
    <row r="856">
      <c r="F856" s="114"/>
      <c r="G856" s="114"/>
    </row>
    <row r="857">
      <c r="F857" s="114"/>
      <c r="G857" s="114"/>
    </row>
    <row r="858">
      <c r="F858" s="114"/>
      <c r="G858" s="114"/>
    </row>
    <row r="859">
      <c r="F859" s="114"/>
      <c r="G859" s="114"/>
    </row>
    <row r="860">
      <c r="F860" s="114"/>
      <c r="G860" s="114"/>
    </row>
    <row r="861">
      <c r="F861" s="114"/>
      <c r="G861" s="114"/>
    </row>
    <row r="862">
      <c r="F862" s="114"/>
      <c r="G862" s="114"/>
    </row>
    <row r="863">
      <c r="F863" s="114"/>
      <c r="G863" s="114"/>
    </row>
    <row r="864">
      <c r="F864" s="114"/>
      <c r="G864" s="114"/>
    </row>
    <row r="865">
      <c r="F865" s="114"/>
      <c r="G865" s="114"/>
    </row>
    <row r="866">
      <c r="F866" s="114"/>
      <c r="G866" s="114"/>
    </row>
    <row r="867">
      <c r="F867" s="114"/>
      <c r="G867" s="114"/>
    </row>
    <row r="868">
      <c r="F868" s="114"/>
      <c r="G868" s="114"/>
    </row>
    <row r="869">
      <c r="F869" s="114"/>
      <c r="G869" s="114"/>
    </row>
    <row r="870">
      <c r="F870" s="114"/>
      <c r="G870" s="114"/>
    </row>
    <row r="871">
      <c r="F871" s="114"/>
      <c r="G871" s="114"/>
    </row>
    <row r="872">
      <c r="F872" s="114"/>
      <c r="G872" s="114"/>
    </row>
    <row r="873">
      <c r="F873" s="114"/>
      <c r="G873" s="114"/>
    </row>
    <row r="874">
      <c r="F874" s="114"/>
      <c r="G874" s="114"/>
    </row>
    <row r="875">
      <c r="F875" s="114"/>
      <c r="G875" s="114"/>
    </row>
    <row r="876">
      <c r="F876" s="114"/>
      <c r="G876" s="114"/>
    </row>
    <row r="877">
      <c r="F877" s="114"/>
      <c r="G877" s="114"/>
    </row>
    <row r="878">
      <c r="F878" s="114"/>
      <c r="G878" s="114"/>
    </row>
    <row r="879">
      <c r="F879" s="114"/>
      <c r="G879" s="114"/>
    </row>
    <row r="880">
      <c r="F880" s="114"/>
      <c r="G880" s="114"/>
    </row>
    <row r="881">
      <c r="F881" s="114"/>
      <c r="G881" s="114"/>
    </row>
    <row r="882">
      <c r="F882" s="114"/>
      <c r="G882" s="114"/>
    </row>
    <row r="883">
      <c r="F883" s="114"/>
      <c r="G883" s="114"/>
    </row>
    <row r="884">
      <c r="F884" s="114"/>
      <c r="G884" s="114"/>
    </row>
    <row r="885">
      <c r="F885" s="114"/>
      <c r="G885" s="114"/>
    </row>
    <row r="886">
      <c r="F886" s="114"/>
      <c r="G886" s="114"/>
    </row>
    <row r="887">
      <c r="F887" s="114"/>
      <c r="G887" s="114"/>
    </row>
    <row r="888">
      <c r="F888" s="114"/>
      <c r="G888" s="114"/>
    </row>
    <row r="889">
      <c r="F889" s="114"/>
      <c r="G889" s="114"/>
    </row>
    <row r="890">
      <c r="F890" s="114"/>
      <c r="G890" s="114"/>
    </row>
    <row r="891">
      <c r="F891" s="114"/>
      <c r="G891" s="114"/>
    </row>
    <row r="892">
      <c r="F892" s="114"/>
      <c r="G892" s="114"/>
    </row>
    <row r="893">
      <c r="F893" s="114"/>
      <c r="G893" s="114"/>
    </row>
    <row r="894">
      <c r="F894" s="114"/>
      <c r="G894" s="114"/>
    </row>
    <row r="895">
      <c r="F895" s="114"/>
      <c r="G895" s="114"/>
    </row>
    <row r="896">
      <c r="F896" s="114"/>
      <c r="G896" s="114"/>
    </row>
    <row r="897">
      <c r="F897" s="114"/>
      <c r="G897" s="114"/>
    </row>
    <row r="898">
      <c r="F898" s="114"/>
      <c r="G898" s="114"/>
    </row>
    <row r="899">
      <c r="F899" s="114"/>
      <c r="G899" s="114"/>
    </row>
    <row r="900">
      <c r="F900" s="114"/>
      <c r="G900" s="114"/>
    </row>
    <row r="901">
      <c r="F901" s="114"/>
      <c r="G901" s="114"/>
    </row>
    <row r="902">
      <c r="F902" s="114"/>
      <c r="G902" s="114"/>
    </row>
    <row r="903">
      <c r="F903" s="114"/>
      <c r="G903" s="114"/>
    </row>
    <row r="904">
      <c r="F904" s="114"/>
      <c r="G904" s="114"/>
    </row>
    <row r="905">
      <c r="F905" s="114"/>
      <c r="G905" s="114"/>
    </row>
    <row r="906">
      <c r="F906" s="114"/>
      <c r="G906" s="114"/>
    </row>
    <row r="907">
      <c r="F907" s="114"/>
      <c r="G907" s="114"/>
    </row>
    <row r="908">
      <c r="F908" s="114"/>
      <c r="G908" s="114"/>
    </row>
    <row r="909">
      <c r="F909" s="114"/>
      <c r="G909" s="114"/>
    </row>
    <row r="910">
      <c r="F910" s="114"/>
      <c r="G910" s="114"/>
    </row>
    <row r="911">
      <c r="F911" s="114"/>
      <c r="G911" s="114"/>
    </row>
    <row r="912">
      <c r="F912" s="114"/>
      <c r="G912" s="114"/>
    </row>
    <row r="913">
      <c r="F913" s="114"/>
      <c r="G913" s="114"/>
    </row>
    <row r="914">
      <c r="F914" s="114"/>
      <c r="G914" s="114"/>
    </row>
    <row r="915">
      <c r="F915" s="114"/>
      <c r="G915" s="114"/>
    </row>
    <row r="916">
      <c r="F916" s="114"/>
      <c r="G916" s="114"/>
    </row>
    <row r="917">
      <c r="F917" s="114"/>
      <c r="G917" s="114"/>
    </row>
    <row r="918">
      <c r="F918" s="114"/>
      <c r="G918" s="114"/>
    </row>
    <row r="919">
      <c r="F919" s="114"/>
      <c r="G919" s="114"/>
    </row>
    <row r="920">
      <c r="F920" s="114"/>
      <c r="G920" s="114"/>
    </row>
    <row r="921">
      <c r="F921" s="114"/>
      <c r="G921" s="114"/>
    </row>
    <row r="922">
      <c r="F922" s="114"/>
      <c r="G922" s="114"/>
    </row>
    <row r="923">
      <c r="F923" s="114"/>
      <c r="G923" s="114"/>
    </row>
    <row r="924">
      <c r="F924" s="114"/>
      <c r="G924" s="114"/>
    </row>
    <row r="925">
      <c r="F925" s="114"/>
      <c r="G925" s="114"/>
    </row>
    <row r="926">
      <c r="F926" s="114"/>
      <c r="G926" s="114"/>
    </row>
    <row r="927">
      <c r="F927" s="114"/>
      <c r="G927" s="114"/>
    </row>
    <row r="928">
      <c r="F928" s="114"/>
      <c r="G928" s="114"/>
    </row>
    <row r="929">
      <c r="F929" s="114"/>
      <c r="G929" s="114"/>
    </row>
    <row r="930">
      <c r="F930" s="114"/>
      <c r="G930" s="114"/>
    </row>
    <row r="931">
      <c r="F931" s="114"/>
      <c r="G931" s="114"/>
    </row>
    <row r="932">
      <c r="F932" s="114"/>
      <c r="G932" s="114"/>
    </row>
    <row r="933">
      <c r="F933" s="114"/>
      <c r="G933" s="114"/>
    </row>
    <row r="934">
      <c r="F934" s="114"/>
      <c r="G934" s="114"/>
    </row>
    <row r="935">
      <c r="F935" s="114"/>
      <c r="G935" s="114"/>
    </row>
    <row r="936">
      <c r="F936" s="114"/>
      <c r="G936" s="114"/>
    </row>
    <row r="937">
      <c r="F937" s="114"/>
      <c r="G937" s="114"/>
    </row>
    <row r="938">
      <c r="F938" s="114"/>
      <c r="G938" s="114"/>
    </row>
    <row r="939">
      <c r="F939" s="114"/>
      <c r="G939" s="114"/>
    </row>
    <row r="940">
      <c r="F940" s="114"/>
      <c r="G940" s="114"/>
    </row>
    <row r="941">
      <c r="F941" s="114"/>
      <c r="G941" s="114"/>
    </row>
    <row r="942">
      <c r="F942" s="114"/>
      <c r="G942" s="114"/>
    </row>
    <row r="943">
      <c r="F943" s="114"/>
      <c r="G943" s="114"/>
    </row>
    <row r="944">
      <c r="F944" s="114"/>
      <c r="G944" s="114"/>
    </row>
    <row r="945">
      <c r="F945" s="114"/>
      <c r="G945" s="114"/>
    </row>
    <row r="946">
      <c r="F946" s="114"/>
      <c r="G946" s="114"/>
    </row>
    <row r="947">
      <c r="F947" s="114"/>
      <c r="G947" s="114"/>
    </row>
    <row r="948">
      <c r="F948" s="114"/>
      <c r="G948" s="114"/>
    </row>
    <row r="949">
      <c r="F949" s="114"/>
      <c r="G949" s="114"/>
    </row>
    <row r="950">
      <c r="F950" s="114"/>
      <c r="G950" s="114"/>
    </row>
    <row r="951">
      <c r="F951" s="114"/>
      <c r="G951" s="114"/>
    </row>
    <row r="952">
      <c r="F952" s="114"/>
      <c r="G952" s="114"/>
    </row>
    <row r="953">
      <c r="F953" s="114"/>
      <c r="G953" s="114"/>
    </row>
    <row r="954">
      <c r="F954" s="114"/>
      <c r="G954" s="114"/>
    </row>
    <row r="955">
      <c r="F955" s="114"/>
      <c r="G955" s="114"/>
    </row>
    <row r="956">
      <c r="F956" s="114"/>
      <c r="G956" s="114"/>
    </row>
    <row r="957">
      <c r="F957" s="114"/>
      <c r="G957" s="114"/>
    </row>
    <row r="958">
      <c r="F958" s="114"/>
      <c r="G958" s="114"/>
    </row>
    <row r="959">
      <c r="F959" s="114"/>
      <c r="G959" s="114"/>
    </row>
    <row r="960">
      <c r="F960" s="114"/>
      <c r="G960" s="114"/>
    </row>
    <row r="961">
      <c r="F961" s="114"/>
      <c r="G961" s="114"/>
    </row>
    <row r="962">
      <c r="F962" s="114"/>
      <c r="G962" s="114"/>
    </row>
    <row r="963">
      <c r="F963" s="114"/>
      <c r="G963" s="114"/>
    </row>
    <row r="964">
      <c r="F964" s="114"/>
      <c r="G964" s="114"/>
    </row>
    <row r="965">
      <c r="F965" s="114"/>
      <c r="G965" s="114"/>
    </row>
    <row r="966">
      <c r="F966" s="114"/>
      <c r="G966" s="114"/>
    </row>
    <row r="967">
      <c r="F967" s="114"/>
      <c r="G967" s="114"/>
    </row>
    <row r="968">
      <c r="F968" s="114"/>
      <c r="G968" s="114"/>
    </row>
    <row r="969">
      <c r="F969" s="114"/>
      <c r="G969" s="114"/>
    </row>
    <row r="970">
      <c r="F970" s="114"/>
      <c r="G970" s="114"/>
    </row>
    <row r="971">
      <c r="F971" s="114"/>
      <c r="G971" s="114"/>
    </row>
    <row r="972">
      <c r="F972" s="114"/>
      <c r="G972" s="114"/>
    </row>
    <row r="973">
      <c r="F973" s="114"/>
      <c r="G973" s="114"/>
    </row>
    <row r="974">
      <c r="F974" s="114"/>
      <c r="G974" s="114"/>
    </row>
    <row r="975">
      <c r="F975" s="114"/>
      <c r="G975" s="114"/>
    </row>
    <row r="976">
      <c r="F976" s="114"/>
      <c r="G976" s="114"/>
    </row>
    <row r="977">
      <c r="F977" s="114"/>
      <c r="G977" s="114"/>
    </row>
    <row r="978">
      <c r="F978" s="114"/>
      <c r="G978" s="114"/>
    </row>
    <row r="979">
      <c r="F979" s="114"/>
      <c r="G979" s="114"/>
    </row>
    <row r="980">
      <c r="F980" s="114"/>
      <c r="G980" s="114"/>
    </row>
    <row r="981">
      <c r="F981" s="114"/>
      <c r="G981" s="114"/>
    </row>
    <row r="982">
      <c r="F982" s="114"/>
      <c r="G982" s="114"/>
    </row>
    <row r="983">
      <c r="F983" s="114"/>
      <c r="G983" s="114"/>
    </row>
    <row r="984">
      <c r="F984" s="114"/>
      <c r="G984" s="114"/>
    </row>
    <row r="985">
      <c r="F985" s="114"/>
      <c r="G985" s="114"/>
    </row>
    <row r="986">
      <c r="F986" s="114"/>
      <c r="G986" s="114"/>
    </row>
    <row r="987">
      <c r="F987" s="114"/>
      <c r="G987" s="114"/>
    </row>
    <row r="988">
      <c r="F988" s="114"/>
      <c r="G988" s="114"/>
    </row>
    <row r="989">
      <c r="F989" s="114"/>
      <c r="G989" s="114"/>
    </row>
    <row r="990">
      <c r="F990" s="114"/>
      <c r="G990" s="114"/>
    </row>
    <row r="991">
      <c r="F991" s="114"/>
      <c r="G991" s="114"/>
    </row>
    <row r="992">
      <c r="F992" s="114"/>
      <c r="G992" s="114"/>
    </row>
    <row r="993">
      <c r="F993" s="114"/>
      <c r="G993" s="114"/>
    </row>
    <row r="994">
      <c r="F994" s="114"/>
      <c r="G994" s="114"/>
    </row>
    <row r="995">
      <c r="F995" s="114"/>
      <c r="G995" s="114"/>
    </row>
    <row r="996">
      <c r="F996" s="114"/>
      <c r="G996" s="114"/>
    </row>
  </sheetData>
  <mergeCells count="12">
    <mergeCell ref="B33:D33"/>
    <mergeCell ref="A39:D43"/>
    <mergeCell ref="F39:G39"/>
    <mergeCell ref="F41:G41"/>
    <mergeCell ref="F43:G43"/>
    <mergeCell ref="A1:B1"/>
    <mergeCell ref="C1:E1"/>
    <mergeCell ref="A2:D2"/>
    <mergeCell ref="A3:D3"/>
    <mergeCell ref="E3:J3"/>
    <mergeCell ref="A4:J4"/>
    <mergeCell ref="A38:J38"/>
  </mergeCells>
  <dataValidations>
    <dataValidation type="list" allowBlank="1" showErrorMessage="1" sqref="H6 H9 H12 H18 H22 H36">
      <formula1>"High,Standard,Low"</formula1>
    </dataValidation>
    <dataValidation type="list" allowBlank="1" showErrorMessage="1" sqref="I6 I9 I12 I18 I22 I36">
      <formula1>"NOW,NEXT,LATER"</formula1>
    </dataValidation>
  </dataValidations>
  <drawing r:id="rId1"/>
  <tableParts count="8">
    <tablePart r:id="rId10"/>
    <tablePart r:id="rId11"/>
    <tablePart r:id="rId12"/>
    <tablePart r:id="rId13"/>
    <tablePart r:id="rId14"/>
    <tablePart r:id="rId15"/>
    <tablePart r:id="rId16"/>
    <tablePart r:id="rId17"/>
  </tableParts>
</worksheet>
</file>