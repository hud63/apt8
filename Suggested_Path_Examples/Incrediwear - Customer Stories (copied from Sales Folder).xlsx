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put" sheetId="1" r:id="rId4"/>
    <sheet state="visible" name="ClickUp Import" sheetId="2" r:id="rId5"/>
    <sheet state="visible" name="Config" sheetId="3" r:id="rId6"/>
    <sheet state="visible" name="Calculations" sheetId="4" r:id="rId7"/>
  </sheets>
  <definedNames/>
  <calcPr/>
</workbook>
</file>

<file path=xl/sharedStrings.xml><?xml version="1.0" encoding="utf-8"?>
<sst xmlns="http://schemas.openxmlformats.org/spreadsheetml/2006/main" count="335" uniqueCount="233">
  <si>
    <t>Library_ID</t>
  </si>
  <si>
    <t>Workstream</t>
  </si>
  <si>
    <t>Service_Title</t>
  </si>
  <si>
    <t>Customer_Story</t>
  </si>
  <si>
    <t>Suggested_Path</t>
  </si>
  <si>
    <t>Assumptions</t>
  </si>
  <si>
    <t>Estimated_Low_Hours</t>
  </si>
  <si>
    <t>Estimated_High_Hours</t>
  </si>
  <si>
    <t>Contracted_Hours</t>
  </si>
  <si>
    <t>Display</t>
  </si>
  <si>
    <t>Requires_Clarification</t>
  </si>
  <si>
    <t>Function</t>
  </si>
  <si>
    <t>Potential_Variance</t>
  </si>
  <si>
    <t>Project_ID</t>
  </si>
  <si>
    <t>Internal_Notes</t>
  </si>
  <si>
    <t>Task_Link</t>
  </si>
  <si>
    <t xml:space="preserve">Requirements Gathering Workshops </t>
  </si>
  <si>
    <t>Requirements Gathering Workshops</t>
  </si>
  <si>
    <t>As a sales team, I need to participate in structured requirements workshops so we can define data modeling, sales, quoting, and reporting needs to support a scalable HubSpot architecture.</t>
  </si>
  <si>
    <t xml:space="preserve">1. Conduct 4 workshops focused on data model, sales process, quoting, and reporting. 
2. Document requirements into BPMN diagrams and user stories. </t>
  </si>
  <si>
    <t>- Key stakeholders will attend 4 workshops (sales, quoting, reporting, data modeling).
- Workshops will be scheduled with adequate lead time to ensure full participation from sales leadership, finance, and operations.
- Client will provide representative examples of Shopify, Amazon, and B2B orders to inform discovery.
- Client will share current HubSpot dashboards, even if incomplete or inaccurate, to review usability gaps.
- Workshops will focus on defining current vs. future state processes (not building solutions in real-time).
- Output will include BPMN diagrams, user stories, and prioritized requirements by business need.
- Client team will identify a decision-maker to approve workshop outputs and requirements.
- Data quality constraints (e.g., duplicates, missing fields) will be documented but not remediated during workshops.</t>
  </si>
  <si>
    <t>Now</t>
  </si>
  <si>
    <t>Consulting</t>
  </si>
  <si>
    <t>Solution Design &amp; Validation</t>
  </si>
  <si>
    <t>Solution Validation</t>
  </si>
  <si>
    <t>As a sales team, we need to review and validate the proposed solution design so that we can confirm it meets our requirements before build.</t>
  </si>
  <si>
    <t>1. Facilitate up to 2 validation sessions. 
2. Present ERD, Process Map, UAT scenarios, Training Plan, Go-Live Plan, and Gantt Chart. 
. Incorporate feedback and adjust hours if necessary.</t>
  </si>
  <si>
    <t>- Up to 2 solution validation sessions will be scheduled within 10 business days of workshop completion.
- Deliverables will include ERD, process maps, UAT scenarios, training plan, go-live plan, and high-level Gantt.
- Client will provide timely feedback (within 3–5 business days) on all deliverables to stay on schedule.
- Any requested changes outside defined requirements may increase hours or require a formal change order.
- Validation will confirm alignment with sales adoption goals and B2B scalability targets.
- Technical diagrams (ERD, TRD) will reflect current known integrations (HubSpot &amp; Netsuite).
- Client acknowledges that feedback should come consolidated from key stakeholders to avoid scope creep.
- Approval of the validated solution design will serve as the basis for build and implementation.</t>
  </si>
  <si>
    <t>Sales Implementation</t>
  </si>
  <si>
    <t>Rebuild Data Model</t>
  </si>
  <si>
    <t>As a sales team, we need our HubSpot data model rebuilt with commission, LTV, partner/customer associations, multi-location clients, and product price books so we can report and operate effectively.</t>
  </si>
  <si>
    <t>1. Define calculated properties for commission and LTV. 
2. Configure association labels (Partners vs Customers). 
3. Create parent/child company relationships. 
4. Implement product structure with 3 price books (MSRP, 25% off, 50% off).</t>
  </si>
  <si>
    <t>- Calculated properties (commission, LTV) will be limited to logic defined during requirements.
- Association labels (partners, customers) will be aligned to Incrediwear’s B2B structure.
- Parent-child company relationships will reflect multi-location clients and international distributors.
- Product structure will include up to 3 price books (MSRP, 25%, 50%).
- Data sources for backfill (NetSuite, Shopify, Amazon) will be accessible for mapping and validation.
- Client will provide subject matter experts for product/pricing validation.
- Data migration will be limited to records defined in scope; historical activity is excluded.</t>
  </si>
  <si>
    <t>Record Customization</t>
  </si>
  <si>
    <t>As a sales team, we need record layouts customized by business type so that each team has the relevant properties and views for their process.</t>
  </si>
  <si>
    <t xml:space="preserve">Aptitude 8 should customize 6 layouts: Contacts, Companies (4 business types), Deals. 
</t>
  </si>
  <si>
    <t>- 6 layouts will be customized (Contacts, Deals, and 4 Company record types: Retail, Medical, Teams, International).
- Each layout will include only fields relevant to that business type.
- Dependent properties will be configured based on data gathered in workshops.
- Layouts will remain within HubSpot’s out-of-the-box customization limits (no coded UI).
- Users will be assigned correct default views by role/team.
- Client will confirm naming conventions for business types to avoid ambiguity.
- Record customizations will not include workflow automation (handled separately).
- Validation of layouts will occur with sales leadership before rollout.</t>
  </si>
  <si>
    <t>Backfill New Parent-Child Relationship Structure</t>
  </si>
  <si>
    <t>As a sales team, we need to migrate existing records into the new HubSpot data structure so that our operations can continue without disruption.</t>
  </si>
  <si>
    <t>Aptitude 8 should export the relevant records from HubSpot so they can transform the data in spreadsheet, specifically, apply the correct parent-child relationships to companies. Once transformation is complete, import the relationships into HubSpot.</t>
  </si>
  <si>
    <t>- Transformation of data will be performed in spreadsheet format, supplied by Aptitude 8 for client review.
- Correct contact and deal associations must already exist or be clearly identifiable in exported data.
- No historical activities, notes, or tasks will be remapped during backfill.
- Total record counts are ~541 deals, ~4,800 companies, and ~407,000 contacts.
- Client will provide validation of test imports before full backfill execution.
- Backfill will not address duplicate records beyond parent-child relationships.
- Client acknowledges that backfill may expose additional data quality issues requiring future cleanup.</t>
  </si>
  <si>
    <t>Optimize Sales Pipeline</t>
  </si>
  <si>
    <t>As a sales team, we need to rebuild our B2B pipeline with clear forecasting and criteria so that deals are consistently managed, while keeping eCom pipeline updates minimal.</t>
  </si>
  <si>
    <t>Aptitude 8 should update pipeline stages, required fields, pipeline rules, and other pipeline specific settings like deal tags.</t>
  </si>
  <si>
    <t>- Only the B2B pipeline will be updated; eCommerce pipelines will remain largely unchanged (minus minor updates related to the Netsuite integration).
- Pipeline stage definitions will be aligned to agreed sales process maps from workshops.
- Required fields for stage progression will be finalized during design validation.
- Forecasting logic will be basic.
- Client will confirm territory definitions for roll-up reporting.
- No additional pipelines will be created unless explicitly added via change order.
- Pipeline rules will be configured with HubSpot’s out-of-the-box functionality.
- Validation will occur with sales managers before rollout.</t>
  </si>
  <si>
    <t>Customize Sales Workspace</t>
  </si>
  <si>
    <t>As a sales rep, I need tailored HubSpot workspace views for tasks, deals, and leads so that I can manage my pipeline efficiently.</t>
  </si>
  <si>
    <t>1. Configure custom workspace views for tasks, deal management, and lead management. 2. Validate with sales leadership.</t>
  </si>
  <si>
    <t>- Custom workspaces will be limited to 3 areas: tasks, deals, and leads.
- Views will be based on fields and filters defined during workshops.
- Sales leadership will validate workspace configurations before rollout.
- No custom-coded UI or third-party add-ons are included.
- Client will provide clarity on priority fields for each workspace.
- Workspaces will be configured for role-based adoption (rep vs manager).
- Validation will occur with a sample group of users.
- Workspaces will not include marketing or service hub features outside sales scope.</t>
  </si>
  <si>
    <t>Implement Custom Lead/Engagement Scoring</t>
  </si>
  <si>
    <t>As a sales team, we need basic lead and engagement scoring so that we can prioritize opportunities and reps are motivated to focus on high-value deals.</t>
  </si>
  <si>
    <t>1. Configure deal tags (5). 2. Create engagement scoring model (basic to moderate complexity). 3. Launch v1 scoring for initial use.</t>
  </si>
  <si>
    <t>- Engagement scoring will be limited to a basic-to-moderate complexity model.
- Initial scoring will include up to 5 deal tags.
- Model is intended as v1; further refinement may be part of future phases.
- Data available for scoring (activities, lifecycle stage, product interest) must already exist in HubSpot.
- Client will provide input on priority activities to drive scoring (e.g., calls, emails, meetings).
- Validation will occur with sales leadership before rollout.
- Engagement scores will be visible in reports and record views but not tied to automation beyond scope.</t>
  </si>
  <si>
    <t>Implement Quote Template</t>
  </si>
  <si>
    <t>As a sales team, we need a basic quote template so that we can generate and send quotes directly from HubSpot.</t>
  </si>
  <si>
    <t>1. Configure OOTB legacy quote template. 
2. Test for formatting and accuracy.</t>
  </si>
  <si>
    <t>- Quote template will use HubSpot’s out-of-the-box legacy quote functionality.
- No custom branding beyond standard template fields is included. (This can be done by the Incrediwear team)
- No approval workflows or e-signature integrations are included.
- Formatting and testing will be limited to one template.
- Client will provide company logo and required fields for quote.
- Taxes, shipping, and discounts must be handled by HubSpot’s native capabilities.
- No external commerce tools (e.g., CommerceHub) are required.
- Client will validate template before rollout.</t>
  </si>
  <si>
    <t>Sales Automations</t>
  </si>
  <si>
    <t>As a sales team, we need automation for territory assignment, communications, and CRM updates so that manual processes are reduced and efficiency increases.</t>
  </si>
  <si>
    <t>1. Automate territory assignments. 2. Build workflows for automated comms. 3. Create workflows to automate CRM updates (e.g., property updates, deal stage progression).</t>
  </si>
  <si>
    <t>- Automation will be limited to out-of-the-box HubSpot workflows.
- Territory assignment rules will be defined and approved by client.
- Automated communications will be limited to email sequences within HubSpot.
- Automations will focus on reducing manual/administrative tasks.
- Client will provide test scenarios for validation.
- UAT will be required before rollout.
- Any advanced automation (e.g., AI routing, custom code) is outside scope.</t>
  </si>
  <si>
    <t>Sales Reports &amp; Dashboards</t>
  </si>
  <si>
    <t>As sales leadership, we need reports and dashboards to track performance, pipeline, and product sales so that we can manage effectively.</t>
  </si>
  <si>
    <t>1. Configure OOTB reports with slight customizations. 
2. Build custom roll-up report: distributor → territory rep → manager. 
3. Create product/line item and goal reports.</t>
  </si>
  <si>
    <t>- Most reports will be built using HubSpot’s out-of-the-box reporting tools.
- Custom roll-up report (distributor → territory rep → manager) will be the only true custom build.
- Product/line item reporting will rely on clean product structure implemented in data model rebuild.
- Goal reporting will be configured for B2B pipeline only.
- Dashboards will be role-based (rep, manager, leadership).
- Client will provide key KPIs for dashboard design.
- Reports will be limited to HubSpot data; no external BI tools included.
- Reports will be validated in UAT before go-live.</t>
  </si>
  <si>
    <t>Netsuite Technical Requirements Document</t>
  </si>
  <si>
    <t>As a sales team, we need a documented Technical Requirements Document for the NetSuite integration so that development can proceed against a clear blueprint.</t>
  </si>
  <si>
    <t>1. Conduct integration discovery workshops. 
2. Map requirements for objects, triggers, sync frequency. 
3. Produce TRD including data flows, dependencies, and integration approach.</t>
  </si>
  <si>
    <t>- TRD will include ERD, data mapping, triggers, dependencies, and sync frequency.
- Discovery workshops will cover object mapping, field mapping, and sync logic for Contacts, Companies, Deals, and Products.
- Client stakeholders (finance, operations, sales) will attend sessions to confirm requirements.
- Client will provide sample orders (Shopify, Amazon, B2B) to confirm required fields.
- Payment status requirements (Paid/Partial/Unpaid + date) will be documented in TRD.
- Any changes to integration scope after TRD approval will require a change order.
- Client will validate TRD deliverables within 5 business days to maintain timeline.
- TRD will serve as the blueprint for integration build and cannot be bypassed.</t>
  </si>
  <si>
    <t>Netsuite Integration</t>
  </si>
  <si>
    <t>Implement Netsuite Integration</t>
  </si>
  <si>
    <t>As a sales team, we need a custom bi-directional integration between NetSuite and HubSpot so that sales, finance, and operations can share consistent data.</t>
  </si>
  <si>
    <t>1. Sync Contacts, Companies, Deals, and Products bi-directionally. 
2. Include payment status (Paid/Partial/Unpaid + date) on deals instead of invoices. 
3. Build integration on AWS with no middleware. 
4. Validate sync logic and error handling.</t>
  </si>
  <si>
    <t>- Objects in scope: Contacts, Companies, Deals, Products.
- Invoices are excluded; only payment status (Paid/Partial/Unpaid) and payment date will sync.
- Integration will be custom built on AWS (no middleware such as Dell Boomi, Celigo, or DataSync).
- Bi-directional sync logic will be confirmed in TRD before build.
- Integration will include error handling and logging to surface sync failures.
- NetSuite API credentials and sandbox access will be provided by client.
- Integration is limited to 4 objects; additional objects will require a change order.
- Client IT team will support initial connectivity testing between NetSuite and AWS.</t>
  </si>
  <si>
    <t>Development</t>
  </si>
  <si>
    <t>Netsuite Integration User Acceptance Testing</t>
  </si>
  <si>
    <t>As a sales and operations team, we need to test and validate the NetSuite integration so that it functions as intended before launch.</t>
  </si>
  <si>
    <t>1. Create UAT plan with test cases. 2. Guide client through test execution. 3. Track issues in ClickUp, resolve, and regression test.</t>
  </si>
  <si>
    <t>- UAT will be limited to NetSuite integration (Contacts, Companies, Deals, Products).
- UAT plan will include test cases for new record creation, updates, deletes, and error handling.
- Client resources will execute UAT with guidance from Aptitude 8.
- Up to 2 rounds of UAT feedback/defect resolution are included.
- Defects outside agreed integration logic (e.g., data quality issues in source system) are out of scope.
- Regression testing will occur after each round of fixes.
- Client will provide a consolidated list of UAT testers and feedback owners.
- UAT must be signed off before integration moves to production.</t>
  </si>
  <si>
    <t>Launch</t>
  </si>
  <si>
    <t>Hypercare</t>
  </si>
  <si>
    <t xml:space="preserve">Incrediwear needs dedicated support immediately post launch to ensure a smooth transition to production and to address any bugs that come up during this post-launch period. </t>
  </si>
  <si>
    <t>Concentrated attention is given to issues/bugs that arise during this period as a result of the launch
Client emails take top priority during this period
Client meetings as needed (daily, every other day, twice per week, etc.)
Additional team trainings or office hours, as needed and as time allows (otherwise this can be provided in the NEXT retainer)</t>
  </si>
  <si>
    <t>- This hypercare period is for 2 weeks (10 business days) post-launch
- Hypercare support is only available during regular business hours on regular working days (i.e. no holidays or weekends)
- Any unused Hypercare hours can be applied to the first month of the NEXT retainer
- Hypercare hours may be applied to any issues, bugs, or questions that relate to the launch, but any new functionality requests will be backlogged for the NEXT retainer
- Any hours needed for bug fixes beyond the scoped Hypercare hours will be billed as overage hours</t>
  </si>
  <si>
    <t>Training &amp; Documentation</t>
  </si>
  <si>
    <t>Sales Team Training</t>
  </si>
  <si>
    <t>As a sales and leadership team, we need targeted HubSpot training so that we can adopt the system effectively and maximize reporting value.</t>
  </si>
  <si>
    <t>1. Deliver 2 training sessions for sales users. 
2. Deliver 1 training session for leadership/admin on reporting &amp; analytics. 
3. Provide recordings and basic materials.</t>
  </si>
  <si>
    <t>- Up to 3 training sessions included (2 for sales users, 1 for leadership/admin).
- Each session will be up to 60 minutes and delivered virtually.
- Sessions will be recorded and shared with client for future reference.
- Training content will cover features implemented in this project only.
- Leadership/admin training will focus on reporting, dashboards, and management workflows.
- Sales training will focus on pipeline management, tasks, and daily usage.
- Client will ensure attendance of target users during training sessions.
- Training will not cover advanced HubSpot features outside defined scope (e.g., Marketing Hub, Service Hub).</t>
  </si>
  <si>
    <t>Integration Documentation &amp; Handoff</t>
  </si>
  <si>
    <t>As a technical team, we need documentation of the integration so that we can maintain and support it after go-live.</t>
  </si>
  <si>
    <t>1. Produce integration documentation (data flows, dependencies, error handling). 
2. Provide handoff session with client technical team.</t>
  </si>
  <si>
    <t>- Documentation will cover data flows, dependencies, error handling, and sync logic for in-scope integration.
- One handoff session (up to 60 minutes) with client’s technical team is included.
- Documentation will reflect final build only; changes post-handoff are not included.
- Client technical team must have baseline NetSuite/HubSpot knowledge to understand handoff.
- Error resolution instructions will be included but ongoing support is out of scope.
- Documentation will not include third-party systems not involved in the integration.
- Client is responsible for maintaining documentation after project handoff.</t>
  </si>
  <si>
    <t>HS Implementation Documentation</t>
  </si>
  <si>
    <t>As a client team, we need HubSpot implementation documentation so that we have reference materials for ongoing operations and new hire onboarding.</t>
  </si>
  <si>
    <t>1. Create documentation for implemented HubSpot features. 2. Include process workflows, system instructions, and troubleshooting.</t>
  </si>
  <si>
    <t>- Documentation will cover HubSpot features implemented in this project (pipelines, layouts, automations, reports).
- Documentation will be finalized after implementation and validated with client.
- Future updates to documentation after project completion are not included in scope, but can be made available in Post Launch Support.</t>
  </si>
  <si>
    <t>Post Launch Support</t>
  </si>
  <si>
    <t>As a leadership team, we require additonal support post-launch in order to complete any remaining action items, follow-ups, or wish list items that have resulted from the Phase 1 workstreams.</t>
  </si>
  <si>
    <t>This retainer will build directly on the Phase 1 foundation while introducing new functionality that drives pipeline growth, campaign execution, and end-to-end visibility.</t>
  </si>
  <si>
    <t>Hours dedicated to post go-live support. These hours can be used for anything HubSpot related (reporting, training, iterations, additional asks, etc.)</t>
  </si>
  <si>
    <t>Later</t>
  </si>
  <si>
    <t>Task Type</t>
  </si>
  <si>
    <t>Task Name</t>
  </si>
  <si>
    <t>Description Content</t>
  </si>
  <si>
    <t>High Hours Estimate</t>
  </si>
  <si>
    <t>Contracted Hours</t>
  </si>
  <si>
    <t>Customer Story</t>
  </si>
  <si>
    <t>Incrediwear needs dedicated support immediately post launch to ensure a smooth transition to production and to address any bugs that come up during this post-launch period.
Concentrated attention is given to issues/bugs that arise during this period as a result of the launch
Client emails take top priority during this period
Client meetings as needed (daily, every other day, twice per week, etc.)
Additional team trainings or office hours, as needed and as time allows (otherwise this can be provided in the NEXT retainer)
- This hypercare period is for 2 weeks (10 business days) post-launch
- Hypercare support is only available during regular business hours on regular working days (i.e. no holidays or weekends)
- Any unused Hypercare hours can be applied to the first month of the NEXT retainer
- Hypercare hours may be applied to any issues, bugs, or questions that relate to the launch, but any new functionality requests will be backlogged for the NEXT retainer
- Any hours needed for bug fixes beyond the scoped Hypercare hours will be billed as overage hours</t>
  </si>
  <si>
    <t>As a sales team, we need a custom bi-directional integration between NetSuite and HubSpot so that sales, finance, and operations can share consistent data.
1. Sync Contacts, Companies, Deals, and Products bi-directionally. 
2. Include payment status (Paid/Partial/Unpaid + date) on deals instead of invoices. 
3. Build integration on AWS with no middleware. 
4. Validate sync logic and error handling.
- Objects in scope: Contacts, Companies, Deals, Products.
- Invoices are excluded; only payment status (Paid/Partial/Unpaid) and payment date will sync.
- Integration will be custom built on AWS (no middleware such as Dell Boomi, Celigo, or DataSync).
- Bi-directional sync logic will be confirmed in TRD before build.
- Integration will include error handling and logging to surface sync failures.
- NetSuite API credentials and sandbox access will be provided by client.
- Integration is limited to 4 objects; additional objects will require a change order.
- Client IT team will support initial connectivity testing between NetSuite and AWS.</t>
  </si>
  <si>
    <t>As a sales and operations team, we need to test and validate the NetSuite integration so that it functions as intended before launch.
1. Create UAT plan with test cases. 2. Guide client through test execution. 3. Track issues in ClickUp, resolve, and regression test.
- UAT will be limited to NetSuite integration (Contacts, Companies, Deals, Products).
- UAT plan will include test cases for new record creation, updates, deletes, and error handling.
- Client resources will execute UAT with guidance from Aptitude 8.
- Up to 2 rounds of UAT feedback/defect resolution are included.
- Defects outside agreed integration logic (e.g., data quality issues in source system) are out of scope.
- Regression testing will occur after each round of fixes.
- Client will provide a consolidated list of UAT testers and feedback owners.
- UAT must be signed off before integration moves to production.</t>
  </si>
  <si>
    <t>As a sales team, I need to participate in structured requirements workshops so we can define data modeling, sales, quoting, and reporting needs to support a scalable HubSpot architecture.
1. Conduct 4 workshops focused on data model, sales process, quoting, and reporting. 
2. Document requirements into BPMN diagrams and user stories.
- Key stakeholders will attend 4 workshops (sales, quoting, reporting, data modeling).
- Workshops will be scheduled with adequate lead time to ensure full participation from sales leadership, finance, and operations.
- Client will provide representative examples of Shopify, Amazon, and B2B orders to inform discovery.
- Client will share current HubSpot dashboards, even if incomplete or inaccurate, to review usability gaps.
- Workshops will focus on defining current vs. future state processes (not building solutions in real-time).
- Output will include BPMN diagrams, user stories, and prioritized requirements by business need.
- Client team will identify a decision-maker to approve workshop outputs and requirements.
- Data quality constraints (e.g., duplicates, missing fields) will be documented but not remediated during workshops.</t>
  </si>
  <si>
    <t>As a sales team, we need our HubSpot data model rebuilt with commission, LTV, partner/customer associations, multi-location clients, and product price books so we can report and operate effectively.
1. Define calculated properties for commission and LTV. 
2. Configure association labels (Partners vs Customers). 
3. Create parent/child company relationships. 
4. Implement product structure with 3 price books (MSRP, 25% off, 50% off).
- Calculated properties (commission, LTV) will be limited to logic defined during requirements.
- Association labels (partners, customers) will be aligned to Incrediwear’s B2B structure.
- Parent-child company relationships will reflect multi-location clients and international distributors.
- Product structure will include up to 3 price books (MSRP, 25%, 50%).
- Data sources for backfill (NetSuite, Shopify, Amazon) will be accessible for mapping and validation.
- Client will provide subject matter experts for product/pricing validation.
- Data migration will be limited to records defined in scope; historical activity is excluded.</t>
  </si>
  <si>
    <t>As a sales team, we need record layouts customized by business type so that each team has the relevant properties and views for their process.
Aptitude 8 should customize 6 layouts: Contacts, Companies (4 business types), Deals.
- 6 layouts will be customized (Contacts, Deals, and 4 Company record types: Retail, Medical, Teams, International).
- Each layout will include only fields relevant to that business type.
- Dependent properties will be configured based on data gathered in workshops.
- Layouts will remain within HubSpot’s out-of-the-box customization limits (no coded UI).
- Users will be assigned correct default views by role/team.
- Client will confirm naming conventions for business types to avoid ambiguity.
- Record customizations will not include workflow automation (handled separately).
- Validation of layouts will occur with sales leadership before rollout.</t>
  </si>
  <si>
    <t>As a sales team, we need to migrate existing records into the new HubSpot data structure so that our operations can continue without disruption.
Aptitude 8 should export the relevant records from HubSpot so they can transform the data in spreadsheet, specifically, apply the correct parent-child relationships to companies. Once transformation is complete, import the relationships into HubSpot.
- Transformation of data will be performed in spreadsheet format, supplied by Aptitude 8 for client review.
- Correct contact and deal associations must already exist or be clearly identifiable in exported data.
- No historical activities, notes, or tasks will be remapped during backfill.
- Total record counts are ~541 deals, ~4,800 companies, and ~407,000 contacts.
- Client will provide validation of test imports before full backfill execution.
- Backfill will not address duplicate records beyond parent-child relationships.
- Client acknowledges that backfill may expose additional data quality issues requiring future cleanup.</t>
  </si>
  <si>
    <t>As a sales team, we need to rebuild our B2B pipeline with clear forecasting and criteria so that deals are consistently managed, while keeping eCom pipeline updates minimal.
Aptitude 8 should update pipeline stages, required fields, pipeline rules, and other pipeline specific settings like deal tags.
- Only the B2B pipeline will be updated; eCommerce pipelines will remain largely unchanged (minus minor updates related to the Netsuite integration).
- Pipeline stage definitions will be aligned to agreed sales process maps from workshops.
- Required fields for stage progression will be finalized during design validation.
- Forecasting logic will be basic.
- Client will confirm territory definitions for roll-up reporting.
- No additional pipelines will be created unless explicitly added via change order.
- Pipeline rules will be configured with HubSpot’s out-of-the-box functionality.
- Validation will occur with sales managers before rollout.</t>
  </si>
  <si>
    <t>As a sales rep, I need tailored HubSpot workspace views for tasks, deals, and leads so that I can manage my pipeline efficiently.
1. Configure custom workspace views for tasks, deal management, and lead management. 2. Validate with sales leadership.
- Custom workspaces will be limited to 3 areas: tasks, deals, and leads.
- Views will be based on fields and filters defined during workshops.
- Sales leadership will validate workspace configurations before rollout.
- No custom-coded UI or third-party add-ons are included.
- Client will provide clarity on priority fields for each workspace.
- Workspaces will be configured for role-based adoption (rep vs manager).
- Validation will occur with a sample group of users.
- Workspaces will not include marketing or service hub features outside sales scope.</t>
  </si>
  <si>
    <t>As a sales team, we need basic lead and engagement scoring so that we can prioritize opportunities and reps are motivated to focus on high-value deals.
1. Configure deal tags (5). 2. Create engagement scoring model (basic to moderate complexity). 3. Launch v1 scoring for initial use.
- Engagement scoring will be limited to a basic-to-moderate complexity model.
- Initial scoring will include up to 5 deal tags.
- Model is intended as v1; further refinement may be part of future phases.
- Data available for scoring (activities, lifecycle stage, product interest) must already exist in HubSpot.
- Client will provide input on priority activities to drive scoring (e.g., calls, emails, meetings).
- Validation will occur with sales leadership before rollout.
- Engagement scores will be visible in reports and record views but not tied to automation beyond scope.</t>
  </si>
  <si>
    <t>As a sales team, we need a basic quote template so that we can generate and send quotes directly from HubSpot.
1. Configure OOTB legacy quote template. 
2. Test for formatting and accuracy.
- Quote template will use HubSpot’s out-of-the-box legacy quote functionality.
- No custom branding beyond standard template fields is included. (This can be done by the Incrediwear team)
- No approval workflows or e-signature integrations are included.
- Formatting and testing will be limited to one template.
- Client will provide company logo and required fields for quote.
- Taxes, shipping, and discounts must be handled by HubSpot’s native capabilities.
- No external commerce tools (e.g., CommerceHub) are required.
- Client will validate template before rollout.</t>
  </si>
  <si>
    <t>As a sales team, we need automation for territory assignment, communications, and CRM updates so that manual processes are reduced and efficiency increases.
1. Automate territory assignments. 2. Build workflows for automated comms. 3. Create workflows to automate CRM updates (e.g., property updates, deal stage progression).
- Automation will be limited to out-of-the-box HubSpot workflows.
- Territory assignment rules will be defined and approved by client.
- Automated communications will be limited to email sequences within HubSpot.
- Automations will focus on reducing manual/administrative tasks.
- Client will provide test scenarios for validation.
- UAT will be required before rollout.
- Any advanced automation (e.g., AI routing, custom code) is outside scope.</t>
  </si>
  <si>
    <t>As sales leadership, we need reports and dashboards to track performance, pipeline, and product sales so that we can manage effectively.
1. Configure OOTB reports with slight customizations. 
2. Build custom roll-up report: distributor → territory rep → manager. 
3. Create product/line item and goal reports.
- Most reports will be built using HubSpot’s out-of-the-box reporting tools.
- Custom roll-up report (distributor → territory rep → manager) will be the only true custom build.
- Product/line item reporting will rely on clean product structure implemented in data model rebuild.
- Goal reporting will be configured for B2B pipeline only.
- Dashboards will be role-based (rep, manager, leadership).
- Client will provide key KPIs for dashboard design.
- Reports will be limited to HubSpot data; no external BI tools included.
- Reports will be validated in UAT before go-live.</t>
  </si>
  <si>
    <t>As a sales team, we need to review and validate the proposed solution design so that we can confirm it meets our requirements before build.
1. Facilitate up to 2 validation sessions. 
2. Present ERD, Process Map, UAT scenarios, Training Plan, Go-Live Plan, and Gantt Chart. 
. Incorporate feedback and adjust hours if necessary.
- Up to 2 solution validation sessions will be scheduled within 10 business days of workshop completion.
- Deliverables will include ERD, process maps, UAT scenarios, training plan, go-live plan, and high-level Gantt.
- Client will provide timely feedback (within 3–5 business days) on all deliverables to stay on schedule.
- Any requested changes outside defined requirements may increase hours or require a formal change order.
- Validation will confirm alignment with sales adoption goals and B2B scalability targets.
- Technical diagrams (ERD, TRD) will reflect current known integrations (HubSpot &amp; Netsuite).
- Client acknowledges that feedback should come consolidated from key stakeholders to avoid scope creep.
- Approval of the validated solution design will serve as the basis for build and implementation.</t>
  </si>
  <si>
    <t>As a sales team, we need a documented Technical Requirements Document for the NetSuite integration so that development can proceed against a clear blueprint.
1. Conduct integration discovery workshops. 
2. Map requirements for objects, triggers, sync frequency. 
3. Produce TRD including data flows, dependencies, and integration approach.
- TRD will include ERD, data mapping, triggers, dependencies, and sync frequency.
- Discovery workshops will cover object mapping, field mapping, and sync logic for Contacts, Companies, Deals, and Products.
- Client stakeholders (finance, operations, sales) will attend sessions to confirm requirements.
- Client will provide sample orders (Shopify, Amazon, B2B) to confirm required fields.
- Payment status requirements (Paid/Partial/Unpaid + date) will be documented in TRD.
- Any changes to integration scope after TRD approval will require a change order.
- Client will validate TRD deliverables within 5 business days to maintain timeline.
- TRD will serve as the blueprint for integration build and cannot be bypassed.</t>
  </si>
  <si>
    <t>As a sales and leadership team, we need targeted HubSpot training so that we can adopt the system effectively and maximize reporting value.
1. Deliver 2 training sessions for sales users. 
2. Deliver 1 training session for leadership/admin on reporting &amp; analytics. 
3. Provide recordings and basic materials.
- Up to 3 training sessions included (2 for sales users, 1 for leadership/admin).
- Each session will be up to 60 minutes and delivered virtually.
- Sessions will be recorded and shared with client for future reference.
- Training content will cover features implemented in this project only.
- Leadership/admin training will focus on reporting, dashboards, and management workflows.
- Sales training will focus on pipeline management, tasks, and daily usage.
- Client will ensure attendance of target users during training sessions.
- Training will not cover advanced HubSpot features outside defined scope (e.g., Marketing Hub, Service Hub).</t>
  </si>
  <si>
    <t>As a technical team, we need documentation of the integration so that we can maintain and support it after go-live.
1. Produce integration documentation (data flows, dependencies, error handling). 
2. Provide handoff session with client technical team.
- Documentation will cover data flows, dependencies, error handling, and sync logic for in-scope integration.
- One handoff session (up to 60 minutes) with client’s technical team is included.
- Documentation will reflect final build only; changes post-handoff are not included.
- Client technical team must have baseline NetSuite/HubSpot knowledge to understand handoff.
- Error resolution instructions will be included but ongoing support is out of scope.
- Documentation will not include third-party systems not involved in the integration.
- Client is responsible for maintaining documentation after project handoff.</t>
  </si>
  <si>
    <t>As a client team, we need HubSpot implementation documentation so that we have reference materials for ongoing operations and new hire onboarding.
1. Create documentation for implemented HubSpot features. 2. Include process workflows, system instructions, and troubleshooting.
- Documentation will cover HubSpot features implemented in this project (pipelines, layouts, automations, reports).
- Documentation will be finalized after implementation and validated with client.
- Future updates to documentation after project completion are not included in scope, but can be made available in Post Launch Support.</t>
  </si>
  <si>
    <t>Project Management</t>
  </si>
  <si>
    <t>Project Kickoff, Onboarding, and Closeout</t>
  </si>
  <si>
    <t>Recurring Project Check-ins</t>
  </si>
  <si>
    <t>Project Administration</t>
  </si>
  <si>
    <t>Configuration</t>
  </si>
  <si>
    <t>Value</t>
  </si>
  <si>
    <t>Description</t>
  </si>
  <si>
    <t>HubSpot Property</t>
  </si>
  <si>
    <t>Gdrvie + Deal Inputs</t>
  </si>
  <si>
    <t>Company Name</t>
  </si>
  <si>
    <t>Incrediwear</t>
  </si>
  <si>
    <t>Google Folder</t>
  </si>
  <si>
    <t>https://drive.google.com/drive/folders/1XzMUJqXYEOfxmFGCABM9XytqEefe7wVl</t>
  </si>
  <si>
    <t>Needs to be manually input for the time being, will be set by the Pipedream automation</t>
  </si>
  <si>
    <t>Deal Record ID</t>
  </si>
  <si>
    <t>HubSpot deal record ID, needs to be manually input for the time being, will be set by the Pipedream automation</t>
  </si>
  <si>
    <t>Last Sync to HubSpot</t>
  </si>
  <si>
    <t>The last time the story doc was sync'd to the HubSpot deal record</t>
  </si>
  <si>
    <t>Client Page</t>
  </si>
  <si>
    <t>Client Page URL</t>
  </si>
  <si>
    <t>https://script.google.com/macros/s/AKfycbz2eeS8jxpfqsYtUK0ifft79YBvSP9jk6hsLKhKjMJxYfwM90lLtgn38X4cQy1W6bsDKA/exec?sheetId=1ihKNXGMy80pvkWBAy3Si3EJ-txE1khGe8f6NaIOT3To</t>
  </si>
  <si>
    <t>The URL of the page that will be shared in Trumpet</t>
  </si>
  <si>
    <t>customer_stories_client_url</t>
  </si>
  <si>
    <t>Last Client Page URL Generated</t>
  </si>
  <si>
    <t>The last time you created/updated a URL so we can understand deployment app versions</t>
  </si>
  <si>
    <t>Client Page Status</t>
  </si>
  <si>
    <t>Final Presentation</t>
  </si>
  <si>
    <t>Determines page status for the shared link</t>
  </si>
  <si>
    <t>Project ID</t>
  </si>
  <si>
    <t>------</t>
  </si>
  <si>
    <t>TBD on usage to facilitate project creation</t>
  </si>
  <si>
    <t>Solutions Architect</t>
  </si>
  <si>
    <t>Matt Cannizo</t>
  </si>
  <si>
    <t>SA assigned to this project</t>
  </si>
  <si>
    <t>Request Scope Review</t>
  </si>
  <si>
    <t>Future-state functionality incoming</t>
  </si>
  <si>
    <t>Scope Reviewed</t>
  </si>
  <si>
    <t>Yes</t>
  </si>
  <si>
    <t>NOW Project</t>
  </si>
  <si>
    <t>Hourly Project Rate</t>
  </si>
  <si>
    <t>Standard hourly rate for most services</t>
  </si>
  <si>
    <t>project_hourly_rate</t>
  </si>
  <si>
    <t>Project Management Factor</t>
  </si>
  <si>
    <t>Percentage markup for project management</t>
  </si>
  <si>
    <t>Project Management Content</t>
  </si>
  <si>
    <t xml:space="preserve">To support management and communication, a project manager and delivery lead will own all A8 tasks and clearly communicate needs.
- Visibility to budget spend will be provided during the duration of the project
- A8 will provide check-in agenda items and follow-ups
- Incrediwear to communicate to A8's shared inbox for easier collaboration and timely responses
- Incrediwear driven delay will result in additional PM time billed to manage timeline
</t>
  </si>
  <si>
    <t>Description text for the PM section. editable by you.</t>
  </si>
  <si>
    <t>SA Expected Start Date</t>
  </si>
  <si>
    <t>Project start date</t>
  </si>
  <si>
    <t>Total Project Months</t>
  </si>
  <si>
    <t>Expected project duration</t>
  </si>
  <si>
    <t>project_duration</t>
  </si>
  <si>
    <t>NEXT Support Retainer</t>
  </si>
  <si>
    <t>Post-Launch Hourly Rate</t>
  </si>
  <si>
    <t>Post-launch rate, a zero here will hide the workstream/section</t>
  </si>
  <si>
    <t>retainer_hourly_rate</t>
  </si>
  <si>
    <t>Post-Launch Hours Per Month</t>
  </si>
  <si>
    <t>Post-launch hours per month, a zero here will hide the workstream/section</t>
  </si>
  <si>
    <t>retainer_hours_per_month_sold</t>
  </si>
  <si>
    <t>Post-Launch # of Months</t>
  </si>
  <si>
    <t>Post-launch months, a zero here will hide the workstream/section</t>
  </si>
  <si>
    <t>retainer_months_sold</t>
  </si>
  <si>
    <t>Post-Launch Support Content</t>
  </si>
  <si>
    <t>A 3-month post-launch support retainer will ensure stability and adoption of the Phase 1 sales implementation. 
This retainer provides dedicated resources to resolve issues, fine-tune workflows, and support user adoption. Following this period, we will be positioned to begin Phase 2, which will focus on marketing implementation, optimizing D2C channels, and continuing to expand on the foundation built in Phase 1.</t>
  </si>
  <si>
    <t>Description text for the post-launch section</t>
  </si>
  <si>
    <t>Additional Notes + Considerations</t>
  </si>
  <si>
    <t>Additional Notes</t>
  </si>
  <si>
    <t>- The assumptions content in this scope is based on information and discovery during the sales evaluation and is subject to change during the project if additional challenges or barriers are discovered.
- A8 is a Time &amp; Materials agency, we will provide transparent budget tracking throughout the project and change orders will require approvals. 
- We interchange between A8 and Aptitude 8 in this document.</t>
  </si>
  <si>
    <t>Description text for below the investment summaries, but above the later phase workstreams</t>
  </si>
  <si>
    <t>Calculated Project Details</t>
  </si>
  <si>
    <t>Total Service Hours Hours</t>
  </si>
  <si>
    <t>Total amount of Input rows</t>
  </si>
  <si>
    <t>Total Project Management Hours</t>
  </si>
  <si>
    <t>Based on PM % in Config Sheet</t>
  </si>
  <si>
    <t>Total Project Hours Sold</t>
  </si>
  <si>
    <t>Service + PM</t>
  </si>
  <si>
    <t>project_hours_sold</t>
  </si>
  <si>
    <t>Total Retainer Hours Sold</t>
  </si>
  <si>
    <t>Total Engagement Hours Sold</t>
  </si>
  <si>
    <t>This should match exactly to the investment block on the HTML Page</t>
  </si>
  <si>
    <t>sold_hours</t>
  </si>
  <si>
    <t>Deal Amount</t>
  </si>
  <si>
    <t>amount</t>
  </si>
  <si>
    <t>Expected End Date</t>
  </si>
  <si>
    <t>Expected Project Hours/Month</t>
  </si>
  <si>
    <t>Linear Expected Project Hours/Week</t>
  </si>
  <si>
    <t>Peak Project Expected Hours/Week</t>
  </si>
  <si>
    <t>Low Project Expected Hours/Week</t>
  </si>
  <si>
    <t>Dev Work Percentage</t>
  </si>
  <si>
    <t>dev_work_pct</t>
  </si>
  <si>
    <t>SE Work Percentage</t>
  </si>
  <si>
    <t>se_work_pct</t>
  </si>
  <si>
    <t>Calculated Function Summary</t>
  </si>
  <si>
    <t>Sum of Hours</t>
  </si>
  <si>
    <t>Percent of</t>
  </si>
  <si>
    <t>Solutions Engineering</t>
  </si>
  <si>
    <t>Strategy</t>
  </si>
  <si>
    <t>Sum of Function-Based Hours</t>
  </si>
  <si>
    <t>Calculated Ranges</t>
  </si>
  <si>
    <t>Low Hours</t>
  </si>
  <si>
    <t>High Hours</t>
  </si>
  <si>
    <t>Project Service Estimates:</t>
  </si>
  <si>
    <t>Project Management:</t>
  </si>
  <si>
    <t>Post-Project Support:</t>
  </si>
  <si>
    <t>Hour Estimates:</t>
  </si>
  <si>
    <t>Investment Ranges:</t>
  </si>
  <si>
    <t>SOW Summarized Line Items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</si>
</sst>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quot;$&quot;#,##0"/>
    <numFmt numFmtId="165" formatCode="mm/dd/yyyy, h:mm:ss am/pm"/>
    <numFmt numFmtId="166" formatCode="M/d/yyyy H:mm:ss"/>
    <numFmt numFmtId="167" formatCode="m/d/yyyy"/>
    <numFmt numFmtId="168" formatCode="&quot;$&quot;#,##0.00"/>
  </numFmts>
  <fonts count="21">
    <font>
      <sz val="10.0"/>
      <color rgb="FF000000"/>
      <name val="Arial"/>
      <scheme val="minor"/>
    </font>
    <font>
      <b/>
      <color rgb="FF000000"/>
      <name val="Arial"/>
    </font>
    <font>
      <b/>
      <color theme="1"/>
      <name val="Arial"/>
    </font>
    <font>
      <color theme="1"/>
      <name val="Arial"/>
    </font>
    <font>
      <sz val="11.0"/>
      <color theme="1"/>
      <name val="Rubik"/>
    </font>
    <font>
      <color theme="1"/>
      <name val="Arial"/>
      <scheme val="minor"/>
    </font>
    <font>
      <sz val="11.0"/>
      <color theme="1"/>
      <name val="Arial"/>
    </font>
    <font>
      <sz val="11.0"/>
      <color theme="1"/>
      <name val="Arial"/>
      <scheme val="minor"/>
    </font>
    <font>
      <b/>
      <color theme="1"/>
      <name val="Arial"/>
      <scheme val="minor"/>
    </font>
    <font>
      <b/>
      <sz val="12.0"/>
      <color theme="1"/>
      <name val="Rubik"/>
    </font>
    <font>
      <sz val="12.0"/>
      <color theme="1"/>
      <name val="Rubik"/>
    </font>
    <font>
      <sz val="12.0"/>
      <color rgb="FFB7B7B7"/>
      <name val="Rubik"/>
    </font>
    <font>
      <b/>
      <color theme="1"/>
      <name val="Rubik"/>
    </font>
    <font>
      <color theme="1"/>
      <name val="Rubik"/>
    </font>
    <font>
      <i/>
      <color rgb="FF999999"/>
      <name val="Rubik"/>
    </font>
    <font>
      <color rgb="FFB7B7B7"/>
      <name val="Rubik"/>
    </font>
    <font>
      <u/>
      <color rgb="FF0000FF"/>
      <name val="Rubik"/>
    </font>
    <font>
      <i/>
      <sz val="12.0"/>
      <color rgb="FF999999"/>
      <name val="Rubik"/>
    </font>
    <font>
      <u/>
      <color rgb="FF0000FF"/>
      <name val="Rubik"/>
    </font>
    <font>
      <color rgb="FF999999"/>
      <name val="Rubik"/>
    </font>
    <font>
      <b/>
      <sz val="12.0"/>
      <color rgb="FF999999"/>
      <name val="Rubik"/>
    </font>
  </fonts>
  <fills count="8">
    <fill>
      <patternFill patternType="none"/>
    </fill>
    <fill>
      <patternFill patternType="lightGray"/>
    </fill>
    <fill>
      <patternFill patternType="solid">
        <fgColor rgb="FFCCCCCC"/>
        <bgColor rgb="FFCCCCCC"/>
      </patternFill>
    </fill>
    <fill>
      <patternFill patternType="solid">
        <fgColor rgb="FFFBBC04"/>
        <bgColor rgb="FFFBBC04"/>
      </patternFill>
    </fill>
    <fill>
      <patternFill patternType="solid">
        <fgColor rgb="FFF3F3F3"/>
        <bgColor rgb="FFF3F3F3"/>
      </patternFill>
    </fill>
    <fill>
      <patternFill patternType="solid">
        <fgColor rgb="FFFFFFFF"/>
        <bgColor rgb="FFFFFFFF"/>
      </patternFill>
    </fill>
    <fill>
      <patternFill patternType="solid">
        <fgColor rgb="FFFFF2CC"/>
        <bgColor rgb="FFFFF2CC"/>
      </patternFill>
    </fill>
    <fill>
      <patternFill patternType="solid">
        <fgColor rgb="FFB7B7B7"/>
        <bgColor rgb="FFB7B7B7"/>
      </patternFill>
    </fill>
  </fills>
  <borders count="2">
    <border/>
    <border>
      <top style="medium">
        <color rgb="FF000000"/>
      </top>
    </border>
  </borders>
  <cellStyleXfs count="1">
    <xf borderId="0" fillId="0" fontId="0" numFmtId="0" applyAlignment="1" applyFont="1"/>
  </cellStyleXfs>
  <cellXfs count="132">
    <xf borderId="0" fillId="0" fontId="0" numFmtId="0" xfId="0" applyAlignment="1" applyFont="1">
      <alignment readingOrder="0" shrinkToFit="0" vertical="bottom" wrapText="0"/>
    </xf>
    <xf borderId="0" fillId="2" fontId="1" numFmtId="0" xfId="0" applyAlignment="1" applyFill="1" applyFont="1">
      <alignment shrinkToFit="0" vertical="center" wrapText="1"/>
    </xf>
    <xf borderId="0" fillId="3" fontId="2" numFmtId="0" xfId="0" applyAlignment="1" applyFill="1" applyFont="1">
      <alignment shrinkToFit="0" vertical="center" wrapText="1"/>
    </xf>
    <xf borderId="0" fillId="3" fontId="2" numFmtId="1" xfId="0" applyAlignment="1" applyFont="1" applyNumberFormat="1">
      <alignment horizontal="center" shrinkToFit="0" vertical="center" wrapText="1"/>
    </xf>
    <xf borderId="0" fillId="2" fontId="1" numFmtId="49" xfId="0" applyAlignment="1" applyFont="1" applyNumberFormat="1">
      <alignment horizontal="center" shrinkToFit="0" vertical="center" wrapText="1"/>
    </xf>
    <xf borderId="0" fillId="3" fontId="2" numFmtId="0" xfId="0" applyAlignment="1" applyFont="1">
      <alignment readingOrder="0" shrinkToFit="0" vertical="center" wrapText="1"/>
    </xf>
    <xf borderId="0" fillId="3" fontId="2" numFmtId="0" xfId="0" applyAlignment="1" applyFont="1">
      <alignment horizontal="left" shrinkToFit="0" vertical="center" wrapText="1"/>
    </xf>
    <xf borderId="0" fillId="3" fontId="2" numFmtId="0" xfId="0" applyAlignment="1" applyFont="1">
      <alignment horizontal="center" shrinkToFit="0" vertical="center" wrapText="1"/>
    </xf>
    <xf borderId="0" fillId="2" fontId="1" numFmtId="0" xfId="0" applyAlignment="1" applyFont="1">
      <alignment horizontal="left" readingOrder="0" shrinkToFit="0" vertical="center" wrapText="1"/>
    </xf>
    <xf borderId="0" fillId="4" fontId="3" numFmtId="0" xfId="0" applyAlignment="1" applyFill="1" applyFont="1">
      <alignment vertical="center"/>
    </xf>
    <xf borderId="0" fillId="0" fontId="4" numFmtId="0" xfId="0" applyAlignment="1" applyFont="1">
      <alignment horizontal="center" shrinkToFit="0" vertical="center" wrapText="1"/>
    </xf>
    <xf borderId="0" fillId="0" fontId="4" numFmtId="0" xfId="0" applyAlignment="1" applyFont="1">
      <alignment readingOrder="0" shrinkToFit="0" vertical="center" wrapText="1"/>
    </xf>
    <xf borderId="0" fillId="0" fontId="4" numFmtId="0" xfId="0" applyAlignment="1" applyFont="1">
      <alignment horizontal="center" readingOrder="0" shrinkToFit="0" vertical="center" wrapText="1"/>
    </xf>
    <xf borderId="0" fillId="4" fontId="4" numFmtId="49" xfId="0" applyAlignment="1" applyFont="1" applyNumberFormat="1">
      <alignment horizontal="center" shrinkToFit="0" vertical="center" wrapText="1"/>
    </xf>
    <xf borderId="0" fillId="0" fontId="3" numFmtId="0" xfId="0" applyAlignment="1" applyFont="1">
      <alignment readingOrder="0" vertical="center"/>
    </xf>
    <xf borderId="0" fillId="0" fontId="3" numFmtId="0" xfId="0" applyAlignment="1" applyFont="1">
      <alignment horizontal="left" readingOrder="0" shrinkToFit="0" vertical="center" wrapText="1"/>
    </xf>
    <xf borderId="0" fillId="0" fontId="3" numFmtId="0" xfId="0" applyAlignment="1" applyFont="1">
      <alignment horizontal="center" vertical="center"/>
    </xf>
    <xf borderId="0" fillId="4" fontId="3" numFmtId="0" xfId="0" applyAlignment="1" applyFont="1">
      <alignment horizontal="left" readingOrder="0" vertical="center"/>
    </xf>
    <xf borderId="0" fillId="0" fontId="5" numFmtId="0" xfId="0" applyAlignment="1" applyFont="1">
      <alignment readingOrder="0" shrinkToFit="0" vertical="center" wrapText="1"/>
    </xf>
    <xf borderId="0" fillId="0" fontId="5" numFmtId="0" xfId="0" applyAlignment="1" applyFont="1">
      <alignment readingOrder="0" vertical="center"/>
    </xf>
    <xf borderId="0" fillId="0" fontId="5" numFmtId="0" xfId="0" applyAlignment="1" applyFont="1">
      <alignment vertical="center"/>
    </xf>
    <xf borderId="0" fillId="0" fontId="5" numFmtId="0" xfId="0" applyAlignment="1" applyFont="1">
      <alignment shrinkToFit="0" vertical="center" wrapText="1"/>
    </xf>
    <xf borderId="0" fillId="4" fontId="3" numFmtId="0" xfId="0" applyAlignment="1" applyFont="1">
      <alignment horizontal="left" vertical="center"/>
    </xf>
    <xf borderId="0" fillId="4" fontId="4" numFmtId="0" xfId="0" applyAlignment="1" applyFont="1">
      <alignment shrinkToFit="0" vertical="center" wrapText="1"/>
    </xf>
    <xf borderId="0" fillId="0" fontId="4" numFmtId="0" xfId="0" applyAlignment="1" applyFont="1">
      <alignment shrinkToFit="0" vertical="center" wrapText="1"/>
    </xf>
    <xf borderId="0" fillId="0" fontId="4" numFmtId="0" xfId="0" applyAlignment="1" applyFont="1">
      <alignment horizontal="left" readingOrder="0" shrinkToFit="0" vertical="center" wrapText="1"/>
    </xf>
    <xf borderId="0" fillId="0" fontId="4" numFmtId="0" xfId="0" applyAlignment="1" applyFont="1">
      <alignment horizontal="center" shrinkToFit="0" vertical="center" wrapText="1"/>
    </xf>
    <xf borderId="0" fillId="4" fontId="4" numFmtId="0" xfId="0" applyAlignment="1" applyFont="1">
      <alignment horizontal="left" shrinkToFit="0" vertical="center" wrapText="1"/>
    </xf>
    <xf borderId="0" fillId="0" fontId="4" numFmtId="0" xfId="0" applyAlignment="1" applyFont="1">
      <alignment shrinkToFit="0" vertical="center" wrapText="1"/>
    </xf>
    <xf borderId="0" fillId="4" fontId="6" numFmtId="0" xfId="0" applyAlignment="1" applyFont="1">
      <alignment vertical="center"/>
    </xf>
    <xf borderId="0" fillId="0" fontId="6" numFmtId="0" xfId="0" applyAlignment="1" applyFont="1">
      <alignment readingOrder="0" vertical="center"/>
    </xf>
    <xf borderId="0" fillId="0" fontId="6" numFmtId="0" xfId="0" applyAlignment="1" applyFont="1">
      <alignment horizontal="left" readingOrder="0" shrinkToFit="0" vertical="center" wrapText="1"/>
    </xf>
    <xf borderId="0" fillId="0" fontId="6" numFmtId="0" xfId="0" applyAlignment="1" applyFont="1">
      <alignment horizontal="center" vertical="center"/>
    </xf>
    <xf borderId="0" fillId="4" fontId="6" numFmtId="0" xfId="0" applyAlignment="1" applyFont="1">
      <alignment horizontal="left" vertical="center"/>
    </xf>
    <xf borderId="0" fillId="0" fontId="7" numFmtId="0" xfId="0" applyAlignment="1" applyFont="1">
      <alignment shrinkToFit="0" vertical="center" wrapText="1"/>
    </xf>
    <xf borderId="0" fillId="0" fontId="7" numFmtId="0" xfId="0" applyAlignment="1" applyFont="1">
      <alignment vertical="center"/>
    </xf>
    <xf borderId="0" fillId="0" fontId="3"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3" numFmtId="0" xfId="0" applyFont="1"/>
    <xf borderId="0" fillId="0" fontId="3" numFmtId="1" xfId="0" applyAlignment="1" applyFont="1" applyNumberFormat="1">
      <alignment horizontal="center" readingOrder="0" vertical="center"/>
    </xf>
    <xf borderId="0" fillId="4" fontId="3" numFmtId="49" xfId="0" applyAlignment="1" applyFont="1" applyNumberFormat="1">
      <alignment horizontal="center" vertical="center"/>
    </xf>
    <xf borderId="0" fillId="5" fontId="4" numFmtId="0" xfId="0" applyAlignment="1" applyFill="1" applyFont="1">
      <alignment horizontal="center" shrinkToFit="0" wrapText="1"/>
    </xf>
    <xf borderId="0" fillId="0" fontId="3" numFmtId="0" xfId="0" applyAlignment="1" applyFont="1">
      <alignment horizontal="center" readingOrder="0" vertical="center"/>
    </xf>
    <xf borderId="0" fillId="0" fontId="4" numFmtId="0" xfId="0" applyAlignment="1" applyFont="1">
      <alignment horizontal="center" shrinkToFit="0" wrapText="1"/>
    </xf>
    <xf borderId="0" fillId="0" fontId="5" numFmtId="0" xfId="0" applyAlignment="1" applyFont="1">
      <alignment horizontal="center" readingOrder="0" shrinkToFit="0" vertical="center" wrapText="1"/>
    </xf>
    <xf borderId="0" fillId="0" fontId="5" numFmtId="0" xfId="0" applyAlignment="1" applyFont="1">
      <alignment horizontal="center" readingOrder="0" vertical="center"/>
    </xf>
    <xf borderId="0" fillId="4" fontId="5" numFmtId="0" xfId="0" applyAlignment="1" applyFont="1">
      <alignment vertical="center"/>
    </xf>
    <xf borderId="0" fillId="0" fontId="5" numFmtId="0" xfId="0" applyAlignment="1" applyFont="1">
      <alignment horizontal="center" shrinkToFit="0" vertical="center" wrapText="1"/>
    </xf>
    <xf borderId="0" fillId="0" fontId="5" numFmtId="0" xfId="0" applyAlignment="1" applyFont="1">
      <alignment horizontal="center" vertical="center"/>
    </xf>
    <xf borderId="0" fillId="4" fontId="5" numFmtId="0" xfId="0" applyAlignment="1" applyFont="1">
      <alignment horizontal="left" vertical="center"/>
    </xf>
    <xf borderId="0" fillId="4" fontId="5" numFmtId="49" xfId="0" applyAlignment="1" applyFont="1" applyNumberFormat="1">
      <alignment horizontal="center" vertical="center"/>
    </xf>
    <xf borderId="0" fillId="0" fontId="8" numFmtId="0" xfId="0" applyAlignment="1" applyFont="1">
      <alignment readingOrder="0"/>
    </xf>
    <xf borderId="0" fillId="6" fontId="8" numFmtId="0" xfId="0" applyAlignment="1" applyFill="1" applyFont="1">
      <alignment readingOrder="0"/>
    </xf>
    <xf borderId="0" fillId="6" fontId="8" numFmtId="0" xfId="0" applyFont="1"/>
    <xf borderId="0" fillId="0" fontId="5" numFmtId="0" xfId="0" applyAlignment="1" applyFont="1">
      <alignment readingOrder="0"/>
    </xf>
    <xf borderId="0" fillId="0" fontId="5" numFmtId="0" xfId="0" applyAlignment="1" applyFont="1">
      <alignment readingOrder="0"/>
    </xf>
    <xf borderId="0" fillId="6" fontId="8" numFmtId="0" xfId="0" applyAlignment="1" applyFont="1">
      <alignment readingOrder="0"/>
    </xf>
    <xf borderId="0" fillId="3" fontId="9" numFmtId="0" xfId="0" applyAlignment="1" applyFont="1">
      <alignment horizontal="center" vertical="bottom"/>
    </xf>
    <xf borderId="0" fillId="7" fontId="9" numFmtId="0" xfId="0" applyAlignment="1" applyFill="1" applyFont="1">
      <alignment horizontal="right" readingOrder="0"/>
    </xf>
    <xf borderId="0" fillId="7" fontId="10" numFmtId="164" xfId="0" applyAlignment="1" applyFont="1" applyNumberFormat="1">
      <alignment horizontal="right" readingOrder="0"/>
    </xf>
    <xf borderId="0" fillId="7" fontId="11" numFmtId="0" xfId="0" applyAlignment="1" applyFont="1">
      <alignment horizontal="right"/>
    </xf>
    <xf borderId="0" fillId="0" fontId="12" numFmtId="0" xfId="0" applyAlignment="1" applyFont="1">
      <alignment horizontal="right" vertical="bottom"/>
    </xf>
    <xf borderId="0" fillId="0" fontId="13" numFmtId="0" xfId="0" applyAlignment="1" applyFont="1">
      <alignment horizontal="right" readingOrder="0" vertical="bottom"/>
    </xf>
    <xf borderId="0" fillId="0" fontId="14" numFmtId="0" xfId="0" applyAlignment="1" applyFont="1">
      <alignment horizontal="left" readingOrder="0" shrinkToFit="0" vertical="bottom" wrapText="1"/>
    </xf>
    <xf borderId="0" fillId="0" fontId="15" numFmtId="0" xfId="0" applyAlignment="1" applyFont="1">
      <alignment horizontal="right" vertical="bottom"/>
    </xf>
    <xf borderId="0" fillId="0" fontId="12" numFmtId="0" xfId="0" applyAlignment="1" applyFont="1">
      <alignment horizontal="right" readingOrder="0"/>
    </xf>
    <xf borderId="0" fillId="0" fontId="16" numFmtId="0" xfId="0" applyAlignment="1" applyFont="1">
      <alignment horizontal="right" readingOrder="0" shrinkToFit="0" wrapText="0"/>
    </xf>
    <xf borderId="0" fillId="0" fontId="14" numFmtId="0" xfId="0" applyAlignment="1" applyFont="1">
      <alignment horizontal="left" readingOrder="0" shrinkToFit="0" wrapText="1"/>
    </xf>
    <xf borderId="0" fillId="0" fontId="13" numFmtId="165" xfId="0" applyAlignment="1" applyFont="1" applyNumberFormat="1">
      <alignment horizontal="right" readingOrder="0"/>
    </xf>
    <xf borderId="0" fillId="7" fontId="17" numFmtId="0" xfId="0" applyAlignment="1" applyFont="1">
      <alignment horizontal="left" shrinkToFit="0" wrapText="1"/>
    </xf>
    <xf borderId="0" fillId="0" fontId="12" numFmtId="0" xfId="0" applyAlignment="1" applyFont="1">
      <alignment horizontal="right" readingOrder="0" vertical="bottom"/>
    </xf>
    <xf borderId="0" fillId="0" fontId="18" numFmtId="0" xfId="0" applyAlignment="1" applyFont="1">
      <alignment horizontal="left" readingOrder="0" vertical="bottom"/>
    </xf>
    <xf borderId="0" fillId="0" fontId="15" numFmtId="0" xfId="0" applyAlignment="1" applyFont="1">
      <alignment horizontal="right" readingOrder="0" vertical="bottom"/>
    </xf>
    <xf borderId="0" fillId="0" fontId="13" numFmtId="166" xfId="0" applyAlignment="1" applyFont="1" applyNumberFormat="1">
      <alignment horizontal="right" readingOrder="0" vertical="bottom"/>
    </xf>
    <xf borderId="0" fillId="0" fontId="13" numFmtId="0" xfId="0" applyAlignment="1" applyFont="1">
      <alignment horizontal="center" readingOrder="0" vertical="center"/>
    </xf>
    <xf borderId="0" fillId="0" fontId="13" numFmtId="0" xfId="0" applyAlignment="1" applyFont="1">
      <alignment horizontal="center" readingOrder="0" vertical="bottom"/>
    </xf>
    <xf borderId="0" fillId="0" fontId="14" numFmtId="0" xfId="0" applyAlignment="1" applyFont="1">
      <alignment horizontal="left" shrinkToFit="0" vertical="bottom" wrapText="1"/>
    </xf>
    <xf borderId="0" fillId="0" fontId="13" numFmtId="164" xfId="0" applyAlignment="1" applyFont="1" applyNumberFormat="1">
      <alignment horizontal="right" readingOrder="0"/>
    </xf>
    <xf borderId="0" fillId="0" fontId="15" numFmtId="0" xfId="0" applyAlignment="1" applyFont="1">
      <alignment horizontal="right" readingOrder="0"/>
    </xf>
    <xf borderId="0" fillId="0" fontId="19" numFmtId="0" xfId="0" applyAlignment="1" applyFont="1">
      <alignment horizontal="left" readingOrder="0" shrinkToFit="0" wrapText="0"/>
    </xf>
    <xf borderId="0" fillId="0" fontId="13" numFmtId="164" xfId="0" applyAlignment="1" applyFont="1" applyNumberFormat="1">
      <alignment horizontal="right" readingOrder="0" vertical="bottom"/>
    </xf>
    <xf borderId="0" fillId="0" fontId="13" numFmtId="9" xfId="0" applyAlignment="1" applyFont="1" applyNumberFormat="1">
      <alignment horizontal="right" readingOrder="0" vertical="bottom"/>
    </xf>
    <xf borderId="0" fillId="0" fontId="12" numFmtId="0" xfId="0" applyAlignment="1" applyFont="1">
      <alignment horizontal="right" vertical="center"/>
    </xf>
    <xf borderId="0" fillId="0" fontId="13" numFmtId="0" xfId="0" applyAlignment="1" applyFont="1">
      <alignment horizontal="left" readingOrder="0" shrinkToFit="0" vertical="center" wrapText="1"/>
    </xf>
    <xf borderId="0" fillId="0" fontId="14" numFmtId="0" xfId="0" applyAlignment="1" applyFont="1">
      <alignment horizontal="left" readingOrder="0" shrinkToFit="0" vertical="center" wrapText="1"/>
    </xf>
    <xf borderId="0" fillId="0" fontId="15" numFmtId="0" xfId="0" applyAlignment="1" applyFont="1">
      <alignment horizontal="right" vertical="center"/>
    </xf>
    <xf borderId="0" fillId="0" fontId="13" numFmtId="167" xfId="0" applyAlignment="1" applyFont="1" applyNumberFormat="1">
      <alignment horizontal="right" readingOrder="0"/>
    </xf>
    <xf borderId="0" fillId="0" fontId="13" numFmtId="0" xfId="0" applyAlignment="1" applyFont="1">
      <alignment horizontal="right" readingOrder="0"/>
    </xf>
    <xf borderId="0" fillId="0" fontId="12" numFmtId="0" xfId="0" applyAlignment="1" applyFont="1">
      <alignment horizontal="right"/>
    </xf>
    <xf borderId="0" fillId="0" fontId="13" numFmtId="0" xfId="0" applyAlignment="1" applyFont="1">
      <alignment horizontal="right"/>
    </xf>
    <xf borderId="0" fillId="0" fontId="14" numFmtId="0" xfId="0" applyAlignment="1" applyFont="1">
      <alignment horizontal="left" shrinkToFit="0" vertical="center" wrapText="1"/>
    </xf>
    <xf borderId="0" fillId="0" fontId="13" numFmtId="0" xfId="0" applyAlignment="1" applyFont="1">
      <alignment vertical="bottom"/>
    </xf>
    <xf borderId="0" fillId="0" fontId="13" numFmtId="0" xfId="0" applyAlignment="1" applyFont="1">
      <alignment horizontal="left" shrinkToFit="0" vertical="bottom" wrapText="0"/>
    </xf>
    <xf borderId="0" fillId="0" fontId="13" numFmtId="0" xfId="0" applyAlignment="1" applyFont="1">
      <alignment horizontal="left" vertical="bottom"/>
    </xf>
    <xf borderId="0" fillId="7" fontId="9" numFmtId="0" xfId="0" applyAlignment="1" applyFont="1">
      <alignment horizontal="left" readingOrder="0"/>
    </xf>
    <xf borderId="0" fillId="0" fontId="12" numFmtId="0" xfId="0" applyAlignment="1" applyFont="1">
      <alignment horizontal="right" readingOrder="0" shrinkToFit="0" vertical="top" wrapText="1"/>
    </xf>
    <xf borderId="0" fillId="0" fontId="13" numFmtId="0" xfId="0" applyAlignment="1" applyFont="1">
      <alignment readingOrder="0" shrinkToFit="0" vertical="bottom" wrapText="1"/>
    </xf>
    <xf borderId="0" fillId="0" fontId="13" numFmtId="0" xfId="0" applyFont="1"/>
    <xf borderId="1" fillId="2" fontId="9" numFmtId="0" xfId="0" applyAlignment="1" applyBorder="1" applyFont="1">
      <alignment readingOrder="0"/>
    </xf>
    <xf borderId="1" fillId="2" fontId="10" numFmtId="0" xfId="0" applyAlignment="1" applyBorder="1" applyFont="1">
      <alignment horizontal="center"/>
    </xf>
    <xf borderId="1" fillId="2" fontId="10" numFmtId="0" xfId="0" applyBorder="1" applyFont="1"/>
    <xf borderId="0" fillId="0" fontId="13" numFmtId="0" xfId="0" applyAlignment="1" applyFont="1">
      <alignment horizontal="center"/>
    </xf>
    <xf borderId="0" fillId="0" fontId="19" numFmtId="0" xfId="0" applyAlignment="1" applyFont="1">
      <alignment readingOrder="0"/>
    </xf>
    <xf borderId="0" fillId="0" fontId="19" numFmtId="0" xfId="0" applyFont="1"/>
    <xf borderId="0" fillId="0" fontId="19" numFmtId="0" xfId="0" applyAlignment="1" applyFont="1">
      <alignment horizontal="right" readingOrder="0"/>
    </xf>
    <xf borderId="0" fillId="0" fontId="14" numFmtId="0" xfId="0" applyAlignment="1" applyFont="1">
      <alignment horizontal="left" shrinkToFit="0" wrapText="1"/>
    </xf>
    <xf borderId="0" fillId="0" fontId="19" numFmtId="0" xfId="0" applyAlignment="1" applyFont="1">
      <alignment horizontal="right"/>
    </xf>
    <xf borderId="0" fillId="0" fontId="13" numFmtId="0" xfId="0" applyAlignment="1" applyFont="1">
      <alignment horizontal="center" readingOrder="0"/>
    </xf>
    <xf borderId="0" fillId="0" fontId="13" numFmtId="168" xfId="0" applyAlignment="1" applyFont="1" applyNumberFormat="1">
      <alignment horizontal="center" readingOrder="0"/>
    </xf>
    <xf borderId="0" fillId="0" fontId="13" numFmtId="14" xfId="0" applyAlignment="1" applyFont="1" applyNumberFormat="1">
      <alignment horizontal="center"/>
    </xf>
    <xf borderId="0" fillId="0" fontId="13" numFmtId="9" xfId="0" applyAlignment="1" applyFont="1" applyNumberFormat="1">
      <alignment horizontal="center"/>
    </xf>
    <xf borderId="1" fillId="2" fontId="9" numFmtId="0" xfId="0" applyBorder="1" applyFont="1"/>
    <xf borderId="1" fillId="2" fontId="20" numFmtId="0" xfId="0" applyBorder="1" applyFont="1"/>
    <xf borderId="0" fillId="4" fontId="12" numFmtId="0" xfId="0" applyAlignment="1" applyFont="1">
      <alignment horizontal="right"/>
    </xf>
    <xf borderId="0" fillId="4" fontId="12" numFmtId="0" xfId="0" applyAlignment="1" applyFont="1">
      <alignment horizontal="center" readingOrder="0"/>
    </xf>
    <xf borderId="0" fillId="0" fontId="13" numFmtId="1" xfId="0" applyAlignment="1" applyFont="1" applyNumberFormat="1">
      <alignment horizontal="center"/>
    </xf>
    <xf borderId="0" fillId="0" fontId="13" numFmtId="9" xfId="0" applyAlignment="1" applyFont="1" applyNumberFormat="1">
      <alignment horizontal="center" readingOrder="0"/>
    </xf>
    <xf borderId="0" fillId="0" fontId="15" numFmtId="0" xfId="0" applyAlignment="1" applyFont="1">
      <alignment horizontal="left" readingOrder="0"/>
    </xf>
    <xf borderId="0" fillId="0" fontId="12" numFmtId="0" xfId="0" applyAlignment="1" applyFont="1">
      <alignment vertical="bottom"/>
    </xf>
    <xf borderId="1" fillId="2" fontId="9" numFmtId="0" xfId="0" applyAlignment="1" applyBorder="1" applyFont="1">
      <alignment horizontal="center" readingOrder="0" shrinkToFit="0" wrapText="0"/>
    </xf>
    <xf borderId="1" fillId="2" fontId="9" numFmtId="0" xfId="0" applyAlignment="1" applyBorder="1" applyFont="1">
      <alignment horizontal="center" readingOrder="0"/>
    </xf>
    <xf borderId="0" fillId="0" fontId="13" numFmtId="0" xfId="0" applyAlignment="1" applyFont="1">
      <alignment horizontal="center" shrinkToFit="0" wrapText="0"/>
    </xf>
    <xf borderId="0" fillId="0" fontId="13" numFmtId="0" xfId="0" applyAlignment="1" applyFont="1">
      <alignment horizontal="center" readingOrder="0" shrinkToFit="0" wrapText="0"/>
    </xf>
    <xf borderId="0" fillId="0" fontId="14" numFmtId="0" xfId="0" applyAlignment="1" applyFont="1">
      <alignment readingOrder="0" vertical="bottom"/>
    </xf>
    <xf borderId="0" fillId="0" fontId="13" numFmtId="164" xfId="0" applyAlignment="1" applyFont="1" applyNumberFormat="1">
      <alignment horizontal="center" shrinkToFit="0" wrapText="0"/>
    </xf>
    <xf borderId="1" fillId="2" fontId="9" numFmtId="0" xfId="0" applyAlignment="1" applyBorder="1" applyFont="1">
      <alignment shrinkToFit="0" wrapText="0"/>
    </xf>
    <xf borderId="0" fillId="0" fontId="12" numFmtId="0" xfId="0" applyAlignment="1" applyFont="1">
      <alignment shrinkToFit="0" wrapText="0"/>
    </xf>
    <xf borderId="0" fillId="0" fontId="12" numFmtId="0" xfId="0" applyAlignment="1" applyFont="1">
      <alignment horizontal="center" shrinkToFit="0" wrapText="0"/>
    </xf>
    <xf borderId="0" fillId="0" fontId="12" numFmtId="164" xfId="0" applyAlignment="1" applyFont="1" applyNumberFormat="1">
      <alignment horizontal="center"/>
    </xf>
    <xf borderId="0" fillId="0" fontId="13" numFmtId="0" xfId="0" applyAlignment="1" applyFont="1">
      <alignment horizontal="center" vertical="bottom"/>
    </xf>
    <xf borderId="0" fillId="0" fontId="13" numFmtId="164" xfId="0" applyAlignment="1" applyFont="1" applyNumberFormat="1">
      <alignment horizontal="center" vertical="bottom"/>
    </xf>
    <xf borderId="0" fillId="0" fontId="13" numFmtId="164" xfId="0" applyAlignment="1" applyFont="1" applyNumberFormat="1">
      <alignment horizontal="center"/>
    </xf>
  </cellXfs>
  <cellStyles count="1">
    <cellStyle xfId="0" name="Normal" builtinId="0"/>
  </cellStyles>
  <dxfs count="1">
    <dxf>
      <font/>
      <fill>
        <patternFill patternType="solid">
          <fgColor rgb="FFEA9999"/>
          <bgColor rgb="FFEA9999"/>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rive.google.com/drive/folders/1XzMUJqXYEOfxmFGCABM9XytqEefe7wVl" TargetMode="External"/><Relationship Id="rId2" Type="http://schemas.openxmlformats.org/officeDocument/2006/relationships/hyperlink" Target="https://script.google.com/macros/s/AKfycbz2eeS8jxpfqsYtUK0ifft79YBvSP9jk6hsLKhKjMJxYfwM90lLtgn38X4cQy1W6bsDKA/exec?sheetId=1ihKNXGMy80pvkWBAy3Si3EJ-txE1khGe8f6NaIOT3To"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63"/>
    <col customWidth="1" min="2" max="2" width="18.0"/>
    <col customWidth="1" min="3" max="3" width="23.88"/>
    <col customWidth="1" min="4" max="6" width="29.75"/>
    <col customWidth="1" min="7" max="9" width="10.38"/>
    <col customWidth="1" min="10" max="10" width="9.63"/>
    <col customWidth="1" min="11" max="11" width="10.5"/>
    <col customWidth="1" min="12" max="12" width="15.75"/>
    <col customWidth="1" min="13" max="13" width="9.0"/>
    <col customWidth="1" min="14" max="14" width="7.38"/>
    <col customWidth="1" min="15" max="16" width="26.0"/>
    <col customWidth="1" min="17" max="17" width="20.13"/>
  </cols>
  <sheetData>
    <row r="1">
      <c r="A1" s="1" t="s">
        <v>0</v>
      </c>
      <c r="B1" s="2" t="s">
        <v>1</v>
      </c>
      <c r="C1" s="2" t="s">
        <v>2</v>
      </c>
      <c r="D1" s="2" t="s">
        <v>3</v>
      </c>
      <c r="E1" s="2" t="s">
        <v>4</v>
      </c>
      <c r="F1" s="2" t="s">
        <v>5</v>
      </c>
      <c r="G1" s="3" t="s">
        <v>6</v>
      </c>
      <c r="H1" s="3" t="s">
        <v>7</v>
      </c>
      <c r="I1" s="4" t="s">
        <v>8</v>
      </c>
      <c r="J1" s="2" t="s">
        <v>9</v>
      </c>
      <c r="K1" s="5" t="s">
        <v>10</v>
      </c>
      <c r="L1" s="6" t="s">
        <v>11</v>
      </c>
      <c r="M1" s="7" t="s">
        <v>12</v>
      </c>
      <c r="N1" s="8" t="s">
        <v>13</v>
      </c>
      <c r="O1" s="5" t="s">
        <v>14</v>
      </c>
      <c r="P1" s="5" t="s">
        <v>15</v>
      </c>
      <c r="Q1" s="5"/>
    </row>
    <row r="2">
      <c r="A2" s="9"/>
      <c r="B2" s="10" t="s">
        <v>16</v>
      </c>
      <c r="C2" s="11" t="s">
        <v>17</v>
      </c>
      <c r="D2" s="11" t="s">
        <v>18</v>
      </c>
      <c r="E2" s="11" t="s">
        <v>19</v>
      </c>
      <c r="F2" s="11" t="s">
        <v>20</v>
      </c>
      <c r="G2" s="12">
        <v>8.0</v>
      </c>
      <c r="H2" s="12">
        <v>14.0</v>
      </c>
      <c r="I2" s="13">
        <f t="shared" ref="I2:I19" si="1">MEDIAN(G2:H2)</f>
        <v>11</v>
      </c>
      <c r="J2" s="14" t="s">
        <v>21</v>
      </c>
      <c r="K2" s="14" t="b">
        <v>0</v>
      </c>
      <c r="L2" s="15" t="s">
        <v>22</v>
      </c>
      <c r="M2" s="16"/>
      <c r="N2" s="17"/>
      <c r="O2" s="18"/>
      <c r="P2" s="19"/>
      <c r="Q2" s="19"/>
    </row>
    <row r="3">
      <c r="A3" s="9"/>
      <c r="B3" s="10" t="s">
        <v>23</v>
      </c>
      <c r="C3" s="11" t="s">
        <v>24</v>
      </c>
      <c r="D3" s="11" t="s">
        <v>25</v>
      </c>
      <c r="E3" s="11" t="s">
        <v>26</v>
      </c>
      <c r="F3" s="11" t="s">
        <v>27</v>
      </c>
      <c r="G3" s="12">
        <v>8.0</v>
      </c>
      <c r="H3" s="12">
        <v>14.0</v>
      </c>
      <c r="I3" s="13">
        <f t="shared" si="1"/>
        <v>11</v>
      </c>
      <c r="J3" s="14" t="s">
        <v>21</v>
      </c>
      <c r="K3" s="14" t="b">
        <v>0</v>
      </c>
      <c r="L3" s="15" t="s">
        <v>22</v>
      </c>
      <c r="M3" s="16"/>
      <c r="N3" s="17"/>
      <c r="O3" s="18"/>
      <c r="P3" s="20"/>
      <c r="Q3" s="20"/>
    </row>
    <row r="4">
      <c r="A4" s="9"/>
      <c r="B4" s="10" t="s">
        <v>28</v>
      </c>
      <c r="C4" s="11" t="s">
        <v>29</v>
      </c>
      <c r="D4" s="11" t="s">
        <v>30</v>
      </c>
      <c r="E4" s="11" t="s">
        <v>31</v>
      </c>
      <c r="F4" s="11" t="s">
        <v>32</v>
      </c>
      <c r="G4" s="12">
        <v>6.0</v>
      </c>
      <c r="H4" s="12">
        <v>8.0</v>
      </c>
      <c r="I4" s="13">
        <f t="shared" si="1"/>
        <v>7</v>
      </c>
      <c r="J4" s="14" t="s">
        <v>21</v>
      </c>
      <c r="K4" s="14" t="b">
        <v>0</v>
      </c>
      <c r="L4" s="15" t="s">
        <v>22</v>
      </c>
      <c r="M4" s="16"/>
      <c r="N4" s="17"/>
      <c r="O4" s="21"/>
      <c r="P4" s="20"/>
      <c r="Q4" s="20"/>
    </row>
    <row r="5">
      <c r="A5" s="9"/>
      <c r="B5" s="10" t="s">
        <v>28</v>
      </c>
      <c r="C5" s="11" t="s">
        <v>33</v>
      </c>
      <c r="D5" s="11" t="s">
        <v>34</v>
      </c>
      <c r="E5" s="11" t="s">
        <v>35</v>
      </c>
      <c r="F5" s="11" t="s">
        <v>36</v>
      </c>
      <c r="G5" s="12">
        <v>4.0</v>
      </c>
      <c r="H5" s="12">
        <v>7.0</v>
      </c>
      <c r="I5" s="13">
        <f t="shared" si="1"/>
        <v>5.5</v>
      </c>
      <c r="J5" s="14" t="s">
        <v>21</v>
      </c>
      <c r="K5" s="14" t="b">
        <v>0</v>
      </c>
      <c r="L5" s="15" t="s">
        <v>22</v>
      </c>
      <c r="M5" s="16"/>
      <c r="N5" s="22"/>
      <c r="O5" s="21"/>
      <c r="P5" s="20"/>
      <c r="Q5" s="20"/>
    </row>
    <row r="6">
      <c r="A6" s="9"/>
      <c r="B6" s="10" t="s">
        <v>28</v>
      </c>
      <c r="C6" s="11" t="s">
        <v>37</v>
      </c>
      <c r="D6" s="11" t="s">
        <v>38</v>
      </c>
      <c r="E6" s="11" t="s">
        <v>39</v>
      </c>
      <c r="F6" s="11" t="s">
        <v>40</v>
      </c>
      <c r="G6" s="12">
        <v>15.0</v>
      </c>
      <c r="H6" s="12">
        <v>30.0</v>
      </c>
      <c r="I6" s="13">
        <f t="shared" si="1"/>
        <v>22.5</v>
      </c>
      <c r="J6" s="14" t="s">
        <v>21</v>
      </c>
      <c r="K6" s="14" t="b">
        <v>0</v>
      </c>
      <c r="L6" s="15" t="s">
        <v>22</v>
      </c>
      <c r="M6" s="16"/>
      <c r="N6" s="22"/>
      <c r="O6" s="21"/>
      <c r="P6" s="20"/>
      <c r="Q6" s="20"/>
    </row>
    <row r="7">
      <c r="A7" s="9"/>
      <c r="B7" s="10" t="s">
        <v>28</v>
      </c>
      <c r="C7" s="11" t="s">
        <v>41</v>
      </c>
      <c r="D7" s="11" t="s">
        <v>42</v>
      </c>
      <c r="E7" s="11" t="s">
        <v>43</v>
      </c>
      <c r="F7" s="11" t="s">
        <v>44</v>
      </c>
      <c r="G7" s="12">
        <v>4.0</v>
      </c>
      <c r="H7" s="12">
        <v>8.0</v>
      </c>
      <c r="I7" s="13">
        <f t="shared" si="1"/>
        <v>6</v>
      </c>
      <c r="J7" s="14" t="s">
        <v>21</v>
      </c>
      <c r="K7" s="14" t="b">
        <v>0</v>
      </c>
      <c r="L7" s="15" t="s">
        <v>22</v>
      </c>
      <c r="M7" s="16"/>
      <c r="N7" s="22"/>
      <c r="O7" s="21"/>
      <c r="P7" s="20"/>
      <c r="Q7" s="20"/>
    </row>
    <row r="8">
      <c r="A8" s="9"/>
      <c r="B8" s="10" t="s">
        <v>28</v>
      </c>
      <c r="C8" s="11" t="s">
        <v>45</v>
      </c>
      <c r="D8" s="11" t="s">
        <v>46</v>
      </c>
      <c r="E8" s="11" t="s">
        <v>47</v>
      </c>
      <c r="F8" s="11" t="s">
        <v>48</v>
      </c>
      <c r="G8" s="12">
        <v>1.0</v>
      </c>
      <c r="H8" s="12">
        <v>3.0</v>
      </c>
      <c r="I8" s="13">
        <f t="shared" si="1"/>
        <v>2</v>
      </c>
      <c r="J8" s="14" t="s">
        <v>21</v>
      </c>
      <c r="K8" s="14" t="b">
        <v>0</v>
      </c>
      <c r="L8" s="15" t="s">
        <v>22</v>
      </c>
      <c r="M8" s="16"/>
      <c r="N8" s="22"/>
      <c r="O8" s="21"/>
      <c r="P8" s="20"/>
      <c r="Q8" s="20"/>
    </row>
    <row r="9">
      <c r="A9" s="9"/>
      <c r="B9" s="10" t="s">
        <v>28</v>
      </c>
      <c r="C9" s="11" t="s">
        <v>49</v>
      </c>
      <c r="D9" s="11" t="s">
        <v>50</v>
      </c>
      <c r="E9" s="11" t="s">
        <v>51</v>
      </c>
      <c r="F9" s="11" t="s">
        <v>52</v>
      </c>
      <c r="G9" s="12">
        <v>4.0</v>
      </c>
      <c r="H9" s="12">
        <v>7.0</v>
      </c>
      <c r="I9" s="13">
        <f t="shared" si="1"/>
        <v>5.5</v>
      </c>
      <c r="J9" s="14" t="s">
        <v>21</v>
      </c>
      <c r="K9" s="14" t="b">
        <v>0</v>
      </c>
      <c r="L9" s="15" t="s">
        <v>22</v>
      </c>
      <c r="M9" s="16"/>
      <c r="N9" s="22"/>
      <c r="O9" s="21"/>
      <c r="P9" s="20"/>
      <c r="Q9" s="20"/>
    </row>
    <row r="10">
      <c r="A10" s="9"/>
      <c r="B10" s="10" t="s">
        <v>28</v>
      </c>
      <c r="C10" s="11" t="s">
        <v>53</v>
      </c>
      <c r="D10" s="11" t="s">
        <v>54</v>
      </c>
      <c r="E10" s="11" t="s">
        <v>55</v>
      </c>
      <c r="F10" s="11" t="s">
        <v>56</v>
      </c>
      <c r="G10" s="12">
        <v>3.0</v>
      </c>
      <c r="H10" s="12">
        <v>5.0</v>
      </c>
      <c r="I10" s="13">
        <f t="shared" si="1"/>
        <v>4</v>
      </c>
      <c r="J10" s="14" t="s">
        <v>21</v>
      </c>
      <c r="K10" s="14" t="b">
        <v>0</v>
      </c>
      <c r="L10" s="15" t="s">
        <v>22</v>
      </c>
      <c r="M10" s="16"/>
      <c r="N10" s="22"/>
      <c r="O10" s="21"/>
      <c r="P10" s="20"/>
      <c r="Q10" s="20"/>
    </row>
    <row r="11">
      <c r="A11" s="9"/>
      <c r="B11" s="10" t="s">
        <v>28</v>
      </c>
      <c r="C11" s="11" t="s">
        <v>57</v>
      </c>
      <c r="D11" s="11" t="s">
        <v>58</v>
      </c>
      <c r="E11" s="11" t="s">
        <v>59</v>
      </c>
      <c r="F11" s="11" t="s">
        <v>60</v>
      </c>
      <c r="G11" s="12">
        <v>5.0</v>
      </c>
      <c r="H11" s="12">
        <v>7.0</v>
      </c>
      <c r="I11" s="13">
        <f t="shared" si="1"/>
        <v>6</v>
      </c>
      <c r="J11" s="14" t="s">
        <v>21</v>
      </c>
      <c r="K11" s="14" t="b">
        <v>0</v>
      </c>
      <c r="L11" s="15" t="s">
        <v>22</v>
      </c>
      <c r="M11" s="16"/>
      <c r="N11" s="22"/>
      <c r="O11" s="21"/>
      <c r="P11" s="20"/>
      <c r="Q11" s="20"/>
    </row>
    <row r="12">
      <c r="A12" s="9"/>
      <c r="B12" s="10" t="s">
        <v>28</v>
      </c>
      <c r="C12" s="11" t="s">
        <v>61</v>
      </c>
      <c r="D12" s="11" t="s">
        <v>62</v>
      </c>
      <c r="E12" s="11" t="s">
        <v>63</v>
      </c>
      <c r="F12" s="11" t="s">
        <v>64</v>
      </c>
      <c r="G12" s="12">
        <v>7.0</v>
      </c>
      <c r="H12" s="12">
        <v>10.0</v>
      </c>
      <c r="I12" s="13">
        <f t="shared" si="1"/>
        <v>8.5</v>
      </c>
      <c r="J12" s="14" t="s">
        <v>21</v>
      </c>
      <c r="K12" s="14" t="b">
        <v>0</v>
      </c>
      <c r="L12" s="15" t="s">
        <v>22</v>
      </c>
      <c r="M12" s="16"/>
      <c r="N12" s="22"/>
      <c r="O12" s="21"/>
      <c r="P12" s="20"/>
      <c r="Q12" s="20"/>
    </row>
    <row r="13">
      <c r="A13" s="9"/>
      <c r="B13" s="10" t="s">
        <v>23</v>
      </c>
      <c r="C13" s="11" t="s">
        <v>65</v>
      </c>
      <c r="D13" s="11" t="s">
        <v>66</v>
      </c>
      <c r="E13" s="11" t="s">
        <v>67</v>
      </c>
      <c r="F13" s="11" t="s">
        <v>68</v>
      </c>
      <c r="G13" s="12">
        <v>15.0</v>
      </c>
      <c r="H13" s="12">
        <v>25.0</v>
      </c>
      <c r="I13" s="13">
        <f t="shared" si="1"/>
        <v>20</v>
      </c>
      <c r="J13" s="14" t="s">
        <v>21</v>
      </c>
      <c r="K13" s="14" t="b">
        <v>0</v>
      </c>
      <c r="L13" s="15"/>
      <c r="M13" s="16"/>
      <c r="N13" s="22"/>
      <c r="O13" s="21"/>
      <c r="P13" s="20"/>
      <c r="Q13" s="20"/>
    </row>
    <row r="14">
      <c r="A14" s="9"/>
      <c r="B14" s="10" t="s">
        <v>69</v>
      </c>
      <c r="C14" s="11" t="s">
        <v>70</v>
      </c>
      <c r="D14" s="11" t="s">
        <v>71</v>
      </c>
      <c r="E14" s="11" t="s">
        <v>72</v>
      </c>
      <c r="F14" s="11" t="s">
        <v>73</v>
      </c>
      <c r="G14" s="12">
        <v>42.0</v>
      </c>
      <c r="H14" s="12">
        <v>70.0</v>
      </c>
      <c r="I14" s="13">
        <f t="shared" si="1"/>
        <v>56</v>
      </c>
      <c r="J14" s="14" t="s">
        <v>21</v>
      </c>
      <c r="K14" s="14" t="b">
        <v>0</v>
      </c>
      <c r="L14" s="15" t="s">
        <v>74</v>
      </c>
      <c r="M14" s="16"/>
      <c r="N14" s="22"/>
      <c r="O14" s="21"/>
      <c r="P14" s="20"/>
      <c r="Q14" s="20"/>
    </row>
    <row r="15">
      <c r="A15" s="9"/>
      <c r="B15" s="10" t="s">
        <v>69</v>
      </c>
      <c r="C15" s="11" t="s">
        <v>75</v>
      </c>
      <c r="D15" s="11" t="s">
        <v>76</v>
      </c>
      <c r="E15" s="11" t="s">
        <v>77</v>
      </c>
      <c r="F15" s="11" t="s">
        <v>78</v>
      </c>
      <c r="G15" s="12">
        <v>8.0</v>
      </c>
      <c r="H15" s="12">
        <v>12.0</v>
      </c>
      <c r="I15" s="13">
        <f t="shared" si="1"/>
        <v>10</v>
      </c>
      <c r="J15" s="14" t="s">
        <v>21</v>
      </c>
      <c r="K15" s="14" t="b">
        <v>0</v>
      </c>
      <c r="L15" s="15" t="s">
        <v>74</v>
      </c>
      <c r="M15" s="16"/>
      <c r="N15" s="22"/>
      <c r="O15" s="21"/>
      <c r="P15" s="20"/>
      <c r="Q15" s="20"/>
    </row>
    <row r="16">
      <c r="A16" s="23"/>
      <c r="B16" s="12" t="s">
        <v>79</v>
      </c>
      <c r="C16" s="24" t="s">
        <v>80</v>
      </c>
      <c r="D16" s="11" t="s">
        <v>81</v>
      </c>
      <c r="E16" s="24" t="s">
        <v>82</v>
      </c>
      <c r="F16" s="24" t="s">
        <v>83</v>
      </c>
      <c r="G16" s="12">
        <v>10.0</v>
      </c>
      <c r="H16" s="12">
        <v>20.0</v>
      </c>
      <c r="I16" s="13">
        <f t="shared" si="1"/>
        <v>15</v>
      </c>
      <c r="J16" s="11" t="s">
        <v>21</v>
      </c>
      <c r="K16" s="11" t="b">
        <v>0</v>
      </c>
      <c r="L16" s="25"/>
      <c r="M16" s="26"/>
      <c r="N16" s="27"/>
      <c r="O16" s="28"/>
      <c r="P16" s="28"/>
      <c r="Q16" s="28"/>
    </row>
    <row r="17">
      <c r="A17" s="29"/>
      <c r="B17" s="10" t="s">
        <v>84</v>
      </c>
      <c r="C17" s="11" t="s">
        <v>85</v>
      </c>
      <c r="D17" s="11" t="s">
        <v>86</v>
      </c>
      <c r="E17" s="11" t="s">
        <v>87</v>
      </c>
      <c r="F17" s="11" t="s">
        <v>88</v>
      </c>
      <c r="G17" s="12">
        <v>6.0</v>
      </c>
      <c r="H17" s="12">
        <v>10.0</v>
      </c>
      <c r="I17" s="13">
        <f t="shared" si="1"/>
        <v>8</v>
      </c>
      <c r="J17" s="30" t="s">
        <v>21</v>
      </c>
      <c r="K17" s="30" t="b">
        <v>0</v>
      </c>
      <c r="L17" s="31" t="s">
        <v>22</v>
      </c>
      <c r="M17" s="32"/>
      <c r="N17" s="33"/>
      <c r="O17" s="34"/>
      <c r="P17" s="35"/>
      <c r="Q17" s="35"/>
    </row>
    <row r="18">
      <c r="A18" s="9"/>
      <c r="B18" s="10" t="s">
        <v>84</v>
      </c>
      <c r="C18" s="11" t="s">
        <v>89</v>
      </c>
      <c r="D18" s="11" t="s">
        <v>90</v>
      </c>
      <c r="E18" s="11" t="s">
        <v>91</v>
      </c>
      <c r="F18" s="11" t="s">
        <v>92</v>
      </c>
      <c r="G18" s="12">
        <v>8.0</v>
      </c>
      <c r="H18" s="12">
        <v>12.0</v>
      </c>
      <c r="I18" s="13">
        <f t="shared" si="1"/>
        <v>10</v>
      </c>
      <c r="J18" s="14" t="s">
        <v>21</v>
      </c>
      <c r="K18" s="14" t="b">
        <v>0</v>
      </c>
      <c r="L18" s="15" t="s">
        <v>22</v>
      </c>
      <c r="M18" s="16"/>
      <c r="N18" s="22"/>
      <c r="O18" s="18"/>
      <c r="P18" s="20"/>
      <c r="Q18" s="20"/>
    </row>
    <row r="19">
      <c r="A19" s="9"/>
      <c r="B19" s="10" t="s">
        <v>84</v>
      </c>
      <c r="C19" s="11" t="s">
        <v>93</v>
      </c>
      <c r="D19" s="11" t="s">
        <v>94</v>
      </c>
      <c r="E19" s="11" t="s">
        <v>95</v>
      </c>
      <c r="F19" s="11" t="s">
        <v>96</v>
      </c>
      <c r="G19" s="12">
        <v>6.0</v>
      </c>
      <c r="H19" s="12">
        <v>12.0</v>
      </c>
      <c r="I19" s="13">
        <f t="shared" si="1"/>
        <v>9</v>
      </c>
      <c r="J19" s="14" t="s">
        <v>21</v>
      </c>
      <c r="K19" s="14" t="b">
        <v>0</v>
      </c>
      <c r="L19" s="15" t="s">
        <v>22</v>
      </c>
      <c r="M19" s="16"/>
      <c r="N19" s="22"/>
      <c r="O19" s="21"/>
      <c r="P19" s="20"/>
      <c r="Q19" s="20"/>
    </row>
    <row r="20">
      <c r="A20" s="9"/>
      <c r="B20" s="10" t="s">
        <v>97</v>
      </c>
      <c r="C20" s="10" t="s">
        <v>97</v>
      </c>
      <c r="D20" s="11" t="s">
        <v>98</v>
      </c>
      <c r="E20" s="11" t="s">
        <v>99</v>
      </c>
      <c r="F20" s="11" t="s">
        <v>100</v>
      </c>
      <c r="G20" s="12">
        <v>30.0</v>
      </c>
      <c r="H20" s="12">
        <v>30.0</v>
      </c>
      <c r="I20" s="13">
        <f t="shared" ref="I20:I140" si="2">IF(AND(G20&lt;&gt;"",H20&lt;&gt;""),ROUNDUP(AVERAGE(G20:H20),0),"")</f>
        <v>30</v>
      </c>
      <c r="J20" s="14" t="s">
        <v>101</v>
      </c>
      <c r="K20" s="14" t="b">
        <v>0</v>
      </c>
      <c r="L20" s="15"/>
      <c r="M20" s="16"/>
      <c r="N20" s="22"/>
      <c r="O20" s="21"/>
      <c r="P20" s="20"/>
      <c r="Q20" s="20"/>
    </row>
    <row r="21">
      <c r="A21" s="9"/>
      <c r="B21" s="36"/>
      <c r="C21" s="37"/>
      <c r="D21" s="37"/>
      <c r="E21" s="38"/>
      <c r="F21" s="37"/>
      <c r="G21" s="39"/>
      <c r="H21" s="39"/>
      <c r="I21" s="40" t="str">
        <f t="shared" si="2"/>
        <v/>
      </c>
      <c r="J21" s="14"/>
      <c r="K21" s="14" t="b">
        <v>0</v>
      </c>
      <c r="L21" s="15"/>
      <c r="M21" s="16"/>
      <c r="N21" s="22"/>
      <c r="O21" s="21"/>
      <c r="P21" s="20"/>
      <c r="Q21" s="20"/>
    </row>
    <row r="22">
      <c r="A22" s="9"/>
      <c r="B22" s="36"/>
      <c r="C22" s="37"/>
      <c r="D22" s="37"/>
      <c r="E22" s="41"/>
      <c r="F22" s="37"/>
      <c r="G22" s="42"/>
      <c r="H22" s="42"/>
      <c r="I22" s="40" t="str">
        <f t="shared" si="2"/>
        <v/>
      </c>
      <c r="J22" s="14"/>
      <c r="K22" s="14" t="b">
        <v>0</v>
      </c>
      <c r="L22" s="15"/>
      <c r="M22" s="16"/>
      <c r="N22" s="22"/>
      <c r="O22" s="21"/>
      <c r="P22" s="20"/>
      <c r="Q22" s="20"/>
    </row>
    <row r="23">
      <c r="A23" s="9"/>
      <c r="B23" s="36"/>
      <c r="C23" s="37"/>
      <c r="D23" s="37"/>
      <c r="E23" s="43"/>
      <c r="F23" s="37"/>
      <c r="G23" s="42"/>
      <c r="H23" s="42"/>
      <c r="I23" s="40" t="str">
        <f t="shared" si="2"/>
        <v/>
      </c>
      <c r="J23" s="14"/>
      <c r="K23" s="14" t="b">
        <v>0</v>
      </c>
      <c r="L23" s="15"/>
      <c r="M23" s="16"/>
      <c r="N23" s="22"/>
      <c r="O23" s="21"/>
      <c r="P23" s="20"/>
      <c r="Q23" s="20"/>
    </row>
    <row r="24">
      <c r="A24" s="9"/>
      <c r="B24" s="36"/>
      <c r="C24" s="37"/>
      <c r="D24" s="37"/>
      <c r="E24" s="43"/>
      <c r="F24" s="37"/>
      <c r="G24" s="39"/>
      <c r="H24" s="39"/>
      <c r="I24" s="40" t="str">
        <f t="shared" si="2"/>
        <v/>
      </c>
      <c r="J24" s="14"/>
      <c r="K24" s="14" t="b">
        <v>0</v>
      </c>
      <c r="L24" s="15"/>
      <c r="M24" s="16"/>
      <c r="N24" s="22"/>
      <c r="O24" s="21"/>
      <c r="P24" s="20"/>
      <c r="Q24" s="20"/>
    </row>
    <row r="25">
      <c r="A25" s="9"/>
      <c r="B25" s="44"/>
      <c r="C25" s="18"/>
      <c r="D25" s="18"/>
      <c r="E25" s="41"/>
      <c r="F25" s="18"/>
      <c r="G25" s="45"/>
      <c r="H25" s="45"/>
      <c r="I25" s="40" t="str">
        <f t="shared" si="2"/>
        <v/>
      </c>
      <c r="J25" s="14"/>
      <c r="K25" s="14" t="b">
        <v>0</v>
      </c>
      <c r="L25" s="15"/>
      <c r="M25" s="16"/>
      <c r="N25" s="22"/>
      <c r="O25" s="21"/>
      <c r="P25" s="20"/>
      <c r="Q25" s="20"/>
    </row>
    <row r="26">
      <c r="A26" s="9"/>
      <c r="B26" s="44"/>
      <c r="C26" s="18"/>
      <c r="D26" s="18"/>
      <c r="E26" s="18"/>
      <c r="F26" s="18"/>
      <c r="G26" s="45"/>
      <c r="H26" s="45"/>
      <c r="I26" s="40" t="str">
        <f t="shared" si="2"/>
        <v/>
      </c>
      <c r="J26" s="14"/>
      <c r="K26" s="14" t="b">
        <v>0</v>
      </c>
      <c r="L26" s="15"/>
      <c r="M26" s="16"/>
      <c r="N26" s="22"/>
      <c r="O26" s="21"/>
      <c r="P26" s="20"/>
      <c r="Q26" s="20"/>
    </row>
    <row r="27">
      <c r="A27" s="9"/>
      <c r="B27" s="44"/>
      <c r="C27" s="18"/>
      <c r="D27" s="18"/>
      <c r="E27" s="18"/>
      <c r="F27" s="18"/>
      <c r="G27" s="45"/>
      <c r="H27" s="45"/>
      <c r="I27" s="40" t="str">
        <f t="shared" si="2"/>
        <v/>
      </c>
      <c r="J27" s="14"/>
      <c r="K27" s="14" t="b">
        <v>0</v>
      </c>
      <c r="L27" s="15"/>
      <c r="M27" s="16"/>
      <c r="N27" s="22"/>
      <c r="O27" s="21"/>
      <c r="P27" s="20"/>
      <c r="Q27" s="20"/>
    </row>
    <row r="28">
      <c r="A28" s="46"/>
      <c r="B28" s="47"/>
      <c r="C28" s="21"/>
      <c r="D28" s="21"/>
      <c r="E28" s="21"/>
      <c r="F28" s="21"/>
      <c r="G28" s="48"/>
      <c r="H28" s="48"/>
      <c r="I28" s="40" t="str">
        <f t="shared" si="2"/>
        <v/>
      </c>
      <c r="J28" s="14"/>
      <c r="K28" s="14" t="b">
        <v>0</v>
      </c>
      <c r="L28" s="15"/>
      <c r="M28" s="16"/>
      <c r="N28" s="49"/>
      <c r="O28" s="21"/>
      <c r="P28" s="20"/>
      <c r="Q28" s="20"/>
    </row>
    <row r="29">
      <c r="A29" s="46"/>
      <c r="B29" s="47"/>
      <c r="C29" s="21"/>
      <c r="D29" s="21"/>
      <c r="E29" s="21"/>
      <c r="F29" s="21"/>
      <c r="G29" s="48"/>
      <c r="H29" s="48"/>
      <c r="I29" s="40" t="str">
        <f t="shared" si="2"/>
        <v/>
      </c>
      <c r="J29" s="14"/>
      <c r="K29" s="14" t="b">
        <v>0</v>
      </c>
      <c r="L29" s="15"/>
      <c r="M29" s="16"/>
      <c r="N29" s="49"/>
      <c r="O29" s="21"/>
      <c r="P29" s="20"/>
      <c r="Q29" s="20"/>
    </row>
    <row r="30">
      <c r="A30" s="46"/>
      <c r="B30" s="47"/>
      <c r="C30" s="21"/>
      <c r="D30" s="21"/>
      <c r="E30" s="21"/>
      <c r="F30" s="21"/>
      <c r="G30" s="48"/>
      <c r="H30" s="48"/>
      <c r="I30" s="40" t="str">
        <f t="shared" si="2"/>
        <v/>
      </c>
      <c r="J30" s="14"/>
      <c r="K30" s="14" t="b">
        <v>0</v>
      </c>
      <c r="L30" s="15"/>
      <c r="M30" s="16"/>
      <c r="N30" s="49"/>
      <c r="O30" s="21"/>
      <c r="P30" s="20"/>
      <c r="Q30" s="20"/>
    </row>
    <row r="31">
      <c r="A31" s="46"/>
      <c r="B31" s="47"/>
      <c r="C31" s="21"/>
      <c r="D31" s="21"/>
      <c r="E31" s="21"/>
      <c r="F31" s="21"/>
      <c r="G31" s="48"/>
      <c r="H31" s="48"/>
      <c r="I31" s="40" t="str">
        <f t="shared" si="2"/>
        <v/>
      </c>
      <c r="J31" s="14"/>
      <c r="K31" s="14" t="b">
        <v>0</v>
      </c>
      <c r="L31" s="15"/>
      <c r="M31" s="16"/>
      <c r="N31" s="49"/>
      <c r="O31" s="21"/>
      <c r="P31" s="20"/>
      <c r="Q31" s="20"/>
    </row>
    <row r="32">
      <c r="A32" s="46"/>
      <c r="B32" s="47"/>
      <c r="C32" s="21"/>
      <c r="D32" s="21"/>
      <c r="E32" s="21"/>
      <c r="F32" s="21"/>
      <c r="G32" s="48"/>
      <c r="H32" s="48"/>
      <c r="I32" s="40" t="str">
        <f t="shared" si="2"/>
        <v/>
      </c>
      <c r="J32" s="14"/>
      <c r="K32" s="14" t="b">
        <v>0</v>
      </c>
      <c r="L32" s="15"/>
      <c r="M32" s="16"/>
      <c r="N32" s="49"/>
      <c r="O32" s="21"/>
      <c r="P32" s="20"/>
      <c r="Q32" s="20"/>
    </row>
    <row r="33">
      <c r="A33" s="46"/>
      <c r="B33" s="47"/>
      <c r="C33" s="21"/>
      <c r="D33" s="18"/>
      <c r="E33" s="18"/>
      <c r="F33" s="18"/>
      <c r="G33" s="48"/>
      <c r="H33" s="48"/>
      <c r="I33" s="40" t="str">
        <f t="shared" si="2"/>
        <v/>
      </c>
      <c r="J33" s="14"/>
      <c r="K33" s="14" t="b">
        <v>0</v>
      </c>
      <c r="L33" s="15"/>
      <c r="M33" s="16"/>
      <c r="N33" s="49"/>
      <c r="O33" s="21"/>
      <c r="P33" s="20"/>
      <c r="Q33" s="20"/>
    </row>
    <row r="34">
      <c r="A34" s="46"/>
      <c r="B34" s="47"/>
      <c r="C34" s="21"/>
      <c r="D34" s="18"/>
      <c r="E34" s="18"/>
      <c r="F34" s="18"/>
      <c r="G34" s="48"/>
      <c r="H34" s="48"/>
      <c r="I34" s="40" t="str">
        <f t="shared" si="2"/>
        <v/>
      </c>
      <c r="J34" s="14"/>
      <c r="K34" s="14" t="b">
        <v>0</v>
      </c>
      <c r="L34" s="15"/>
      <c r="M34" s="16"/>
      <c r="N34" s="49"/>
      <c r="O34" s="21"/>
      <c r="P34" s="20"/>
      <c r="Q34" s="20"/>
    </row>
    <row r="35">
      <c r="A35" s="46"/>
      <c r="B35" s="47"/>
      <c r="C35" s="21"/>
      <c r="D35" s="18"/>
      <c r="E35" s="18"/>
      <c r="F35" s="18"/>
      <c r="G35" s="48"/>
      <c r="H35" s="48"/>
      <c r="I35" s="40" t="str">
        <f t="shared" si="2"/>
        <v/>
      </c>
      <c r="J35" s="14"/>
      <c r="K35" s="14" t="b">
        <v>0</v>
      </c>
      <c r="L35" s="15"/>
      <c r="M35" s="16"/>
      <c r="N35" s="49"/>
      <c r="O35" s="21"/>
      <c r="P35" s="20"/>
      <c r="Q35" s="20"/>
    </row>
    <row r="36">
      <c r="A36" s="46"/>
      <c r="B36" s="47"/>
      <c r="C36" s="21"/>
      <c r="D36" s="18"/>
      <c r="E36" s="18"/>
      <c r="F36" s="18"/>
      <c r="G36" s="48"/>
      <c r="H36" s="48"/>
      <c r="I36" s="40" t="str">
        <f t="shared" si="2"/>
        <v/>
      </c>
      <c r="J36" s="14"/>
      <c r="K36" s="14" t="b">
        <v>0</v>
      </c>
      <c r="L36" s="15"/>
      <c r="M36" s="16"/>
      <c r="N36" s="49"/>
      <c r="O36" s="21"/>
      <c r="P36" s="20"/>
      <c r="Q36" s="20"/>
    </row>
    <row r="37">
      <c r="A37" s="46"/>
      <c r="B37" s="47"/>
      <c r="C37" s="21"/>
      <c r="D37" s="18"/>
      <c r="E37" s="18"/>
      <c r="F37" s="18"/>
      <c r="G37" s="48"/>
      <c r="H37" s="48"/>
      <c r="I37" s="40" t="str">
        <f t="shared" si="2"/>
        <v/>
      </c>
      <c r="J37" s="14"/>
      <c r="K37" s="14" t="b">
        <v>0</v>
      </c>
      <c r="L37" s="15"/>
      <c r="M37" s="16"/>
      <c r="N37" s="49"/>
      <c r="O37" s="21"/>
      <c r="P37" s="20"/>
      <c r="Q37" s="20"/>
    </row>
    <row r="38">
      <c r="A38" s="46"/>
      <c r="B38" s="47"/>
      <c r="C38" s="21"/>
      <c r="D38" s="18"/>
      <c r="E38" s="18"/>
      <c r="F38" s="18"/>
      <c r="G38" s="48"/>
      <c r="H38" s="48"/>
      <c r="I38" s="40" t="str">
        <f t="shared" si="2"/>
        <v/>
      </c>
      <c r="J38" s="14"/>
      <c r="K38" s="14" t="b">
        <v>0</v>
      </c>
      <c r="L38" s="15"/>
      <c r="M38" s="16"/>
      <c r="N38" s="49"/>
      <c r="O38" s="21"/>
      <c r="P38" s="20"/>
      <c r="Q38" s="20"/>
    </row>
    <row r="39">
      <c r="A39" s="46"/>
      <c r="B39" s="47"/>
      <c r="C39" s="21"/>
      <c r="D39" s="18"/>
      <c r="E39" s="18"/>
      <c r="F39" s="18"/>
      <c r="G39" s="48"/>
      <c r="H39" s="48"/>
      <c r="I39" s="40" t="str">
        <f t="shared" si="2"/>
        <v/>
      </c>
      <c r="J39" s="14"/>
      <c r="K39" s="14" t="b">
        <v>0</v>
      </c>
      <c r="L39" s="15"/>
      <c r="M39" s="16"/>
      <c r="N39" s="49"/>
      <c r="O39" s="21"/>
      <c r="P39" s="20"/>
      <c r="Q39" s="20"/>
    </row>
    <row r="40">
      <c r="A40" s="46"/>
      <c r="B40" s="47"/>
      <c r="C40" s="21"/>
      <c r="D40" s="18"/>
      <c r="E40" s="18"/>
      <c r="F40" s="18"/>
      <c r="G40" s="48"/>
      <c r="H40" s="48"/>
      <c r="I40" s="40" t="str">
        <f t="shared" si="2"/>
        <v/>
      </c>
      <c r="J40" s="14"/>
      <c r="K40" s="14" t="b">
        <v>0</v>
      </c>
      <c r="L40" s="15"/>
      <c r="M40" s="16"/>
      <c r="N40" s="49"/>
      <c r="O40" s="21"/>
      <c r="P40" s="20"/>
      <c r="Q40" s="20"/>
    </row>
    <row r="41">
      <c r="A41" s="46"/>
      <c r="B41" s="47"/>
      <c r="C41" s="21"/>
      <c r="D41" s="18"/>
      <c r="E41" s="18"/>
      <c r="F41" s="18"/>
      <c r="G41" s="48"/>
      <c r="H41" s="48"/>
      <c r="I41" s="40" t="str">
        <f t="shared" si="2"/>
        <v/>
      </c>
      <c r="J41" s="14"/>
      <c r="K41" s="14" t="b">
        <v>0</v>
      </c>
      <c r="L41" s="15"/>
      <c r="M41" s="16"/>
      <c r="N41" s="49"/>
      <c r="O41" s="21"/>
      <c r="P41" s="20"/>
      <c r="Q41" s="20"/>
    </row>
    <row r="42">
      <c r="A42" s="46"/>
      <c r="B42" s="47"/>
      <c r="C42" s="21"/>
      <c r="D42" s="18"/>
      <c r="E42" s="18"/>
      <c r="F42" s="18"/>
      <c r="G42" s="48"/>
      <c r="H42" s="48"/>
      <c r="I42" s="40" t="str">
        <f t="shared" si="2"/>
        <v/>
      </c>
      <c r="J42" s="14"/>
      <c r="K42" s="14" t="b">
        <v>0</v>
      </c>
      <c r="L42" s="15"/>
      <c r="M42" s="16"/>
      <c r="N42" s="49"/>
      <c r="O42" s="21"/>
      <c r="P42" s="20"/>
      <c r="Q42" s="20"/>
    </row>
    <row r="43">
      <c r="A43" s="46"/>
      <c r="B43" s="47"/>
      <c r="C43" s="21"/>
      <c r="D43" s="18"/>
      <c r="E43" s="18"/>
      <c r="F43" s="18"/>
      <c r="G43" s="48"/>
      <c r="H43" s="48"/>
      <c r="I43" s="40" t="str">
        <f t="shared" si="2"/>
        <v/>
      </c>
      <c r="J43" s="14"/>
      <c r="K43" s="14" t="b">
        <v>0</v>
      </c>
      <c r="L43" s="15"/>
      <c r="M43" s="16"/>
      <c r="N43" s="49"/>
      <c r="O43" s="21"/>
      <c r="P43" s="20"/>
      <c r="Q43" s="20"/>
    </row>
    <row r="44">
      <c r="A44" s="46"/>
      <c r="B44" s="47"/>
      <c r="C44" s="21"/>
      <c r="D44" s="18"/>
      <c r="E44" s="18"/>
      <c r="F44" s="18"/>
      <c r="G44" s="48"/>
      <c r="H44" s="48"/>
      <c r="I44" s="40" t="str">
        <f t="shared" si="2"/>
        <v/>
      </c>
      <c r="J44" s="14"/>
      <c r="K44" s="14" t="b">
        <v>0</v>
      </c>
      <c r="L44" s="15"/>
      <c r="M44" s="16"/>
      <c r="N44" s="49"/>
      <c r="O44" s="21"/>
      <c r="P44" s="20"/>
      <c r="Q44" s="20"/>
    </row>
    <row r="45">
      <c r="A45" s="46"/>
      <c r="B45" s="47"/>
      <c r="C45" s="21"/>
      <c r="D45" s="18"/>
      <c r="E45" s="18"/>
      <c r="F45" s="18"/>
      <c r="G45" s="48"/>
      <c r="H45" s="48"/>
      <c r="I45" s="40" t="str">
        <f t="shared" si="2"/>
        <v/>
      </c>
      <c r="J45" s="14"/>
      <c r="K45" s="14" t="b">
        <v>0</v>
      </c>
      <c r="L45" s="15"/>
      <c r="M45" s="16"/>
      <c r="N45" s="49"/>
      <c r="O45" s="21"/>
      <c r="P45" s="20"/>
      <c r="Q45" s="20"/>
    </row>
    <row r="46">
      <c r="A46" s="46"/>
      <c r="B46" s="47"/>
      <c r="C46" s="21"/>
      <c r="D46" s="21"/>
      <c r="E46" s="21"/>
      <c r="F46" s="21"/>
      <c r="G46" s="48"/>
      <c r="H46" s="48"/>
      <c r="I46" s="40" t="str">
        <f t="shared" si="2"/>
        <v/>
      </c>
      <c r="J46" s="14"/>
      <c r="K46" s="14" t="b">
        <v>0</v>
      </c>
      <c r="L46" s="15"/>
      <c r="M46" s="16"/>
      <c r="N46" s="49"/>
      <c r="O46" s="21"/>
      <c r="P46" s="20"/>
      <c r="Q46" s="20"/>
    </row>
    <row r="47">
      <c r="A47" s="46"/>
      <c r="B47" s="47"/>
      <c r="C47" s="21"/>
      <c r="D47" s="21"/>
      <c r="E47" s="21"/>
      <c r="F47" s="21"/>
      <c r="G47" s="48"/>
      <c r="H47" s="48"/>
      <c r="I47" s="40" t="str">
        <f t="shared" si="2"/>
        <v/>
      </c>
      <c r="J47" s="14"/>
      <c r="K47" s="14" t="b">
        <v>0</v>
      </c>
      <c r="L47" s="15"/>
      <c r="M47" s="16"/>
      <c r="N47" s="49"/>
      <c r="O47" s="21"/>
      <c r="P47" s="20"/>
      <c r="Q47" s="20"/>
    </row>
    <row r="48">
      <c r="A48" s="46"/>
      <c r="B48" s="47"/>
      <c r="C48" s="21"/>
      <c r="D48" s="21"/>
      <c r="E48" s="21"/>
      <c r="F48" s="21"/>
      <c r="G48" s="48"/>
      <c r="H48" s="48"/>
      <c r="I48" s="40" t="str">
        <f t="shared" si="2"/>
        <v/>
      </c>
      <c r="J48" s="14"/>
      <c r="K48" s="14" t="b">
        <v>0</v>
      </c>
      <c r="L48" s="15"/>
      <c r="M48" s="16"/>
      <c r="N48" s="49"/>
      <c r="O48" s="21"/>
      <c r="P48" s="20"/>
      <c r="Q48" s="20"/>
    </row>
    <row r="49">
      <c r="A49" s="46"/>
      <c r="B49" s="21"/>
      <c r="C49" s="21"/>
      <c r="D49" s="21"/>
      <c r="E49" s="21"/>
      <c r="F49" s="21"/>
      <c r="G49" s="48"/>
      <c r="H49" s="48"/>
      <c r="I49" s="40" t="str">
        <f t="shared" si="2"/>
        <v/>
      </c>
      <c r="J49" s="14"/>
      <c r="K49" s="14" t="b">
        <v>0</v>
      </c>
      <c r="L49" s="15"/>
      <c r="M49" s="16"/>
      <c r="N49" s="49"/>
      <c r="O49" s="21"/>
      <c r="P49" s="20"/>
      <c r="Q49" s="20"/>
    </row>
    <row r="50">
      <c r="A50" s="46"/>
      <c r="B50" s="21"/>
      <c r="C50" s="21"/>
      <c r="D50" s="21"/>
      <c r="E50" s="21"/>
      <c r="F50" s="21"/>
      <c r="G50" s="48"/>
      <c r="H50" s="48"/>
      <c r="I50" s="40" t="str">
        <f t="shared" si="2"/>
        <v/>
      </c>
      <c r="J50" s="14"/>
      <c r="K50" s="14" t="b">
        <v>0</v>
      </c>
      <c r="L50" s="15"/>
      <c r="M50" s="16"/>
      <c r="N50" s="49"/>
      <c r="O50" s="21"/>
      <c r="P50" s="20"/>
      <c r="Q50" s="20"/>
    </row>
    <row r="51">
      <c r="A51" s="46"/>
      <c r="B51" s="21"/>
      <c r="C51" s="21"/>
      <c r="D51" s="21"/>
      <c r="E51" s="21"/>
      <c r="F51" s="21"/>
      <c r="G51" s="48"/>
      <c r="H51" s="48"/>
      <c r="I51" s="40" t="str">
        <f t="shared" si="2"/>
        <v/>
      </c>
      <c r="J51" s="14"/>
      <c r="K51" s="14" t="b">
        <v>0</v>
      </c>
      <c r="L51" s="15"/>
      <c r="M51" s="16"/>
      <c r="N51" s="49"/>
      <c r="O51" s="21"/>
      <c r="P51" s="20"/>
      <c r="Q51" s="20"/>
    </row>
    <row r="52">
      <c r="A52" s="46"/>
      <c r="B52" s="21"/>
      <c r="C52" s="21"/>
      <c r="D52" s="21"/>
      <c r="E52" s="21"/>
      <c r="F52" s="21"/>
      <c r="G52" s="48"/>
      <c r="H52" s="48"/>
      <c r="I52" s="40" t="str">
        <f t="shared" si="2"/>
        <v/>
      </c>
      <c r="J52" s="14"/>
      <c r="K52" s="14" t="b">
        <v>0</v>
      </c>
      <c r="L52" s="15"/>
      <c r="M52" s="16"/>
      <c r="N52" s="49"/>
      <c r="O52" s="21"/>
      <c r="P52" s="20"/>
      <c r="Q52" s="20"/>
    </row>
    <row r="53">
      <c r="A53" s="46"/>
      <c r="B53" s="21"/>
      <c r="C53" s="21"/>
      <c r="D53" s="21"/>
      <c r="E53" s="21"/>
      <c r="F53" s="21"/>
      <c r="G53" s="48"/>
      <c r="H53" s="48"/>
      <c r="I53" s="40" t="str">
        <f t="shared" si="2"/>
        <v/>
      </c>
      <c r="J53" s="14"/>
      <c r="K53" s="14" t="b">
        <v>0</v>
      </c>
      <c r="L53" s="15"/>
      <c r="M53" s="16"/>
      <c r="N53" s="49"/>
      <c r="O53" s="21"/>
      <c r="P53" s="20"/>
      <c r="Q53" s="20"/>
    </row>
    <row r="54">
      <c r="A54" s="46"/>
      <c r="B54" s="21"/>
      <c r="C54" s="21"/>
      <c r="D54" s="21"/>
      <c r="E54" s="21"/>
      <c r="F54" s="21"/>
      <c r="G54" s="48"/>
      <c r="H54" s="48"/>
      <c r="I54" s="40" t="str">
        <f t="shared" si="2"/>
        <v/>
      </c>
      <c r="J54" s="14"/>
      <c r="K54" s="14" t="b">
        <v>0</v>
      </c>
      <c r="L54" s="15"/>
      <c r="M54" s="16"/>
      <c r="N54" s="49"/>
      <c r="O54" s="21"/>
      <c r="P54" s="20"/>
      <c r="Q54" s="20"/>
    </row>
    <row r="55">
      <c r="A55" s="46"/>
      <c r="B55" s="21"/>
      <c r="C55" s="21"/>
      <c r="D55" s="21"/>
      <c r="E55" s="21"/>
      <c r="F55" s="21"/>
      <c r="G55" s="48"/>
      <c r="H55" s="48"/>
      <c r="I55" s="40" t="str">
        <f t="shared" si="2"/>
        <v/>
      </c>
      <c r="J55" s="14"/>
      <c r="K55" s="14" t="b">
        <v>0</v>
      </c>
      <c r="L55" s="15"/>
      <c r="M55" s="16"/>
      <c r="N55" s="49"/>
      <c r="O55" s="21"/>
      <c r="P55" s="20"/>
      <c r="Q55" s="20"/>
    </row>
    <row r="56">
      <c r="A56" s="46"/>
      <c r="B56" s="21"/>
      <c r="C56" s="21"/>
      <c r="D56" s="21"/>
      <c r="E56" s="21"/>
      <c r="F56" s="21"/>
      <c r="G56" s="48"/>
      <c r="H56" s="48"/>
      <c r="I56" s="40" t="str">
        <f t="shared" si="2"/>
        <v/>
      </c>
      <c r="J56" s="14"/>
      <c r="K56" s="14" t="b">
        <v>0</v>
      </c>
      <c r="L56" s="15"/>
      <c r="M56" s="16"/>
      <c r="N56" s="49"/>
      <c r="O56" s="21"/>
      <c r="P56" s="20"/>
      <c r="Q56" s="20"/>
    </row>
    <row r="57">
      <c r="A57" s="46"/>
      <c r="B57" s="21"/>
      <c r="C57" s="21"/>
      <c r="D57" s="21"/>
      <c r="E57" s="21"/>
      <c r="F57" s="21"/>
      <c r="G57" s="48"/>
      <c r="H57" s="48"/>
      <c r="I57" s="40" t="str">
        <f t="shared" si="2"/>
        <v/>
      </c>
      <c r="J57" s="14"/>
      <c r="K57" s="14" t="b">
        <v>0</v>
      </c>
      <c r="L57" s="15"/>
      <c r="M57" s="16"/>
      <c r="N57" s="49"/>
      <c r="O57" s="21"/>
      <c r="P57" s="20"/>
      <c r="Q57" s="20"/>
    </row>
    <row r="58">
      <c r="A58" s="46"/>
      <c r="B58" s="21"/>
      <c r="C58" s="21"/>
      <c r="D58" s="21"/>
      <c r="E58" s="21"/>
      <c r="F58" s="21"/>
      <c r="G58" s="48"/>
      <c r="H58" s="48"/>
      <c r="I58" s="40" t="str">
        <f t="shared" si="2"/>
        <v/>
      </c>
      <c r="J58" s="14"/>
      <c r="K58" s="14" t="b">
        <v>0</v>
      </c>
      <c r="L58" s="15"/>
      <c r="M58" s="16"/>
      <c r="N58" s="49"/>
      <c r="O58" s="21"/>
      <c r="P58" s="20"/>
      <c r="Q58" s="20"/>
    </row>
    <row r="59">
      <c r="A59" s="46"/>
      <c r="B59" s="21"/>
      <c r="C59" s="21"/>
      <c r="D59" s="21"/>
      <c r="E59" s="21"/>
      <c r="F59" s="21"/>
      <c r="G59" s="48"/>
      <c r="H59" s="48"/>
      <c r="I59" s="40" t="str">
        <f t="shared" si="2"/>
        <v/>
      </c>
      <c r="J59" s="14"/>
      <c r="K59" s="14" t="b">
        <v>0</v>
      </c>
      <c r="L59" s="15"/>
      <c r="M59" s="16"/>
      <c r="N59" s="49"/>
      <c r="O59" s="21"/>
      <c r="P59" s="20"/>
      <c r="Q59" s="20"/>
    </row>
    <row r="60">
      <c r="A60" s="46"/>
      <c r="B60" s="21"/>
      <c r="C60" s="21"/>
      <c r="D60" s="21"/>
      <c r="E60" s="21"/>
      <c r="F60" s="21"/>
      <c r="G60" s="48"/>
      <c r="H60" s="48"/>
      <c r="I60" s="40" t="str">
        <f t="shared" si="2"/>
        <v/>
      </c>
      <c r="J60" s="14"/>
      <c r="K60" s="14" t="b">
        <v>0</v>
      </c>
      <c r="L60" s="15"/>
      <c r="M60" s="16"/>
      <c r="N60" s="49"/>
      <c r="O60" s="21"/>
      <c r="P60" s="20"/>
      <c r="Q60" s="20"/>
    </row>
    <row r="61">
      <c r="A61" s="46"/>
      <c r="B61" s="21"/>
      <c r="C61" s="21"/>
      <c r="D61" s="21"/>
      <c r="E61" s="21"/>
      <c r="F61" s="21"/>
      <c r="G61" s="48"/>
      <c r="H61" s="48"/>
      <c r="I61" s="40" t="str">
        <f t="shared" si="2"/>
        <v/>
      </c>
      <c r="J61" s="14"/>
      <c r="K61" s="14" t="b">
        <v>0</v>
      </c>
      <c r="L61" s="15"/>
      <c r="M61" s="16"/>
      <c r="N61" s="49"/>
      <c r="O61" s="21"/>
      <c r="P61" s="20"/>
      <c r="Q61" s="20"/>
    </row>
    <row r="62">
      <c r="A62" s="46"/>
      <c r="B62" s="21"/>
      <c r="C62" s="21"/>
      <c r="D62" s="21"/>
      <c r="E62" s="21"/>
      <c r="F62" s="21"/>
      <c r="G62" s="48"/>
      <c r="H62" s="48"/>
      <c r="I62" s="40" t="str">
        <f t="shared" si="2"/>
        <v/>
      </c>
      <c r="J62" s="14"/>
      <c r="K62" s="14" t="b">
        <v>0</v>
      </c>
      <c r="L62" s="15"/>
      <c r="M62" s="16"/>
      <c r="N62" s="49"/>
      <c r="O62" s="21"/>
      <c r="P62" s="20"/>
      <c r="Q62" s="20"/>
    </row>
    <row r="63">
      <c r="A63" s="46"/>
      <c r="B63" s="21"/>
      <c r="C63" s="21"/>
      <c r="D63" s="21"/>
      <c r="E63" s="21"/>
      <c r="F63" s="21"/>
      <c r="G63" s="48"/>
      <c r="H63" s="48"/>
      <c r="I63" s="40" t="str">
        <f t="shared" si="2"/>
        <v/>
      </c>
      <c r="J63" s="14"/>
      <c r="K63" s="14" t="b">
        <v>0</v>
      </c>
      <c r="L63" s="15"/>
      <c r="M63" s="16"/>
      <c r="N63" s="49"/>
      <c r="O63" s="21"/>
      <c r="P63" s="20"/>
      <c r="Q63" s="20"/>
    </row>
    <row r="64">
      <c r="A64" s="46"/>
      <c r="B64" s="21"/>
      <c r="C64" s="21"/>
      <c r="D64" s="21"/>
      <c r="E64" s="21"/>
      <c r="F64" s="21"/>
      <c r="G64" s="48"/>
      <c r="H64" s="48"/>
      <c r="I64" s="40" t="str">
        <f t="shared" si="2"/>
        <v/>
      </c>
      <c r="J64" s="14"/>
      <c r="K64" s="14" t="b">
        <v>0</v>
      </c>
      <c r="L64" s="15"/>
      <c r="M64" s="16"/>
      <c r="N64" s="49"/>
      <c r="O64" s="21"/>
      <c r="P64" s="20"/>
      <c r="Q64" s="20"/>
    </row>
    <row r="65">
      <c r="A65" s="46"/>
      <c r="B65" s="21"/>
      <c r="C65" s="21"/>
      <c r="D65" s="21"/>
      <c r="E65" s="21"/>
      <c r="F65" s="21"/>
      <c r="G65" s="48"/>
      <c r="H65" s="48"/>
      <c r="I65" s="40" t="str">
        <f t="shared" si="2"/>
        <v/>
      </c>
      <c r="J65" s="14"/>
      <c r="K65" s="14" t="b">
        <v>0</v>
      </c>
      <c r="L65" s="15"/>
      <c r="M65" s="16"/>
      <c r="N65" s="49"/>
      <c r="O65" s="21"/>
      <c r="P65" s="20"/>
      <c r="Q65" s="20"/>
    </row>
    <row r="66">
      <c r="A66" s="46"/>
      <c r="B66" s="21"/>
      <c r="C66" s="21"/>
      <c r="D66" s="21"/>
      <c r="E66" s="21"/>
      <c r="F66" s="21"/>
      <c r="G66" s="48"/>
      <c r="H66" s="48"/>
      <c r="I66" s="40" t="str">
        <f t="shared" si="2"/>
        <v/>
      </c>
      <c r="J66" s="14"/>
      <c r="K66" s="14" t="b">
        <v>0</v>
      </c>
      <c r="L66" s="15"/>
      <c r="M66" s="16"/>
      <c r="N66" s="49"/>
      <c r="O66" s="21"/>
      <c r="P66" s="20"/>
      <c r="Q66" s="20"/>
    </row>
    <row r="67">
      <c r="A67" s="46"/>
      <c r="B67" s="21"/>
      <c r="C67" s="21"/>
      <c r="D67" s="21"/>
      <c r="E67" s="21"/>
      <c r="F67" s="21"/>
      <c r="G67" s="48"/>
      <c r="H67" s="48"/>
      <c r="I67" s="40" t="str">
        <f t="shared" si="2"/>
        <v/>
      </c>
      <c r="J67" s="14"/>
      <c r="K67" s="14" t="b">
        <v>0</v>
      </c>
      <c r="L67" s="15"/>
      <c r="M67" s="16"/>
      <c r="N67" s="49"/>
      <c r="O67" s="21"/>
      <c r="P67" s="20"/>
      <c r="Q67" s="20"/>
    </row>
    <row r="68">
      <c r="A68" s="46"/>
      <c r="B68" s="21"/>
      <c r="C68" s="21"/>
      <c r="D68" s="21"/>
      <c r="E68" s="21"/>
      <c r="F68" s="21"/>
      <c r="G68" s="48"/>
      <c r="H68" s="48"/>
      <c r="I68" s="40" t="str">
        <f t="shared" si="2"/>
        <v/>
      </c>
      <c r="J68" s="14"/>
      <c r="K68" s="14" t="b">
        <v>0</v>
      </c>
      <c r="L68" s="15"/>
      <c r="M68" s="16"/>
      <c r="N68" s="49"/>
      <c r="O68" s="21"/>
      <c r="P68" s="20"/>
      <c r="Q68" s="20"/>
    </row>
    <row r="69">
      <c r="A69" s="46"/>
      <c r="B69" s="21"/>
      <c r="C69" s="21"/>
      <c r="D69" s="21"/>
      <c r="E69" s="21"/>
      <c r="F69" s="21"/>
      <c r="G69" s="48"/>
      <c r="H69" s="48"/>
      <c r="I69" s="40" t="str">
        <f t="shared" si="2"/>
        <v/>
      </c>
      <c r="J69" s="14"/>
      <c r="K69" s="14" t="b">
        <v>0</v>
      </c>
      <c r="L69" s="15"/>
      <c r="M69" s="16"/>
      <c r="N69" s="49"/>
      <c r="O69" s="21"/>
      <c r="P69" s="20"/>
      <c r="Q69" s="20"/>
    </row>
    <row r="70">
      <c r="A70" s="46"/>
      <c r="B70" s="21"/>
      <c r="C70" s="21"/>
      <c r="D70" s="21"/>
      <c r="E70" s="21"/>
      <c r="F70" s="21"/>
      <c r="G70" s="48"/>
      <c r="H70" s="48"/>
      <c r="I70" s="40" t="str">
        <f t="shared" si="2"/>
        <v/>
      </c>
      <c r="J70" s="14"/>
      <c r="K70" s="14" t="b">
        <v>0</v>
      </c>
      <c r="L70" s="15"/>
      <c r="M70" s="16"/>
      <c r="N70" s="49"/>
      <c r="O70" s="21"/>
      <c r="P70" s="20"/>
      <c r="Q70" s="20"/>
    </row>
    <row r="71">
      <c r="A71" s="46"/>
      <c r="B71" s="21"/>
      <c r="C71" s="21"/>
      <c r="D71" s="21"/>
      <c r="E71" s="21"/>
      <c r="F71" s="21"/>
      <c r="G71" s="48"/>
      <c r="H71" s="48"/>
      <c r="I71" s="40" t="str">
        <f t="shared" si="2"/>
        <v/>
      </c>
      <c r="J71" s="14"/>
      <c r="K71" s="14" t="b">
        <v>0</v>
      </c>
      <c r="L71" s="15"/>
      <c r="M71" s="16"/>
      <c r="N71" s="49"/>
      <c r="O71" s="21"/>
      <c r="P71" s="20"/>
      <c r="Q71" s="20"/>
    </row>
    <row r="72">
      <c r="A72" s="46"/>
      <c r="B72" s="21"/>
      <c r="C72" s="21"/>
      <c r="D72" s="21"/>
      <c r="E72" s="21"/>
      <c r="F72" s="21"/>
      <c r="G72" s="48"/>
      <c r="H72" s="48"/>
      <c r="I72" s="40" t="str">
        <f t="shared" si="2"/>
        <v/>
      </c>
      <c r="J72" s="14"/>
      <c r="K72" s="14" t="b">
        <v>0</v>
      </c>
      <c r="L72" s="15"/>
      <c r="M72" s="16"/>
      <c r="N72" s="49"/>
      <c r="O72" s="21"/>
      <c r="P72" s="20"/>
      <c r="Q72" s="20"/>
    </row>
    <row r="73">
      <c r="A73" s="46"/>
      <c r="B73" s="21"/>
      <c r="C73" s="21"/>
      <c r="D73" s="21"/>
      <c r="E73" s="21"/>
      <c r="F73" s="21"/>
      <c r="G73" s="48"/>
      <c r="H73" s="48"/>
      <c r="I73" s="40" t="str">
        <f t="shared" si="2"/>
        <v/>
      </c>
      <c r="J73" s="14"/>
      <c r="K73" s="14" t="b">
        <v>0</v>
      </c>
      <c r="L73" s="15"/>
      <c r="M73" s="16"/>
      <c r="N73" s="49"/>
      <c r="O73" s="21"/>
      <c r="P73" s="20"/>
      <c r="Q73" s="20"/>
    </row>
    <row r="74">
      <c r="A74" s="46"/>
      <c r="B74" s="21"/>
      <c r="C74" s="21"/>
      <c r="D74" s="21"/>
      <c r="E74" s="21"/>
      <c r="F74" s="21"/>
      <c r="G74" s="48"/>
      <c r="H74" s="48"/>
      <c r="I74" s="40" t="str">
        <f t="shared" si="2"/>
        <v/>
      </c>
      <c r="J74" s="14"/>
      <c r="K74" s="14" t="b">
        <v>0</v>
      </c>
      <c r="L74" s="15"/>
      <c r="M74" s="16"/>
      <c r="N74" s="49"/>
      <c r="O74" s="21"/>
      <c r="P74" s="20"/>
      <c r="Q74" s="20"/>
    </row>
    <row r="75">
      <c r="A75" s="46"/>
      <c r="B75" s="21"/>
      <c r="C75" s="21"/>
      <c r="D75" s="21"/>
      <c r="E75" s="21"/>
      <c r="F75" s="21"/>
      <c r="G75" s="48"/>
      <c r="H75" s="48"/>
      <c r="I75" s="40" t="str">
        <f t="shared" si="2"/>
        <v/>
      </c>
      <c r="J75" s="14"/>
      <c r="K75" s="14" t="b">
        <v>0</v>
      </c>
      <c r="L75" s="15"/>
      <c r="M75" s="16"/>
      <c r="N75" s="49"/>
      <c r="O75" s="21"/>
      <c r="P75" s="20"/>
      <c r="Q75" s="20"/>
    </row>
    <row r="76">
      <c r="A76" s="46"/>
      <c r="B76" s="21"/>
      <c r="C76" s="21"/>
      <c r="D76" s="21"/>
      <c r="E76" s="21"/>
      <c r="F76" s="21"/>
      <c r="G76" s="48"/>
      <c r="H76" s="48"/>
      <c r="I76" s="40" t="str">
        <f t="shared" si="2"/>
        <v/>
      </c>
      <c r="J76" s="14"/>
      <c r="K76" s="14" t="b">
        <v>0</v>
      </c>
      <c r="L76" s="15"/>
      <c r="M76" s="16"/>
      <c r="N76" s="49"/>
      <c r="O76" s="21"/>
      <c r="P76" s="20"/>
      <c r="Q76" s="20"/>
    </row>
    <row r="77">
      <c r="A77" s="46"/>
      <c r="B77" s="21"/>
      <c r="C77" s="21"/>
      <c r="D77" s="21"/>
      <c r="E77" s="21"/>
      <c r="F77" s="21"/>
      <c r="G77" s="48"/>
      <c r="H77" s="48"/>
      <c r="I77" s="40" t="str">
        <f t="shared" si="2"/>
        <v/>
      </c>
      <c r="J77" s="14"/>
      <c r="K77" s="14" t="b">
        <v>0</v>
      </c>
      <c r="L77" s="15"/>
      <c r="M77" s="16"/>
      <c r="N77" s="49"/>
      <c r="O77" s="21"/>
      <c r="P77" s="20"/>
      <c r="Q77" s="20"/>
    </row>
    <row r="78">
      <c r="A78" s="46"/>
      <c r="B78" s="21"/>
      <c r="C78" s="21"/>
      <c r="D78" s="21"/>
      <c r="E78" s="21"/>
      <c r="F78" s="21"/>
      <c r="G78" s="48"/>
      <c r="H78" s="48"/>
      <c r="I78" s="40" t="str">
        <f t="shared" si="2"/>
        <v/>
      </c>
      <c r="J78" s="14"/>
      <c r="K78" s="14" t="b">
        <v>0</v>
      </c>
      <c r="L78" s="15"/>
      <c r="M78" s="16"/>
      <c r="N78" s="49"/>
      <c r="O78" s="21"/>
      <c r="P78" s="20"/>
      <c r="Q78" s="20"/>
    </row>
    <row r="79">
      <c r="A79" s="46"/>
      <c r="B79" s="21"/>
      <c r="C79" s="21"/>
      <c r="D79" s="21"/>
      <c r="E79" s="21"/>
      <c r="F79" s="21"/>
      <c r="G79" s="48"/>
      <c r="H79" s="48"/>
      <c r="I79" s="40" t="str">
        <f t="shared" si="2"/>
        <v/>
      </c>
      <c r="J79" s="14"/>
      <c r="K79" s="14" t="b">
        <v>0</v>
      </c>
      <c r="L79" s="15"/>
      <c r="M79" s="16"/>
      <c r="N79" s="49"/>
      <c r="O79" s="21"/>
      <c r="P79" s="20"/>
      <c r="Q79" s="20"/>
    </row>
    <row r="80">
      <c r="A80" s="46"/>
      <c r="B80" s="21"/>
      <c r="C80" s="21"/>
      <c r="D80" s="21"/>
      <c r="E80" s="21"/>
      <c r="F80" s="21"/>
      <c r="G80" s="48"/>
      <c r="H80" s="48"/>
      <c r="I80" s="40" t="str">
        <f t="shared" si="2"/>
        <v/>
      </c>
      <c r="J80" s="14"/>
      <c r="K80" s="14" t="b">
        <v>0</v>
      </c>
      <c r="L80" s="15"/>
      <c r="M80" s="16"/>
      <c r="N80" s="49"/>
      <c r="O80" s="21"/>
      <c r="P80" s="20"/>
      <c r="Q80" s="20"/>
    </row>
    <row r="81">
      <c r="A81" s="46"/>
      <c r="B81" s="21"/>
      <c r="C81" s="21"/>
      <c r="D81" s="21"/>
      <c r="E81" s="21"/>
      <c r="F81" s="21"/>
      <c r="G81" s="48"/>
      <c r="H81" s="48"/>
      <c r="I81" s="40" t="str">
        <f t="shared" si="2"/>
        <v/>
      </c>
      <c r="J81" s="14"/>
      <c r="K81" s="14" t="b">
        <v>0</v>
      </c>
      <c r="L81" s="15"/>
      <c r="M81" s="16"/>
      <c r="N81" s="49"/>
      <c r="O81" s="21"/>
      <c r="P81" s="20"/>
      <c r="Q81" s="20"/>
    </row>
    <row r="82">
      <c r="A82" s="46"/>
      <c r="B82" s="21"/>
      <c r="C82" s="21"/>
      <c r="D82" s="21"/>
      <c r="E82" s="21"/>
      <c r="F82" s="21"/>
      <c r="G82" s="48"/>
      <c r="H82" s="48"/>
      <c r="I82" s="40" t="str">
        <f t="shared" si="2"/>
        <v/>
      </c>
      <c r="J82" s="14"/>
      <c r="K82" s="14" t="b">
        <v>0</v>
      </c>
      <c r="L82" s="15"/>
      <c r="M82" s="16"/>
      <c r="N82" s="49"/>
      <c r="O82" s="21"/>
      <c r="P82" s="20"/>
      <c r="Q82" s="20"/>
    </row>
    <row r="83">
      <c r="A83" s="46"/>
      <c r="B83" s="21"/>
      <c r="C83" s="21"/>
      <c r="D83" s="21"/>
      <c r="E83" s="21"/>
      <c r="F83" s="21"/>
      <c r="G83" s="48"/>
      <c r="H83" s="48"/>
      <c r="I83" s="40" t="str">
        <f t="shared" si="2"/>
        <v/>
      </c>
      <c r="J83" s="14"/>
      <c r="K83" s="14" t="b">
        <v>0</v>
      </c>
      <c r="L83" s="15"/>
      <c r="M83" s="16"/>
      <c r="N83" s="49"/>
      <c r="O83" s="21"/>
      <c r="P83" s="20"/>
      <c r="Q83" s="20"/>
    </row>
    <row r="84">
      <c r="A84" s="46"/>
      <c r="B84" s="21"/>
      <c r="C84" s="21"/>
      <c r="D84" s="21"/>
      <c r="E84" s="21"/>
      <c r="F84" s="21"/>
      <c r="G84" s="48"/>
      <c r="H84" s="48"/>
      <c r="I84" s="40" t="str">
        <f t="shared" si="2"/>
        <v/>
      </c>
      <c r="J84" s="14"/>
      <c r="K84" s="14" t="b">
        <v>0</v>
      </c>
      <c r="L84" s="15"/>
      <c r="M84" s="16"/>
      <c r="N84" s="49"/>
      <c r="O84" s="21"/>
      <c r="P84" s="20"/>
      <c r="Q84" s="20"/>
    </row>
    <row r="85">
      <c r="A85" s="46"/>
      <c r="B85" s="21"/>
      <c r="C85" s="21"/>
      <c r="D85" s="21"/>
      <c r="E85" s="21"/>
      <c r="F85" s="21"/>
      <c r="G85" s="48"/>
      <c r="H85" s="48"/>
      <c r="I85" s="40" t="str">
        <f t="shared" si="2"/>
        <v/>
      </c>
      <c r="J85" s="14"/>
      <c r="K85" s="14" t="b">
        <v>0</v>
      </c>
      <c r="L85" s="15"/>
      <c r="M85" s="16"/>
      <c r="N85" s="49"/>
      <c r="O85" s="21"/>
      <c r="P85" s="20"/>
      <c r="Q85" s="20"/>
    </row>
    <row r="86">
      <c r="A86" s="46"/>
      <c r="B86" s="21"/>
      <c r="C86" s="21"/>
      <c r="D86" s="21"/>
      <c r="E86" s="21"/>
      <c r="F86" s="21"/>
      <c r="G86" s="48"/>
      <c r="H86" s="48"/>
      <c r="I86" s="40" t="str">
        <f t="shared" si="2"/>
        <v/>
      </c>
      <c r="J86" s="14"/>
      <c r="K86" s="14" t="b">
        <v>0</v>
      </c>
      <c r="L86" s="15"/>
      <c r="M86" s="16"/>
      <c r="N86" s="49"/>
      <c r="O86" s="21"/>
      <c r="P86" s="20"/>
      <c r="Q86" s="20"/>
    </row>
    <row r="87">
      <c r="A87" s="46"/>
      <c r="B87" s="21"/>
      <c r="C87" s="21"/>
      <c r="D87" s="21"/>
      <c r="E87" s="21"/>
      <c r="F87" s="21"/>
      <c r="G87" s="48"/>
      <c r="H87" s="48"/>
      <c r="I87" s="40" t="str">
        <f t="shared" si="2"/>
        <v/>
      </c>
      <c r="J87" s="14"/>
      <c r="K87" s="14" t="b">
        <v>0</v>
      </c>
      <c r="L87" s="15"/>
      <c r="M87" s="16"/>
      <c r="N87" s="49"/>
      <c r="O87" s="21"/>
      <c r="P87" s="20"/>
      <c r="Q87" s="20"/>
    </row>
    <row r="88">
      <c r="A88" s="46"/>
      <c r="B88" s="21"/>
      <c r="C88" s="21"/>
      <c r="D88" s="21"/>
      <c r="E88" s="21"/>
      <c r="F88" s="21"/>
      <c r="G88" s="48"/>
      <c r="H88" s="48"/>
      <c r="I88" s="40" t="str">
        <f t="shared" si="2"/>
        <v/>
      </c>
      <c r="J88" s="14"/>
      <c r="K88" s="14" t="b">
        <v>0</v>
      </c>
      <c r="L88" s="15"/>
      <c r="M88" s="16"/>
      <c r="N88" s="49"/>
      <c r="O88" s="21"/>
      <c r="P88" s="20"/>
      <c r="Q88" s="20"/>
    </row>
    <row r="89">
      <c r="A89" s="46"/>
      <c r="B89" s="21"/>
      <c r="C89" s="21"/>
      <c r="D89" s="21"/>
      <c r="E89" s="21"/>
      <c r="F89" s="21"/>
      <c r="G89" s="48"/>
      <c r="H89" s="48"/>
      <c r="I89" s="40" t="str">
        <f t="shared" si="2"/>
        <v/>
      </c>
      <c r="J89" s="14"/>
      <c r="K89" s="14" t="b">
        <v>0</v>
      </c>
      <c r="L89" s="15"/>
      <c r="M89" s="16"/>
      <c r="N89" s="49"/>
      <c r="O89" s="21"/>
      <c r="P89" s="20"/>
      <c r="Q89" s="20"/>
    </row>
    <row r="90">
      <c r="A90" s="46"/>
      <c r="B90" s="21"/>
      <c r="C90" s="21"/>
      <c r="D90" s="21"/>
      <c r="E90" s="21"/>
      <c r="F90" s="21"/>
      <c r="G90" s="48"/>
      <c r="H90" s="48"/>
      <c r="I90" s="40" t="str">
        <f t="shared" si="2"/>
        <v/>
      </c>
      <c r="J90" s="14"/>
      <c r="K90" s="14" t="b">
        <v>0</v>
      </c>
      <c r="L90" s="15"/>
      <c r="M90" s="16"/>
      <c r="N90" s="49"/>
      <c r="O90" s="21"/>
      <c r="P90" s="20"/>
      <c r="Q90" s="20"/>
    </row>
    <row r="91">
      <c r="A91" s="46"/>
      <c r="B91" s="21"/>
      <c r="C91" s="21"/>
      <c r="D91" s="21"/>
      <c r="E91" s="21"/>
      <c r="F91" s="21"/>
      <c r="G91" s="48"/>
      <c r="H91" s="48"/>
      <c r="I91" s="40" t="str">
        <f t="shared" si="2"/>
        <v/>
      </c>
      <c r="J91" s="14"/>
      <c r="K91" s="14" t="b">
        <v>0</v>
      </c>
      <c r="L91" s="15"/>
      <c r="M91" s="16"/>
      <c r="N91" s="49"/>
      <c r="O91" s="21"/>
      <c r="P91" s="20"/>
      <c r="Q91" s="20"/>
    </row>
    <row r="92">
      <c r="A92" s="46"/>
      <c r="B92" s="21"/>
      <c r="C92" s="21"/>
      <c r="D92" s="21"/>
      <c r="E92" s="21"/>
      <c r="F92" s="21"/>
      <c r="G92" s="48"/>
      <c r="H92" s="48"/>
      <c r="I92" s="40" t="str">
        <f t="shared" si="2"/>
        <v/>
      </c>
      <c r="J92" s="14"/>
      <c r="K92" s="14" t="b">
        <v>0</v>
      </c>
      <c r="L92" s="15"/>
      <c r="M92" s="16"/>
      <c r="N92" s="49"/>
      <c r="O92" s="21"/>
      <c r="P92" s="20"/>
      <c r="Q92" s="20"/>
    </row>
    <row r="93">
      <c r="A93" s="46"/>
      <c r="B93" s="21"/>
      <c r="C93" s="21"/>
      <c r="D93" s="21"/>
      <c r="E93" s="21"/>
      <c r="F93" s="21"/>
      <c r="G93" s="48"/>
      <c r="H93" s="48"/>
      <c r="I93" s="40" t="str">
        <f t="shared" si="2"/>
        <v/>
      </c>
      <c r="J93" s="14"/>
      <c r="K93" s="14" t="b">
        <v>0</v>
      </c>
      <c r="L93" s="15"/>
      <c r="M93" s="16"/>
      <c r="N93" s="49"/>
      <c r="O93" s="21"/>
      <c r="P93" s="20"/>
      <c r="Q93" s="20"/>
    </row>
    <row r="94">
      <c r="A94" s="46"/>
      <c r="B94" s="21"/>
      <c r="C94" s="21"/>
      <c r="D94" s="21"/>
      <c r="E94" s="21"/>
      <c r="F94" s="21"/>
      <c r="G94" s="48"/>
      <c r="H94" s="48"/>
      <c r="I94" s="40" t="str">
        <f t="shared" si="2"/>
        <v/>
      </c>
      <c r="J94" s="14"/>
      <c r="K94" s="14" t="b">
        <v>0</v>
      </c>
      <c r="L94" s="15"/>
      <c r="M94" s="16"/>
      <c r="N94" s="49"/>
      <c r="O94" s="21"/>
      <c r="P94" s="20"/>
      <c r="Q94" s="20"/>
    </row>
    <row r="95">
      <c r="A95" s="46"/>
      <c r="B95" s="21"/>
      <c r="C95" s="21"/>
      <c r="D95" s="21"/>
      <c r="E95" s="21"/>
      <c r="F95" s="21"/>
      <c r="G95" s="48"/>
      <c r="H95" s="48"/>
      <c r="I95" s="40" t="str">
        <f t="shared" si="2"/>
        <v/>
      </c>
      <c r="J95" s="14"/>
      <c r="K95" s="14" t="b">
        <v>0</v>
      </c>
      <c r="L95" s="15"/>
      <c r="M95" s="16"/>
      <c r="N95" s="49"/>
      <c r="O95" s="21"/>
      <c r="P95" s="20"/>
      <c r="Q95" s="20"/>
    </row>
    <row r="96">
      <c r="A96" s="46"/>
      <c r="B96" s="21"/>
      <c r="C96" s="21"/>
      <c r="D96" s="21"/>
      <c r="E96" s="21"/>
      <c r="F96" s="21"/>
      <c r="G96" s="48"/>
      <c r="H96" s="48"/>
      <c r="I96" s="40" t="str">
        <f t="shared" si="2"/>
        <v/>
      </c>
      <c r="J96" s="14"/>
      <c r="K96" s="14" t="b">
        <v>0</v>
      </c>
      <c r="L96" s="15"/>
      <c r="M96" s="16"/>
      <c r="N96" s="49"/>
      <c r="O96" s="21"/>
      <c r="P96" s="20"/>
      <c r="Q96" s="20"/>
    </row>
    <row r="97">
      <c r="A97" s="46"/>
      <c r="B97" s="21"/>
      <c r="C97" s="21"/>
      <c r="D97" s="21"/>
      <c r="E97" s="21"/>
      <c r="F97" s="21"/>
      <c r="G97" s="48"/>
      <c r="H97" s="48"/>
      <c r="I97" s="40" t="str">
        <f t="shared" si="2"/>
        <v/>
      </c>
      <c r="J97" s="14"/>
      <c r="K97" s="14" t="b">
        <v>0</v>
      </c>
      <c r="L97" s="15"/>
      <c r="M97" s="16"/>
      <c r="N97" s="49"/>
      <c r="O97" s="21"/>
      <c r="P97" s="20"/>
      <c r="Q97" s="20"/>
    </row>
    <row r="98">
      <c r="A98" s="46"/>
      <c r="B98" s="21"/>
      <c r="C98" s="21"/>
      <c r="D98" s="21"/>
      <c r="E98" s="21"/>
      <c r="F98" s="21"/>
      <c r="G98" s="48"/>
      <c r="H98" s="48"/>
      <c r="I98" s="40" t="str">
        <f t="shared" si="2"/>
        <v/>
      </c>
      <c r="J98" s="14"/>
      <c r="K98" s="14" t="b">
        <v>0</v>
      </c>
      <c r="L98" s="15"/>
      <c r="M98" s="16"/>
      <c r="N98" s="49"/>
      <c r="O98" s="21"/>
      <c r="P98" s="20"/>
      <c r="Q98" s="20"/>
    </row>
    <row r="99">
      <c r="A99" s="46"/>
      <c r="B99" s="21"/>
      <c r="C99" s="21"/>
      <c r="D99" s="21"/>
      <c r="E99" s="21"/>
      <c r="F99" s="21"/>
      <c r="G99" s="48"/>
      <c r="H99" s="48"/>
      <c r="I99" s="40" t="str">
        <f t="shared" si="2"/>
        <v/>
      </c>
      <c r="J99" s="14"/>
      <c r="K99" s="14" t="b">
        <v>0</v>
      </c>
      <c r="L99" s="15"/>
      <c r="M99" s="16"/>
      <c r="N99" s="49"/>
      <c r="O99" s="21"/>
      <c r="P99" s="20"/>
      <c r="Q99" s="20"/>
    </row>
    <row r="100">
      <c r="A100" s="46"/>
      <c r="B100" s="21"/>
      <c r="C100" s="21"/>
      <c r="D100" s="21"/>
      <c r="E100" s="21"/>
      <c r="F100" s="21"/>
      <c r="G100" s="48"/>
      <c r="H100" s="48"/>
      <c r="I100" s="40" t="str">
        <f t="shared" si="2"/>
        <v/>
      </c>
      <c r="J100" s="14"/>
      <c r="K100" s="14" t="b">
        <v>0</v>
      </c>
      <c r="L100" s="15"/>
      <c r="M100" s="16"/>
      <c r="N100" s="49"/>
      <c r="O100" s="21"/>
      <c r="P100" s="20"/>
      <c r="Q100" s="20"/>
    </row>
    <row r="101">
      <c r="A101" s="46"/>
      <c r="B101" s="21"/>
      <c r="C101" s="21"/>
      <c r="D101" s="21"/>
      <c r="E101" s="21"/>
      <c r="F101" s="21"/>
      <c r="G101" s="48"/>
      <c r="H101" s="48"/>
      <c r="I101" s="40" t="str">
        <f t="shared" si="2"/>
        <v/>
      </c>
      <c r="J101" s="14"/>
      <c r="K101" s="14" t="b">
        <v>0</v>
      </c>
      <c r="L101" s="15"/>
      <c r="M101" s="16"/>
      <c r="N101" s="49"/>
      <c r="O101" s="21"/>
      <c r="P101" s="20"/>
      <c r="Q101" s="20"/>
    </row>
    <row r="102">
      <c r="A102" s="46"/>
      <c r="B102" s="21"/>
      <c r="C102" s="21"/>
      <c r="D102" s="21"/>
      <c r="E102" s="21"/>
      <c r="F102" s="21"/>
      <c r="G102" s="48"/>
      <c r="H102" s="48"/>
      <c r="I102" s="40" t="str">
        <f t="shared" si="2"/>
        <v/>
      </c>
      <c r="J102" s="14"/>
      <c r="K102" s="14" t="b">
        <v>0</v>
      </c>
      <c r="L102" s="15"/>
      <c r="M102" s="16"/>
      <c r="N102" s="49"/>
      <c r="O102" s="21"/>
      <c r="P102" s="20"/>
      <c r="Q102" s="20"/>
    </row>
    <row r="103">
      <c r="A103" s="46"/>
      <c r="B103" s="21"/>
      <c r="C103" s="21"/>
      <c r="D103" s="21"/>
      <c r="E103" s="21"/>
      <c r="F103" s="21"/>
      <c r="G103" s="48"/>
      <c r="H103" s="48"/>
      <c r="I103" s="40" t="str">
        <f t="shared" si="2"/>
        <v/>
      </c>
      <c r="J103" s="14"/>
      <c r="K103" s="14" t="b">
        <v>0</v>
      </c>
      <c r="L103" s="15"/>
      <c r="M103" s="16"/>
      <c r="N103" s="49"/>
      <c r="O103" s="21"/>
      <c r="P103" s="20"/>
      <c r="Q103" s="20"/>
    </row>
    <row r="104">
      <c r="A104" s="46"/>
      <c r="B104" s="21"/>
      <c r="C104" s="21"/>
      <c r="D104" s="21"/>
      <c r="E104" s="21"/>
      <c r="F104" s="21"/>
      <c r="G104" s="48"/>
      <c r="H104" s="48"/>
      <c r="I104" s="40" t="str">
        <f t="shared" si="2"/>
        <v/>
      </c>
      <c r="J104" s="14"/>
      <c r="K104" s="14" t="b">
        <v>0</v>
      </c>
      <c r="L104" s="15"/>
      <c r="M104" s="16"/>
      <c r="N104" s="49"/>
      <c r="O104" s="21"/>
      <c r="P104" s="20"/>
      <c r="Q104" s="20"/>
    </row>
    <row r="105">
      <c r="A105" s="46"/>
      <c r="B105" s="21"/>
      <c r="C105" s="21"/>
      <c r="D105" s="21"/>
      <c r="E105" s="21"/>
      <c r="F105" s="21"/>
      <c r="G105" s="48"/>
      <c r="H105" s="48"/>
      <c r="I105" s="40" t="str">
        <f t="shared" si="2"/>
        <v/>
      </c>
      <c r="J105" s="14"/>
      <c r="K105" s="14" t="b">
        <v>0</v>
      </c>
      <c r="L105" s="15"/>
      <c r="M105" s="16"/>
      <c r="N105" s="49"/>
      <c r="O105" s="21"/>
      <c r="P105" s="20"/>
      <c r="Q105" s="20"/>
    </row>
    <row r="106">
      <c r="A106" s="46"/>
      <c r="B106" s="21"/>
      <c r="C106" s="21"/>
      <c r="D106" s="21"/>
      <c r="E106" s="21"/>
      <c r="F106" s="21"/>
      <c r="G106" s="48"/>
      <c r="H106" s="48"/>
      <c r="I106" s="40" t="str">
        <f t="shared" si="2"/>
        <v/>
      </c>
      <c r="J106" s="14"/>
      <c r="K106" s="14" t="b">
        <v>0</v>
      </c>
      <c r="L106" s="15"/>
      <c r="M106" s="16"/>
      <c r="N106" s="49"/>
      <c r="O106" s="21"/>
      <c r="P106" s="20"/>
      <c r="Q106" s="20"/>
    </row>
    <row r="107">
      <c r="A107" s="46"/>
      <c r="B107" s="21"/>
      <c r="C107" s="21"/>
      <c r="D107" s="21"/>
      <c r="E107" s="21"/>
      <c r="F107" s="21"/>
      <c r="G107" s="48"/>
      <c r="H107" s="48"/>
      <c r="I107" s="40" t="str">
        <f t="shared" si="2"/>
        <v/>
      </c>
      <c r="J107" s="14"/>
      <c r="K107" s="14" t="b">
        <v>0</v>
      </c>
      <c r="L107" s="15"/>
      <c r="M107" s="16"/>
      <c r="N107" s="49"/>
      <c r="O107" s="21"/>
      <c r="P107" s="20"/>
      <c r="Q107" s="20"/>
    </row>
    <row r="108">
      <c r="A108" s="46"/>
      <c r="B108" s="21"/>
      <c r="C108" s="21"/>
      <c r="D108" s="21"/>
      <c r="E108" s="21"/>
      <c r="F108" s="21"/>
      <c r="G108" s="48"/>
      <c r="H108" s="48"/>
      <c r="I108" s="40" t="str">
        <f t="shared" si="2"/>
        <v/>
      </c>
      <c r="J108" s="14"/>
      <c r="K108" s="14" t="b">
        <v>0</v>
      </c>
      <c r="L108" s="15"/>
      <c r="M108" s="16"/>
      <c r="N108" s="49"/>
      <c r="O108" s="21"/>
      <c r="P108" s="20"/>
      <c r="Q108" s="20"/>
    </row>
    <row r="109">
      <c r="A109" s="46"/>
      <c r="B109" s="21"/>
      <c r="C109" s="21"/>
      <c r="D109" s="21"/>
      <c r="E109" s="21"/>
      <c r="F109" s="21"/>
      <c r="G109" s="48"/>
      <c r="H109" s="48"/>
      <c r="I109" s="40" t="str">
        <f t="shared" si="2"/>
        <v/>
      </c>
      <c r="J109" s="14"/>
      <c r="K109" s="14" t="b">
        <v>0</v>
      </c>
      <c r="L109" s="15"/>
      <c r="M109" s="16"/>
      <c r="N109" s="49"/>
      <c r="O109" s="21"/>
      <c r="P109" s="20"/>
      <c r="Q109" s="20"/>
    </row>
    <row r="110">
      <c r="A110" s="46"/>
      <c r="B110" s="21"/>
      <c r="C110" s="21"/>
      <c r="D110" s="21"/>
      <c r="E110" s="21"/>
      <c r="F110" s="21"/>
      <c r="G110" s="48"/>
      <c r="H110" s="48"/>
      <c r="I110" s="40" t="str">
        <f t="shared" si="2"/>
        <v/>
      </c>
      <c r="J110" s="14"/>
      <c r="K110" s="14" t="b">
        <v>0</v>
      </c>
      <c r="L110" s="15"/>
      <c r="M110" s="16"/>
      <c r="N110" s="49"/>
      <c r="O110" s="21"/>
      <c r="P110" s="20"/>
      <c r="Q110" s="20"/>
    </row>
    <row r="111">
      <c r="A111" s="46"/>
      <c r="B111" s="21"/>
      <c r="C111" s="21"/>
      <c r="D111" s="21"/>
      <c r="E111" s="21"/>
      <c r="F111" s="21"/>
      <c r="G111" s="48"/>
      <c r="H111" s="48"/>
      <c r="I111" s="40" t="str">
        <f t="shared" si="2"/>
        <v/>
      </c>
      <c r="J111" s="14"/>
      <c r="K111" s="14" t="b">
        <v>0</v>
      </c>
      <c r="L111" s="15"/>
      <c r="M111" s="16"/>
      <c r="N111" s="49"/>
      <c r="O111" s="21"/>
      <c r="P111" s="20"/>
      <c r="Q111" s="20"/>
    </row>
    <row r="112">
      <c r="A112" s="46"/>
      <c r="B112" s="21"/>
      <c r="C112" s="21"/>
      <c r="D112" s="21"/>
      <c r="E112" s="21"/>
      <c r="F112" s="21"/>
      <c r="G112" s="48"/>
      <c r="H112" s="48"/>
      <c r="I112" s="40" t="str">
        <f t="shared" si="2"/>
        <v/>
      </c>
      <c r="J112" s="14"/>
      <c r="K112" s="14" t="b">
        <v>0</v>
      </c>
      <c r="L112" s="15"/>
      <c r="M112" s="16"/>
      <c r="N112" s="49"/>
      <c r="O112" s="21"/>
      <c r="P112" s="20"/>
      <c r="Q112" s="20"/>
    </row>
    <row r="113">
      <c r="A113" s="46"/>
      <c r="B113" s="21"/>
      <c r="C113" s="21"/>
      <c r="D113" s="21"/>
      <c r="E113" s="21"/>
      <c r="F113" s="21"/>
      <c r="G113" s="48"/>
      <c r="H113" s="48"/>
      <c r="I113" s="40" t="str">
        <f t="shared" si="2"/>
        <v/>
      </c>
      <c r="J113" s="14"/>
      <c r="K113" s="14" t="b">
        <v>0</v>
      </c>
      <c r="L113" s="15"/>
      <c r="M113" s="16"/>
      <c r="N113" s="49"/>
      <c r="O113" s="21"/>
      <c r="P113" s="20"/>
      <c r="Q113" s="20"/>
    </row>
    <row r="114">
      <c r="A114" s="46"/>
      <c r="B114" s="21"/>
      <c r="C114" s="21"/>
      <c r="D114" s="21"/>
      <c r="E114" s="21"/>
      <c r="F114" s="21"/>
      <c r="G114" s="48"/>
      <c r="H114" s="48"/>
      <c r="I114" s="40" t="str">
        <f t="shared" si="2"/>
        <v/>
      </c>
      <c r="J114" s="14"/>
      <c r="K114" s="14" t="b">
        <v>0</v>
      </c>
      <c r="L114" s="15"/>
      <c r="M114" s="16"/>
      <c r="N114" s="49"/>
      <c r="O114" s="21"/>
      <c r="P114" s="20"/>
      <c r="Q114" s="20"/>
    </row>
    <row r="115">
      <c r="A115" s="46"/>
      <c r="B115" s="21"/>
      <c r="C115" s="21"/>
      <c r="D115" s="21"/>
      <c r="E115" s="21"/>
      <c r="F115" s="21"/>
      <c r="G115" s="48"/>
      <c r="H115" s="48"/>
      <c r="I115" s="40" t="str">
        <f t="shared" si="2"/>
        <v/>
      </c>
      <c r="J115" s="14"/>
      <c r="K115" s="14" t="b">
        <v>0</v>
      </c>
      <c r="L115" s="15"/>
      <c r="M115" s="16"/>
      <c r="N115" s="49"/>
      <c r="O115" s="21"/>
      <c r="P115" s="20"/>
      <c r="Q115" s="20"/>
    </row>
    <row r="116">
      <c r="A116" s="46"/>
      <c r="B116" s="21"/>
      <c r="C116" s="21"/>
      <c r="D116" s="21"/>
      <c r="E116" s="21"/>
      <c r="F116" s="21"/>
      <c r="G116" s="48"/>
      <c r="H116" s="48"/>
      <c r="I116" s="40" t="str">
        <f t="shared" si="2"/>
        <v/>
      </c>
      <c r="J116" s="14"/>
      <c r="K116" s="14" t="b">
        <v>0</v>
      </c>
      <c r="L116" s="15"/>
      <c r="M116" s="16"/>
      <c r="N116" s="49"/>
      <c r="O116" s="21"/>
      <c r="P116" s="20"/>
      <c r="Q116" s="20"/>
    </row>
    <row r="117">
      <c r="A117" s="46"/>
      <c r="B117" s="21"/>
      <c r="C117" s="21"/>
      <c r="D117" s="21"/>
      <c r="E117" s="21"/>
      <c r="F117" s="21"/>
      <c r="G117" s="48"/>
      <c r="H117" s="48"/>
      <c r="I117" s="40" t="str">
        <f t="shared" si="2"/>
        <v/>
      </c>
      <c r="J117" s="14"/>
      <c r="K117" s="14" t="b">
        <v>0</v>
      </c>
      <c r="L117" s="15"/>
      <c r="M117" s="16"/>
      <c r="N117" s="49"/>
      <c r="O117" s="21"/>
      <c r="P117" s="20"/>
      <c r="Q117" s="20"/>
    </row>
    <row r="118">
      <c r="A118" s="46"/>
      <c r="B118" s="21"/>
      <c r="C118" s="21"/>
      <c r="D118" s="21"/>
      <c r="E118" s="21"/>
      <c r="F118" s="21"/>
      <c r="G118" s="48"/>
      <c r="H118" s="48"/>
      <c r="I118" s="40" t="str">
        <f t="shared" si="2"/>
        <v/>
      </c>
      <c r="J118" s="14"/>
      <c r="K118" s="14" t="b">
        <v>0</v>
      </c>
      <c r="L118" s="15"/>
      <c r="M118" s="16"/>
      <c r="N118" s="49"/>
      <c r="O118" s="21"/>
      <c r="P118" s="20"/>
      <c r="Q118" s="20"/>
    </row>
    <row r="119">
      <c r="A119" s="46"/>
      <c r="B119" s="21"/>
      <c r="C119" s="21"/>
      <c r="D119" s="21"/>
      <c r="E119" s="21"/>
      <c r="F119" s="21"/>
      <c r="G119" s="48"/>
      <c r="H119" s="48"/>
      <c r="I119" s="40" t="str">
        <f t="shared" si="2"/>
        <v/>
      </c>
      <c r="J119" s="14"/>
      <c r="K119" s="14" t="b">
        <v>0</v>
      </c>
      <c r="L119" s="15"/>
      <c r="M119" s="16"/>
      <c r="N119" s="49"/>
      <c r="O119" s="21"/>
      <c r="P119" s="20"/>
      <c r="Q119" s="20"/>
    </row>
    <row r="120">
      <c r="A120" s="46"/>
      <c r="B120" s="21"/>
      <c r="C120" s="21"/>
      <c r="D120" s="21"/>
      <c r="E120" s="21"/>
      <c r="F120" s="21"/>
      <c r="G120" s="48"/>
      <c r="H120" s="48"/>
      <c r="I120" s="40" t="str">
        <f t="shared" si="2"/>
        <v/>
      </c>
      <c r="J120" s="14"/>
      <c r="K120" s="14" t="b">
        <v>0</v>
      </c>
      <c r="L120" s="15"/>
      <c r="M120" s="16"/>
      <c r="N120" s="49"/>
      <c r="O120" s="21"/>
      <c r="P120" s="20"/>
      <c r="Q120" s="20"/>
    </row>
    <row r="121">
      <c r="A121" s="46"/>
      <c r="B121" s="21"/>
      <c r="C121" s="21"/>
      <c r="D121" s="21"/>
      <c r="E121" s="21"/>
      <c r="F121" s="21"/>
      <c r="G121" s="48"/>
      <c r="H121" s="48"/>
      <c r="I121" s="40" t="str">
        <f t="shared" si="2"/>
        <v/>
      </c>
      <c r="J121" s="14"/>
      <c r="K121" s="14" t="b">
        <v>0</v>
      </c>
      <c r="L121" s="15"/>
      <c r="M121" s="16"/>
      <c r="N121" s="49"/>
      <c r="O121" s="21"/>
      <c r="P121" s="20"/>
      <c r="Q121" s="20"/>
    </row>
    <row r="122">
      <c r="A122" s="46"/>
      <c r="B122" s="21"/>
      <c r="C122" s="21"/>
      <c r="D122" s="21"/>
      <c r="E122" s="21"/>
      <c r="F122" s="21"/>
      <c r="G122" s="48"/>
      <c r="H122" s="48"/>
      <c r="I122" s="40" t="str">
        <f t="shared" si="2"/>
        <v/>
      </c>
      <c r="J122" s="14"/>
      <c r="K122" s="14" t="b">
        <v>0</v>
      </c>
      <c r="L122" s="15"/>
      <c r="M122" s="16"/>
      <c r="N122" s="49"/>
      <c r="O122" s="21"/>
      <c r="P122" s="20"/>
      <c r="Q122" s="20"/>
    </row>
    <row r="123">
      <c r="A123" s="46"/>
      <c r="B123" s="21"/>
      <c r="C123" s="21"/>
      <c r="D123" s="21"/>
      <c r="E123" s="21"/>
      <c r="F123" s="21"/>
      <c r="G123" s="48"/>
      <c r="H123" s="48"/>
      <c r="I123" s="40" t="str">
        <f t="shared" si="2"/>
        <v/>
      </c>
      <c r="J123" s="14"/>
      <c r="K123" s="14" t="b">
        <v>0</v>
      </c>
      <c r="L123" s="15"/>
      <c r="M123" s="16"/>
      <c r="N123" s="49"/>
      <c r="O123" s="21"/>
      <c r="P123" s="20"/>
      <c r="Q123" s="20"/>
    </row>
    <row r="124">
      <c r="A124" s="46"/>
      <c r="B124" s="21"/>
      <c r="C124" s="21"/>
      <c r="D124" s="21"/>
      <c r="E124" s="21"/>
      <c r="F124" s="21"/>
      <c r="G124" s="48"/>
      <c r="H124" s="48"/>
      <c r="I124" s="40" t="str">
        <f t="shared" si="2"/>
        <v/>
      </c>
      <c r="J124" s="14"/>
      <c r="K124" s="14" t="b">
        <v>0</v>
      </c>
      <c r="L124" s="15"/>
      <c r="M124" s="16"/>
      <c r="N124" s="49"/>
      <c r="O124" s="21"/>
      <c r="P124" s="20"/>
      <c r="Q124" s="20"/>
    </row>
    <row r="125">
      <c r="A125" s="46"/>
      <c r="B125" s="21"/>
      <c r="C125" s="21"/>
      <c r="D125" s="21"/>
      <c r="E125" s="21"/>
      <c r="F125" s="21"/>
      <c r="G125" s="48"/>
      <c r="H125" s="48"/>
      <c r="I125" s="40" t="str">
        <f t="shared" si="2"/>
        <v/>
      </c>
      <c r="J125" s="14"/>
      <c r="K125" s="14" t="b">
        <v>0</v>
      </c>
      <c r="L125" s="15"/>
      <c r="M125" s="16"/>
      <c r="N125" s="49"/>
      <c r="O125" s="21"/>
      <c r="P125" s="20"/>
      <c r="Q125" s="20"/>
    </row>
    <row r="126">
      <c r="A126" s="46"/>
      <c r="B126" s="21"/>
      <c r="C126" s="21"/>
      <c r="D126" s="21"/>
      <c r="E126" s="21"/>
      <c r="F126" s="21"/>
      <c r="G126" s="48"/>
      <c r="H126" s="48"/>
      <c r="I126" s="40" t="str">
        <f t="shared" si="2"/>
        <v/>
      </c>
      <c r="J126" s="14"/>
      <c r="K126" s="14" t="b">
        <v>0</v>
      </c>
      <c r="L126" s="15"/>
      <c r="M126" s="16"/>
      <c r="N126" s="49"/>
      <c r="O126" s="21"/>
      <c r="P126" s="20"/>
      <c r="Q126" s="20"/>
    </row>
    <row r="127">
      <c r="A127" s="46"/>
      <c r="B127" s="21"/>
      <c r="C127" s="21"/>
      <c r="D127" s="21"/>
      <c r="E127" s="21"/>
      <c r="F127" s="21"/>
      <c r="G127" s="48"/>
      <c r="H127" s="48"/>
      <c r="I127" s="40" t="str">
        <f t="shared" si="2"/>
        <v/>
      </c>
      <c r="J127" s="14"/>
      <c r="K127" s="14" t="b">
        <v>0</v>
      </c>
      <c r="L127" s="15"/>
      <c r="M127" s="16"/>
      <c r="N127" s="49"/>
      <c r="O127" s="21"/>
      <c r="P127" s="20"/>
      <c r="Q127" s="20"/>
    </row>
    <row r="128">
      <c r="A128" s="46"/>
      <c r="B128" s="21"/>
      <c r="C128" s="21"/>
      <c r="D128" s="21"/>
      <c r="E128" s="21"/>
      <c r="F128" s="21"/>
      <c r="G128" s="48"/>
      <c r="H128" s="48"/>
      <c r="I128" s="40" t="str">
        <f t="shared" si="2"/>
        <v/>
      </c>
      <c r="J128" s="14"/>
      <c r="K128" s="14" t="b">
        <v>0</v>
      </c>
      <c r="L128" s="15"/>
      <c r="M128" s="16"/>
      <c r="N128" s="49"/>
      <c r="O128" s="21"/>
      <c r="P128" s="20"/>
      <c r="Q128" s="20"/>
    </row>
    <row r="129">
      <c r="A129" s="46"/>
      <c r="B129" s="21"/>
      <c r="C129" s="21"/>
      <c r="D129" s="21"/>
      <c r="E129" s="21"/>
      <c r="F129" s="21"/>
      <c r="G129" s="48"/>
      <c r="H129" s="48"/>
      <c r="I129" s="40" t="str">
        <f t="shared" si="2"/>
        <v/>
      </c>
      <c r="J129" s="14"/>
      <c r="K129" s="14" t="b">
        <v>0</v>
      </c>
      <c r="L129" s="15"/>
      <c r="M129" s="16"/>
      <c r="N129" s="49"/>
      <c r="O129" s="21"/>
      <c r="P129" s="20"/>
      <c r="Q129" s="20"/>
    </row>
    <row r="130">
      <c r="A130" s="46"/>
      <c r="B130" s="21"/>
      <c r="C130" s="21"/>
      <c r="D130" s="21"/>
      <c r="E130" s="21"/>
      <c r="F130" s="21"/>
      <c r="G130" s="48"/>
      <c r="H130" s="48"/>
      <c r="I130" s="40" t="str">
        <f t="shared" si="2"/>
        <v/>
      </c>
      <c r="J130" s="14"/>
      <c r="K130" s="14" t="b">
        <v>0</v>
      </c>
      <c r="L130" s="15"/>
      <c r="M130" s="16"/>
      <c r="N130" s="49"/>
      <c r="O130" s="21"/>
      <c r="P130" s="20"/>
      <c r="Q130" s="20"/>
    </row>
    <row r="131">
      <c r="A131" s="46"/>
      <c r="B131" s="21"/>
      <c r="C131" s="21"/>
      <c r="D131" s="21"/>
      <c r="E131" s="21"/>
      <c r="F131" s="21"/>
      <c r="G131" s="48"/>
      <c r="H131" s="48"/>
      <c r="I131" s="40" t="str">
        <f t="shared" si="2"/>
        <v/>
      </c>
      <c r="J131" s="14"/>
      <c r="K131" s="14" t="b">
        <v>0</v>
      </c>
      <c r="L131" s="15"/>
      <c r="M131" s="16"/>
      <c r="N131" s="49"/>
      <c r="O131" s="21"/>
      <c r="P131" s="20"/>
      <c r="Q131" s="20"/>
    </row>
    <row r="132">
      <c r="A132" s="46"/>
      <c r="B132" s="21"/>
      <c r="C132" s="21"/>
      <c r="D132" s="21"/>
      <c r="E132" s="21"/>
      <c r="F132" s="21"/>
      <c r="G132" s="48"/>
      <c r="H132" s="48"/>
      <c r="I132" s="40" t="str">
        <f t="shared" si="2"/>
        <v/>
      </c>
      <c r="J132" s="14"/>
      <c r="K132" s="14" t="b">
        <v>0</v>
      </c>
      <c r="L132" s="15"/>
      <c r="M132" s="16"/>
      <c r="N132" s="49"/>
      <c r="O132" s="21"/>
      <c r="P132" s="20"/>
      <c r="Q132" s="20"/>
    </row>
    <row r="133">
      <c r="A133" s="46"/>
      <c r="B133" s="21"/>
      <c r="C133" s="21"/>
      <c r="D133" s="21"/>
      <c r="E133" s="21"/>
      <c r="F133" s="21"/>
      <c r="G133" s="48"/>
      <c r="H133" s="48"/>
      <c r="I133" s="40" t="str">
        <f t="shared" si="2"/>
        <v/>
      </c>
      <c r="J133" s="14"/>
      <c r="K133" s="14" t="b">
        <v>0</v>
      </c>
      <c r="L133" s="15"/>
      <c r="M133" s="16"/>
      <c r="N133" s="49"/>
      <c r="O133" s="21"/>
      <c r="P133" s="20"/>
      <c r="Q133" s="20"/>
    </row>
    <row r="134">
      <c r="A134" s="46"/>
      <c r="B134" s="21"/>
      <c r="C134" s="21"/>
      <c r="D134" s="21"/>
      <c r="E134" s="21"/>
      <c r="F134" s="21"/>
      <c r="G134" s="48"/>
      <c r="H134" s="48"/>
      <c r="I134" s="40" t="str">
        <f t="shared" si="2"/>
        <v/>
      </c>
      <c r="J134" s="14"/>
      <c r="K134" s="14" t="b">
        <v>0</v>
      </c>
      <c r="L134" s="15"/>
      <c r="M134" s="16"/>
      <c r="N134" s="49"/>
      <c r="O134" s="21"/>
      <c r="P134" s="20"/>
      <c r="Q134" s="20"/>
    </row>
    <row r="135">
      <c r="A135" s="46"/>
      <c r="B135" s="21"/>
      <c r="C135" s="21"/>
      <c r="D135" s="21"/>
      <c r="E135" s="21"/>
      <c r="F135" s="21"/>
      <c r="G135" s="48"/>
      <c r="H135" s="48"/>
      <c r="I135" s="40" t="str">
        <f t="shared" si="2"/>
        <v/>
      </c>
      <c r="J135" s="14"/>
      <c r="K135" s="14" t="b">
        <v>0</v>
      </c>
      <c r="L135" s="15"/>
      <c r="M135" s="16"/>
      <c r="N135" s="49"/>
      <c r="O135" s="21"/>
      <c r="P135" s="20"/>
      <c r="Q135" s="20"/>
    </row>
    <row r="136">
      <c r="A136" s="46"/>
      <c r="B136" s="21"/>
      <c r="C136" s="21"/>
      <c r="D136" s="21"/>
      <c r="E136" s="21"/>
      <c r="F136" s="21"/>
      <c r="G136" s="48"/>
      <c r="H136" s="48"/>
      <c r="I136" s="40" t="str">
        <f t="shared" si="2"/>
        <v/>
      </c>
      <c r="J136" s="14"/>
      <c r="K136" s="14" t="b">
        <v>0</v>
      </c>
      <c r="L136" s="15"/>
      <c r="M136" s="16"/>
      <c r="N136" s="49"/>
      <c r="O136" s="21"/>
      <c r="P136" s="20"/>
      <c r="Q136" s="20"/>
    </row>
    <row r="137">
      <c r="A137" s="46"/>
      <c r="B137" s="21"/>
      <c r="C137" s="21"/>
      <c r="D137" s="21"/>
      <c r="E137" s="21"/>
      <c r="F137" s="21"/>
      <c r="G137" s="48"/>
      <c r="H137" s="48"/>
      <c r="I137" s="40" t="str">
        <f t="shared" si="2"/>
        <v/>
      </c>
      <c r="J137" s="14"/>
      <c r="K137" s="14" t="b">
        <v>0</v>
      </c>
      <c r="L137" s="15"/>
      <c r="M137" s="16"/>
      <c r="N137" s="49"/>
      <c r="O137" s="21"/>
      <c r="P137" s="20"/>
      <c r="Q137" s="20"/>
    </row>
    <row r="138">
      <c r="A138" s="46"/>
      <c r="B138" s="21"/>
      <c r="C138" s="21"/>
      <c r="D138" s="21"/>
      <c r="E138" s="21"/>
      <c r="F138" s="21"/>
      <c r="G138" s="48"/>
      <c r="H138" s="48"/>
      <c r="I138" s="40" t="str">
        <f t="shared" si="2"/>
        <v/>
      </c>
      <c r="J138" s="14"/>
      <c r="K138" s="14" t="b">
        <v>0</v>
      </c>
      <c r="L138" s="15"/>
      <c r="M138" s="16"/>
      <c r="N138" s="49"/>
      <c r="O138" s="21"/>
      <c r="P138" s="20"/>
      <c r="Q138" s="20"/>
    </row>
    <row r="139">
      <c r="A139" s="46"/>
      <c r="B139" s="21"/>
      <c r="C139" s="21"/>
      <c r="D139" s="21"/>
      <c r="E139" s="21"/>
      <c r="F139" s="21"/>
      <c r="G139" s="48"/>
      <c r="H139" s="48"/>
      <c r="I139" s="40" t="str">
        <f t="shared" si="2"/>
        <v/>
      </c>
      <c r="J139" s="14"/>
      <c r="K139" s="14" t="b">
        <v>0</v>
      </c>
      <c r="L139" s="15"/>
      <c r="M139" s="16"/>
      <c r="N139" s="49"/>
      <c r="O139" s="21"/>
      <c r="P139" s="20"/>
      <c r="Q139" s="20"/>
    </row>
    <row r="140">
      <c r="A140" s="46"/>
      <c r="B140" s="21"/>
      <c r="C140" s="21"/>
      <c r="D140" s="21"/>
      <c r="E140" s="21"/>
      <c r="F140" s="21"/>
      <c r="G140" s="48"/>
      <c r="H140" s="48"/>
      <c r="I140" s="40" t="str">
        <f t="shared" si="2"/>
        <v/>
      </c>
      <c r="J140" s="14"/>
      <c r="K140" s="14" t="b">
        <v>0</v>
      </c>
      <c r="L140" s="15"/>
      <c r="M140" s="16"/>
      <c r="N140" s="49"/>
      <c r="O140" s="21"/>
      <c r="P140" s="20"/>
      <c r="Q140" s="20"/>
    </row>
    <row r="141">
      <c r="A141" s="46"/>
      <c r="B141" s="21"/>
      <c r="C141" s="21"/>
      <c r="D141" s="21"/>
      <c r="E141" s="21"/>
      <c r="F141" s="21"/>
      <c r="G141" s="48"/>
      <c r="H141" s="48"/>
      <c r="I141" s="50"/>
      <c r="J141" s="14"/>
      <c r="K141" s="14" t="b">
        <v>0</v>
      </c>
      <c r="L141" s="15"/>
      <c r="M141" s="16"/>
      <c r="N141" s="49"/>
      <c r="O141" s="21"/>
      <c r="P141" s="20"/>
      <c r="Q141" s="20"/>
    </row>
    <row r="142">
      <c r="A142" s="46"/>
      <c r="B142" s="21"/>
      <c r="C142" s="21"/>
      <c r="D142" s="21"/>
      <c r="E142" s="21"/>
      <c r="F142" s="21"/>
      <c r="G142" s="48"/>
      <c r="H142" s="48"/>
      <c r="I142" s="50"/>
      <c r="J142" s="14"/>
      <c r="K142" s="14" t="b">
        <v>0</v>
      </c>
      <c r="L142" s="15"/>
      <c r="M142" s="16"/>
      <c r="N142" s="49"/>
      <c r="O142" s="21"/>
      <c r="P142" s="20"/>
      <c r="Q142" s="20"/>
    </row>
  </sheetData>
  <conditionalFormatting sqref="I1:I142">
    <cfRule type="containsBlanks" dxfId="0" priority="1">
      <formula>LEN(TRIM(I1))=0</formula>
    </cfRule>
  </conditionalFormatting>
  <dataValidations>
    <dataValidation type="list" allowBlank="1" showErrorMessage="1" sqref="J2:J142">
      <formula1>"Now,Later,Hide"</formula1>
    </dataValidation>
    <dataValidation type="list" allowBlank="1" showErrorMessage="1" sqref="M2:M142">
      <formula1>"Low,Standard,High"</formula1>
    </dataValidation>
    <dataValidation type="list" allowBlank="1" showErrorMessage="1" sqref="L2:L142">
      <formula1>"Consulting,Development,Solutions Engineering,Strategy"</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5.13"/>
    <col customWidth="1" min="2" max="2" width="43.88"/>
    <col customWidth="1" min="3" max="3" width="50.13"/>
    <col customWidth="1" min="4" max="5" width="12.63"/>
  </cols>
  <sheetData>
    <row r="1">
      <c r="A1" s="51" t="s">
        <v>102</v>
      </c>
      <c r="B1" s="51" t="s">
        <v>103</v>
      </c>
      <c r="C1" s="51" t="s">
        <v>104</v>
      </c>
      <c r="D1" s="51" t="s">
        <v>105</v>
      </c>
      <c r="E1" s="51" t="s">
        <v>106</v>
      </c>
    </row>
    <row r="2">
      <c r="A2" s="52" t="s">
        <v>1</v>
      </c>
      <c r="B2" s="52" t="s">
        <v>79</v>
      </c>
      <c r="C2" s="53"/>
      <c r="D2" s="53"/>
      <c r="E2" s="53"/>
    </row>
    <row r="3">
      <c r="A3" s="54" t="s">
        <v>107</v>
      </c>
      <c r="B3" s="54" t="s">
        <v>80</v>
      </c>
      <c r="C3" s="54" t="s">
        <v>108</v>
      </c>
      <c r="D3" s="55">
        <v>20.0</v>
      </c>
      <c r="E3" s="55">
        <v>15.0</v>
      </c>
    </row>
    <row r="4">
      <c r="A4" s="52" t="s">
        <v>1</v>
      </c>
      <c r="B4" s="52" t="s">
        <v>69</v>
      </c>
      <c r="C4" s="53"/>
      <c r="D4" s="53"/>
      <c r="E4" s="53"/>
    </row>
    <row r="5">
      <c r="A5" s="54" t="s">
        <v>107</v>
      </c>
      <c r="B5" s="54" t="s">
        <v>70</v>
      </c>
      <c r="C5" s="54" t="s">
        <v>109</v>
      </c>
      <c r="D5" s="55">
        <v>70.0</v>
      </c>
      <c r="E5" s="55">
        <v>56.0</v>
      </c>
    </row>
    <row r="6">
      <c r="A6" s="54" t="s">
        <v>107</v>
      </c>
      <c r="B6" s="54" t="s">
        <v>75</v>
      </c>
      <c r="C6" s="54" t="s">
        <v>110</v>
      </c>
      <c r="D6" s="55">
        <v>12.0</v>
      </c>
      <c r="E6" s="55">
        <v>10.0</v>
      </c>
    </row>
    <row r="7">
      <c r="A7" s="52" t="s">
        <v>1</v>
      </c>
      <c r="B7" s="52" t="s">
        <v>16</v>
      </c>
      <c r="C7" s="53"/>
      <c r="D7" s="53"/>
      <c r="E7" s="53"/>
    </row>
    <row r="8">
      <c r="A8" s="54" t="s">
        <v>107</v>
      </c>
      <c r="B8" s="54" t="s">
        <v>17</v>
      </c>
      <c r="C8" s="54" t="s">
        <v>111</v>
      </c>
      <c r="D8" s="55">
        <v>14.0</v>
      </c>
      <c r="E8" s="55">
        <v>11.0</v>
      </c>
    </row>
    <row r="9">
      <c r="A9" s="52" t="s">
        <v>1</v>
      </c>
      <c r="B9" s="52" t="s">
        <v>28</v>
      </c>
      <c r="C9" s="53"/>
      <c r="D9" s="53"/>
      <c r="E9" s="53"/>
    </row>
    <row r="10">
      <c r="A10" s="54" t="s">
        <v>107</v>
      </c>
      <c r="B10" s="54" t="s">
        <v>29</v>
      </c>
      <c r="C10" s="54" t="s">
        <v>112</v>
      </c>
      <c r="D10" s="55">
        <v>8.0</v>
      </c>
      <c r="E10" s="55">
        <v>7.0</v>
      </c>
    </row>
    <row r="11">
      <c r="A11" s="54" t="s">
        <v>107</v>
      </c>
      <c r="B11" s="54" t="s">
        <v>33</v>
      </c>
      <c r="C11" s="54" t="s">
        <v>113</v>
      </c>
      <c r="D11" s="55">
        <v>7.0</v>
      </c>
      <c r="E11" s="55">
        <v>5.5</v>
      </c>
    </row>
    <row r="12">
      <c r="A12" s="54" t="s">
        <v>107</v>
      </c>
      <c r="B12" s="54" t="s">
        <v>37</v>
      </c>
      <c r="C12" s="54" t="s">
        <v>114</v>
      </c>
      <c r="D12" s="55">
        <v>30.0</v>
      </c>
      <c r="E12" s="55">
        <v>22.5</v>
      </c>
    </row>
    <row r="13">
      <c r="A13" s="54" t="s">
        <v>107</v>
      </c>
      <c r="B13" s="54" t="s">
        <v>41</v>
      </c>
      <c r="C13" s="54" t="s">
        <v>115</v>
      </c>
      <c r="D13" s="55">
        <v>8.0</v>
      </c>
      <c r="E13" s="55">
        <v>6.0</v>
      </c>
    </row>
    <row r="14">
      <c r="A14" s="54" t="s">
        <v>107</v>
      </c>
      <c r="B14" s="54" t="s">
        <v>45</v>
      </c>
      <c r="C14" s="54" t="s">
        <v>116</v>
      </c>
      <c r="D14" s="55">
        <v>3.0</v>
      </c>
      <c r="E14" s="55">
        <v>2.0</v>
      </c>
    </row>
    <row r="15">
      <c r="A15" s="54" t="s">
        <v>107</v>
      </c>
      <c r="B15" s="54" t="s">
        <v>49</v>
      </c>
      <c r="C15" s="54" t="s">
        <v>117</v>
      </c>
      <c r="D15" s="55">
        <v>7.0</v>
      </c>
      <c r="E15" s="55">
        <v>5.5</v>
      </c>
    </row>
    <row r="16">
      <c r="A16" s="54" t="s">
        <v>107</v>
      </c>
      <c r="B16" s="54" t="s">
        <v>53</v>
      </c>
      <c r="C16" s="54" t="s">
        <v>118</v>
      </c>
      <c r="D16" s="55">
        <v>5.0</v>
      </c>
      <c r="E16" s="55">
        <v>4.0</v>
      </c>
    </row>
    <row r="17">
      <c r="A17" s="54" t="s">
        <v>107</v>
      </c>
      <c r="B17" s="54" t="s">
        <v>57</v>
      </c>
      <c r="C17" s="54" t="s">
        <v>119</v>
      </c>
      <c r="D17" s="55">
        <v>7.0</v>
      </c>
      <c r="E17" s="55">
        <v>6.0</v>
      </c>
    </row>
    <row r="18">
      <c r="A18" s="54" t="s">
        <v>107</v>
      </c>
      <c r="B18" s="54" t="s">
        <v>61</v>
      </c>
      <c r="C18" s="54" t="s">
        <v>120</v>
      </c>
      <c r="D18" s="55">
        <v>10.0</v>
      </c>
      <c r="E18" s="55">
        <v>8.5</v>
      </c>
    </row>
    <row r="19">
      <c r="A19" s="52" t="s">
        <v>1</v>
      </c>
      <c r="B19" s="52" t="s">
        <v>23</v>
      </c>
      <c r="C19" s="53"/>
      <c r="D19" s="53"/>
      <c r="E19" s="53"/>
    </row>
    <row r="20">
      <c r="A20" s="54" t="s">
        <v>107</v>
      </c>
      <c r="B20" s="54" t="s">
        <v>24</v>
      </c>
      <c r="C20" s="54" t="s">
        <v>121</v>
      </c>
      <c r="D20" s="55">
        <v>14.0</v>
      </c>
      <c r="E20" s="55">
        <v>11.0</v>
      </c>
    </row>
    <row r="21">
      <c r="A21" s="54" t="s">
        <v>107</v>
      </c>
      <c r="B21" s="54" t="s">
        <v>65</v>
      </c>
      <c r="C21" s="54" t="s">
        <v>122</v>
      </c>
      <c r="D21" s="55">
        <v>25.0</v>
      </c>
      <c r="E21" s="55">
        <v>20.0</v>
      </c>
    </row>
    <row r="22">
      <c r="A22" s="52" t="s">
        <v>1</v>
      </c>
      <c r="B22" s="52" t="s">
        <v>84</v>
      </c>
      <c r="C22" s="53"/>
      <c r="D22" s="53"/>
      <c r="E22" s="53"/>
    </row>
    <row r="23">
      <c r="A23" s="54" t="s">
        <v>107</v>
      </c>
      <c r="B23" s="54" t="s">
        <v>85</v>
      </c>
      <c r="C23" s="54" t="s">
        <v>123</v>
      </c>
      <c r="D23" s="55">
        <v>10.0</v>
      </c>
      <c r="E23" s="55">
        <v>8.0</v>
      </c>
    </row>
    <row r="24">
      <c r="A24" s="54" t="s">
        <v>107</v>
      </c>
      <c r="B24" s="54" t="s">
        <v>89</v>
      </c>
      <c r="C24" s="54" t="s">
        <v>124</v>
      </c>
      <c r="D24" s="55">
        <v>12.0</v>
      </c>
      <c r="E24" s="55">
        <v>10.0</v>
      </c>
    </row>
    <row r="25">
      <c r="A25" s="54" t="s">
        <v>107</v>
      </c>
      <c r="B25" s="54" t="s">
        <v>93</v>
      </c>
      <c r="C25" s="54" t="s">
        <v>125</v>
      </c>
      <c r="D25" s="55">
        <v>12.0</v>
      </c>
      <c r="E25" s="55">
        <v>9.0</v>
      </c>
    </row>
    <row r="26">
      <c r="A26" s="52" t="s">
        <v>1</v>
      </c>
      <c r="B26" s="52" t="s">
        <v>126</v>
      </c>
      <c r="C26" s="53"/>
      <c r="D26" s="53"/>
      <c r="E26" s="56">
        <v>54.0</v>
      </c>
    </row>
    <row r="27">
      <c r="A27" s="54" t="s">
        <v>107</v>
      </c>
      <c r="B27" s="54" t="s">
        <v>127</v>
      </c>
    </row>
    <row r="28">
      <c r="A28" s="54" t="s">
        <v>107</v>
      </c>
      <c r="B28" s="54" t="s">
        <v>128</v>
      </c>
    </row>
    <row r="29">
      <c r="A29" s="54" t="s">
        <v>107</v>
      </c>
      <c r="B29" s="54" t="s">
        <v>129</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7.5"/>
    <col customWidth="1" min="2" max="2" width="29.0"/>
    <col customWidth="1" min="3" max="3" width="40.38"/>
    <col customWidth="1" min="4" max="4" width="20.0"/>
  </cols>
  <sheetData>
    <row r="1">
      <c r="A1" s="57" t="s">
        <v>130</v>
      </c>
      <c r="B1" s="57" t="s">
        <v>131</v>
      </c>
      <c r="C1" s="57" t="s">
        <v>132</v>
      </c>
      <c r="D1" s="57" t="s">
        <v>133</v>
      </c>
    </row>
    <row r="2">
      <c r="A2" s="58" t="s">
        <v>134</v>
      </c>
      <c r="B2" s="59"/>
      <c r="C2" s="60"/>
      <c r="D2" s="60"/>
    </row>
    <row r="3">
      <c r="A3" s="61" t="s">
        <v>135</v>
      </c>
      <c r="B3" s="62" t="s">
        <v>136</v>
      </c>
      <c r="C3" s="63" t="s">
        <v>136</v>
      </c>
      <c r="D3" s="64"/>
    </row>
    <row r="4">
      <c r="A4" s="65" t="s">
        <v>137</v>
      </c>
      <c r="B4" s="66" t="s">
        <v>138</v>
      </c>
      <c r="C4" s="67" t="s">
        <v>139</v>
      </c>
      <c r="D4" s="64"/>
    </row>
    <row r="5">
      <c r="A5" s="61" t="s">
        <v>140</v>
      </c>
      <c r="B5" s="62">
        <v>4.2441743998E10</v>
      </c>
      <c r="C5" s="63" t="s">
        <v>141</v>
      </c>
      <c r="D5" s="64"/>
    </row>
    <row r="6">
      <c r="A6" s="65" t="s">
        <v>142</v>
      </c>
      <c r="B6" s="68">
        <v>45915.51782407407</v>
      </c>
      <c r="C6" s="67" t="s">
        <v>143</v>
      </c>
      <c r="D6" s="64"/>
    </row>
    <row r="7">
      <c r="A7" s="65"/>
      <c r="B7" s="68"/>
      <c r="C7" s="67"/>
      <c r="D7" s="64"/>
    </row>
    <row r="8">
      <c r="A8" s="58" t="s">
        <v>144</v>
      </c>
      <c r="B8" s="59"/>
      <c r="C8" s="69"/>
      <c r="D8" s="60"/>
    </row>
    <row r="9">
      <c r="A9" s="70" t="s">
        <v>145</v>
      </c>
      <c r="B9" s="71" t="s">
        <v>146</v>
      </c>
      <c r="C9" s="63" t="s">
        <v>147</v>
      </c>
      <c r="D9" s="72" t="s">
        <v>148</v>
      </c>
    </row>
    <row r="10">
      <c r="A10" s="70" t="s">
        <v>149</v>
      </c>
      <c r="B10" s="73">
        <v>45915.459899988426</v>
      </c>
      <c r="C10" s="63" t="s">
        <v>150</v>
      </c>
      <c r="D10" s="64"/>
    </row>
    <row r="11">
      <c r="A11" s="70" t="s">
        <v>151</v>
      </c>
      <c r="B11" s="74" t="s">
        <v>152</v>
      </c>
      <c r="C11" s="63" t="s">
        <v>153</v>
      </c>
      <c r="D11" s="64"/>
    </row>
    <row r="12">
      <c r="A12" s="70" t="s">
        <v>154</v>
      </c>
      <c r="B12" s="75" t="s">
        <v>155</v>
      </c>
      <c r="C12" s="63" t="s">
        <v>156</v>
      </c>
      <c r="D12" s="64"/>
    </row>
    <row r="13">
      <c r="A13" s="61" t="s">
        <v>157</v>
      </c>
      <c r="B13" s="62" t="s">
        <v>158</v>
      </c>
      <c r="C13" s="76" t="s">
        <v>159</v>
      </c>
      <c r="D13" s="72"/>
    </row>
    <row r="14">
      <c r="A14" s="65" t="s">
        <v>160</v>
      </c>
      <c r="B14" s="77"/>
      <c r="C14" s="67" t="s">
        <v>161</v>
      </c>
      <c r="D14" s="78"/>
    </row>
    <row r="15">
      <c r="A15" s="65" t="s">
        <v>162</v>
      </c>
      <c r="B15" s="77" t="s">
        <v>163</v>
      </c>
      <c r="C15" s="67" t="s">
        <v>161</v>
      </c>
      <c r="D15" s="78"/>
    </row>
    <row r="16">
      <c r="A16" s="65"/>
      <c r="B16" s="79"/>
      <c r="C16" s="67"/>
      <c r="D16" s="78"/>
    </row>
    <row r="17">
      <c r="A17" s="58" t="s">
        <v>164</v>
      </c>
      <c r="B17" s="59"/>
      <c r="C17" s="69"/>
      <c r="D17" s="60"/>
    </row>
    <row r="18">
      <c r="A18" s="61" t="s">
        <v>165</v>
      </c>
      <c r="B18" s="80">
        <v>245.0</v>
      </c>
      <c r="C18" s="76" t="s">
        <v>166</v>
      </c>
      <c r="D18" s="78" t="s">
        <v>167</v>
      </c>
    </row>
    <row r="19">
      <c r="A19" s="61" t="s">
        <v>168</v>
      </c>
      <c r="B19" s="81">
        <v>0.25</v>
      </c>
      <c r="C19" s="76" t="s">
        <v>169</v>
      </c>
      <c r="D19" s="64"/>
    </row>
    <row r="20">
      <c r="A20" s="82" t="s">
        <v>170</v>
      </c>
      <c r="B20" s="83" t="s">
        <v>171</v>
      </c>
      <c r="C20" s="84" t="s">
        <v>172</v>
      </c>
      <c r="D20" s="85"/>
    </row>
    <row r="21">
      <c r="A21" s="70" t="s">
        <v>173</v>
      </c>
      <c r="B21" s="86">
        <v>45909.0</v>
      </c>
      <c r="C21" s="76" t="s">
        <v>174</v>
      </c>
      <c r="D21" s="64"/>
    </row>
    <row r="22">
      <c r="A22" s="70" t="s">
        <v>175</v>
      </c>
      <c r="B22" s="87">
        <v>4.0</v>
      </c>
      <c r="C22" s="76" t="s">
        <v>176</v>
      </c>
      <c r="D22" s="78" t="s">
        <v>177</v>
      </c>
    </row>
    <row r="23">
      <c r="A23" s="88"/>
      <c r="B23" s="89"/>
      <c r="C23" s="76"/>
      <c r="D23" s="64"/>
    </row>
    <row r="24">
      <c r="A24" s="58" t="s">
        <v>178</v>
      </c>
      <c r="B24" s="59"/>
      <c r="C24" s="69"/>
      <c r="D24" s="60"/>
    </row>
    <row r="25">
      <c r="A25" s="61" t="s">
        <v>179</v>
      </c>
      <c r="B25" s="80">
        <v>220.0</v>
      </c>
      <c r="C25" s="63" t="s">
        <v>180</v>
      </c>
      <c r="D25" s="78" t="s">
        <v>181</v>
      </c>
    </row>
    <row r="26">
      <c r="A26" s="61" t="s">
        <v>182</v>
      </c>
      <c r="B26" s="62">
        <v>0.0</v>
      </c>
      <c r="C26" s="63" t="s">
        <v>183</v>
      </c>
      <c r="D26" s="78" t="s">
        <v>184</v>
      </c>
    </row>
    <row r="27">
      <c r="A27" s="61" t="s">
        <v>185</v>
      </c>
      <c r="B27" s="62">
        <v>0.0</v>
      </c>
      <c r="C27" s="63" t="s">
        <v>186</v>
      </c>
      <c r="D27" s="78" t="s">
        <v>187</v>
      </c>
    </row>
    <row r="28">
      <c r="A28" s="82" t="s">
        <v>188</v>
      </c>
      <c r="B28" s="83" t="s">
        <v>189</v>
      </c>
      <c r="C28" s="90" t="s">
        <v>190</v>
      </c>
      <c r="D28" s="85"/>
    </row>
    <row r="29">
      <c r="A29" s="61"/>
      <c r="B29" s="91"/>
      <c r="C29" s="92"/>
      <c r="D29" s="64"/>
    </row>
    <row r="30">
      <c r="A30" s="61"/>
      <c r="B30" s="91"/>
      <c r="C30" s="93"/>
      <c r="D30" s="64"/>
    </row>
    <row r="31">
      <c r="A31" s="94" t="s">
        <v>191</v>
      </c>
      <c r="B31" s="59"/>
      <c r="C31" s="60"/>
      <c r="D31" s="60"/>
    </row>
    <row r="32">
      <c r="A32" s="95" t="s">
        <v>192</v>
      </c>
      <c r="B32" s="96" t="s">
        <v>193</v>
      </c>
      <c r="C32" s="84" t="s">
        <v>194</v>
      </c>
      <c r="D32" s="91"/>
    </row>
    <row r="33">
      <c r="A33" s="61"/>
      <c r="B33" s="91"/>
      <c r="C33" s="91"/>
      <c r="D33" s="91"/>
    </row>
  </sheetData>
  <dataValidations>
    <dataValidation type="list" allowBlank="1" showErrorMessage="1" sqref="B14:B15">
      <formula1>"Yes,No"</formula1>
    </dataValidation>
    <dataValidation type="list" allowBlank="1" showErrorMessage="1" sqref="B11">
      <formula1>"Draft,Hide Hours + Financials,Final Presentation,Archived"</formula1>
    </dataValidation>
  </dataValidations>
  <hyperlinks>
    <hyperlink r:id="rId1" ref="B4"/>
    <hyperlink r:id="rId2" ref="B9"/>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4" width="25.75"/>
  </cols>
  <sheetData>
    <row r="1">
      <c r="A1" s="57"/>
      <c r="B1" s="57"/>
      <c r="C1" s="57"/>
      <c r="D1" s="57" t="s">
        <v>133</v>
      </c>
      <c r="E1" s="97"/>
      <c r="F1" s="97"/>
      <c r="G1" s="97"/>
      <c r="H1" s="97"/>
      <c r="I1" s="97"/>
      <c r="J1" s="97"/>
      <c r="K1" s="97"/>
      <c r="L1" s="97"/>
      <c r="M1" s="97"/>
      <c r="N1" s="97"/>
      <c r="O1" s="97"/>
      <c r="P1" s="97"/>
      <c r="Q1" s="97"/>
      <c r="R1" s="97"/>
      <c r="S1" s="97"/>
      <c r="T1" s="97"/>
      <c r="U1" s="97"/>
      <c r="V1" s="97"/>
      <c r="W1" s="97"/>
      <c r="X1" s="97"/>
      <c r="Y1" s="97"/>
      <c r="Z1" s="97"/>
    </row>
    <row r="2">
      <c r="A2" s="98" t="s">
        <v>195</v>
      </c>
      <c r="B2" s="99"/>
      <c r="C2" s="100"/>
      <c r="D2" s="100"/>
      <c r="E2" s="97"/>
      <c r="F2" s="97"/>
      <c r="G2" s="97"/>
      <c r="H2" s="97"/>
      <c r="I2" s="97"/>
      <c r="J2" s="97"/>
      <c r="K2" s="97"/>
      <c r="L2" s="97"/>
      <c r="M2" s="97"/>
      <c r="N2" s="97"/>
      <c r="O2" s="97"/>
      <c r="P2" s="97"/>
      <c r="Q2" s="97"/>
      <c r="R2" s="97"/>
      <c r="S2" s="97"/>
      <c r="T2" s="97"/>
      <c r="U2" s="97"/>
      <c r="V2" s="97"/>
      <c r="W2" s="97"/>
      <c r="X2" s="97"/>
      <c r="Y2" s="97"/>
      <c r="Z2" s="97"/>
    </row>
    <row r="3">
      <c r="A3" s="70" t="s">
        <v>196</v>
      </c>
      <c r="B3" s="101">
        <f>SUMIF(Input!J:J,"Now",Input!I:I)</f>
        <v>217</v>
      </c>
      <c r="C3" s="67" t="s">
        <v>197</v>
      </c>
      <c r="D3" s="102"/>
      <c r="E3" s="97"/>
      <c r="F3" s="97"/>
      <c r="G3" s="97"/>
      <c r="H3" s="97"/>
      <c r="I3" s="97"/>
      <c r="J3" s="97"/>
      <c r="K3" s="97"/>
      <c r="L3" s="97"/>
      <c r="M3" s="97"/>
      <c r="N3" s="97"/>
      <c r="O3" s="97"/>
      <c r="P3" s="97"/>
      <c r="Q3" s="97"/>
      <c r="R3" s="97"/>
      <c r="S3" s="97"/>
      <c r="T3" s="97"/>
      <c r="U3" s="97"/>
      <c r="V3" s="97"/>
      <c r="W3" s="97"/>
      <c r="X3" s="97"/>
      <c r="Y3" s="97"/>
      <c r="Z3" s="97"/>
    </row>
    <row r="4">
      <c r="A4" s="70" t="s">
        <v>198</v>
      </c>
      <c r="B4" s="101">
        <f>round(B3*Config!B19,0)</f>
        <v>54</v>
      </c>
      <c r="C4" s="67" t="s">
        <v>199</v>
      </c>
      <c r="D4" s="103"/>
      <c r="E4" s="97"/>
      <c r="F4" s="97"/>
      <c r="G4" s="97"/>
      <c r="H4" s="97"/>
      <c r="I4" s="97"/>
      <c r="J4" s="97"/>
      <c r="K4" s="97"/>
      <c r="L4" s="97"/>
      <c r="M4" s="97"/>
      <c r="N4" s="97"/>
      <c r="O4" s="97"/>
      <c r="P4" s="97"/>
      <c r="Q4" s="97"/>
      <c r="R4" s="97"/>
      <c r="S4" s="97"/>
      <c r="T4" s="97"/>
      <c r="U4" s="97"/>
      <c r="V4" s="97"/>
      <c r="W4" s="97"/>
      <c r="X4" s="97"/>
      <c r="Y4" s="97"/>
      <c r="Z4" s="97"/>
    </row>
    <row r="5">
      <c r="A5" s="70" t="s">
        <v>200</v>
      </c>
      <c r="B5" s="101">
        <f>sum(B3:B4)</f>
        <v>271</v>
      </c>
      <c r="C5" s="67" t="s">
        <v>201</v>
      </c>
      <c r="D5" s="104" t="s">
        <v>202</v>
      </c>
      <c r="E5" s="97"/>
      <c r="F5" s="97"/>
      <c r="G5" s="97"/>
      <c r="H5" s="97"/>
      <c r="I5" s="97"/>
      <c r="J5" s="97"/>
      <c r="K5" s="97"/>
      <c r="L5" s="97"/>
      <c r="M5" s="97"/>
      <c r="N5" s="97"/>
      <c r="O5" s="97"/>
      <c r="P5" s="97"/>
      <c r="Q5" s="97"/>
      <c r="R5" s="97"/>
      <c r="S5" s="97"/>
      <c r="T5" s="97"/>
      <c r="U5" s="97"/>
      <c r="V5" s="97"/>
      <c r="W5" s="97"/>
      <c r="X5" s="97"/>
      <c r="Y5" s="97"/>
      <c r="Z5" s="97"/>
    </row>
    <row r="6">
      <c r="A6" s="70" t="s">
        <v>203</v>
      </c>
      <c r="B6" s="101">
        <f>Config!B26 * Config!B27</f>
        <v>0</v>
      </c>
      <c r="C6" s="105"/>
      <c r="D6" s="106"/>
      <c r="E6" s="97"/>
      <c r="F6" s="97"/>
      <c r="G6" s="97"/>
      <c r="H6" s="97"/>
      <c r="I6" s="97"/>
      <c r="J6" s="97"/>
      <c r="K6" s="97"/>
      <c r="L6" s="97"/>
      <c r="M6" s="97"/>
      <c r="N6" s="97"/>
      <c r="O6" s="97"/>
      <c r="P6" s="97"/>
      <c r="Q6" s="97"/>
      <c r="R6" s="97"/>
      <c r="S6" s="97"/>
      <c r="T6" s="97"/>
      <c r="U6" s="97"/>
      <c r="V6" s="97"/>
      <c r="W6" s="97"/>
      <c r="X6" s="97"/>
      <c r="Y6" s="97"/>
      <c r="Z6" s="97"/>
    </row>
    <row r="7">
      <c r="A7" s="70" t="s">
        <v>204</v>
      </c>
      <c r="B7" s="107">
        <f>sum(B5:B6)</f>
        <v>271</v>
      </c>
      <c r="C7" s="63" t="s">
        <v>205</v>
      </c>
      <c r="D7" s="104" t="s">
        <v>206</v>
      </c>
      <c r="E7" s="97"/>
      <c r="F7" s="97"/>
      <c r="G7" s="97"/>
      <c r="H7" s="97"/>
      <c r="I7" s="97"/>
      <c r="J7" s="97"/>
      <c r="K7" s="97"/>
      <c r="L7" s="97"/>
      <c r="M7" s="97"/>
      <c r="N7" s="97"/>
      <c r="O7" s="97"/>
      <c r="P7" s="97"/>
      <c r="Q7" s="97"/>
      <c r="R7" s="97"/>
      <c r="S7" s="97"/>
      <c r="T7" s="97"/>
      <c r="U7" s="97"/>
      <c r="V7" s="97"/>
      <c r="W7" s="97"/>
      <c r="X7" s="97"/>
      <c r="Y7" s="97"/>
      <c r="Z7" s="97"/>
    </row>
    <row r="8">
      <c r="A8" s="70" t="s">
        <v>207</v>
      </c>
      <c r="B8" s="108">
        <f>(B5*Config!B18)+(B6*Config!B25)</f>
        <v>66395</v>
      </c>
      <c r="C8" s="63" t="s">
        <v>205</v>
      </c>
      <c r="D8" s="104" t="s">
        <v>208</v>
      </c>
      <c r="E8" s="97"/>
      <c r="F8" s="97"/>
      <c r="G8" s="97"/>
      <c r="H8" s="97"/>
      <c r="I8" s="97"/>
      <c r="J8" s="97"/>
      <c r="K8" s="97"/>
      <c r="L8" s="97"/>
      <c r="M8" s="97"/>
      <c r="N8" s="97"/>
      <c r="O8" s="97"/>
      <c r="P8" s="97"/>
      <c r="Q8" s="97"/>
      <c r="R8" s="97"/>
      <c r="S8" s="97"/>
      <c r="T8" s="97"/>
      <c r="U8" s="97"/>
      <c r="V8" s="97"/>
      <c r="W8" s="97"/>
      <c r="X8" s="97"/>
      <c r="Y8" s="97"/>
      <c r="Z8" s="97"/>
    </row>
    <row r="9">
      <c r="A9" s="70" t="s">
        <v>209</v>
      </c>
      <c r="B9" s="109">
        <f>EDATE(Config!B21, Config!B22)</f>
        <v>46031</v>
      </c>
      <c r="C9" s="105"/>
      <c r="D9" s="106"/>
      <c r="E9" s="97"/>
      <c r="F9" s="97"/>
      <c r="G9" s="97"/>
      <c r="H9" s="97"/>
      <c r="I9" s="97"/>
      <c r="J9" s="97"/>
      <c r="K9" s="97"/>
      <c r="L9" s="97"/>
      <c r="M9" s="97"/>
      <c r="N9" s="97"/>
      <c r="O9" s="97"/>
      <c r="P9" s="97"/>
      <c r="Q9" s="97"/>
      <c r="R9" s="97"/>
      <c r="S9" s="97"/>
      <c r="T9" s="97"/>
      <c r="U9" s="97"/>
      <c r="V9" s="97"/>
      <c r="W9" s="97"/>
      <c r="X9" s="97"/>
      <c r="Y9" s="97"/>
      <c r="Z9" s="97"/>
    </row>
    <row r="10">
      <c r="A10" s="70" t="s">
        <v>210</v>
      </c>
      <c r="B10" s="101">
        <f>roundup(B3/Config!B22,0)</f>
        <v>55</v>
      </c>
      <c r="C10" s="105"/>
      <c r="D10" s="106"/>
      <c r="E10" s="97"/>
      <c r="F10" s="97"/>
      <c r="G10" s="97"/>
      <c r="H10" s="97"/>
      <c r="I10" s="97"/>
      <c r="J10" s="97"/>
      <c r="K10" s="97"/>
      <c r="L10" s="97"/>
      <c r="M10" s="97"/>
      <c r="N10" s="97"/>
      <c r="O10" s="97"/>
      <c r="P10" s="97"/>
      <c r="Q10" s="97"/>
      <c r="R10" s="97"/>
      <c r="S10" s="97"/>
      <c r="T10" s="97"/>
      <c r="U10" s="97"/>
      <c r="V10" s="97"/>
      <c r="W10" s="97"/>
      <c r="X10" s="97"/>
      <c r="Y10" s="97"/>
      <c r="Z10" s="97"/>
    </row>
    <row r="11">
      <c r="A11" s="70" t="s">
        <v>211</v>
      </c>
      <c r="B11" s="101">
        <f>roundup(B10/4.3,0)</f>
        <v>13</v>
      </c>
      <c r="C11" s="105"/>
      <c r="D11" s="106"/>
      <c r="E11" s="97"/>
      <c r="F11" s="97"/>
      <c r="G11" s="97"/>
      <c r="H11" s="97"/>
      <c r="I11" s="97"/>
      <c r="J11" s="97"/>
      <c r="K11" s="97"/>
      <c r="L11" s="97"/>
      <c r="M11" s="97"/>
      <c r="N11" s="97"/>
      <c r="O11" s="97"/>
      <c r="P11" s="97"/>
      <c r="Q11" s="97"/>
      <c r="R11" s="97"/>
      <c r="S11" s="97"/>
      <c r="T11" s="97"/>
      <c r="U11" s="97"/>
      <c r="V11" s="97"/>
      <c r="W11" s="97"/>
      <c r="X11" s="97"/>
      <c r="Y11" s="97"/>
      <c r="Z11" s="97"/>
    </row>
    <row r="12">
      <c r="A12" s="70" t="s">
        <v>212</v>
      </c>
      <c r="B12" s="101">
        <f>B11*1.2</f>
        <v>15.6</v>
      </c>
      <c r="C12" s="67"/>
      <c r="D12" s="104"/>
      <c r="E12" s="97"/>
      <c r="F12" s="97"/>
      <c r="G12" s="97"/>
      <c r="H12" s="97"/>
      <c r="I12" s="97"/>
      <c r="J12" s="97"/>
      <c r="K12" s="97"/>
      <c r="L12" s="97"/>
      <c r="M12" s="97"/>
      <c r="N12" s="97"/>
      <c r="O12" s="97"/>
      <c r="P12" s="97"/>
      <c r="Q12" s="97"/>
      <c r="R12" s="97"/>
      <c r="S12" s="97"/>
      <c r="T12" s="97"/>
      <c r="U12" s="97"/>
      <c r="V12" s="97"/>
      <c r="W12" s="97"/>
      <c r="X12" s="97"/>
      <c r="Y12" s="97"/>
      <c r="Z12" s="97"/>
    </row>
    <row r="13">
      <c r="A13" s="70" t="s">
        <v>213</v>
      </c>
      <c r="B13" s="101">
        <f>B11*0.5</f>
        <v>6.5</v>
      </c>
      <c r="C13" s="67"/>
      <c r="D13" s="104"/>
      <c r="E13" s="97"/>
      <c r="F13" s="97"/>
      <c r="G13" s="97"/>
      <c r="H13" s="97"/>
      <c r="I13" s="97"/>
      <c r="J13" s="97"/>
      <c r="K13" s="97"/>
      <c r="L13" s="97"/>
      <c r="M13" s="97"/>
      <c r="N13" s="97"/>
      <c r="O13" s="97"/>
      <c r="P13" s="97"/>
      <c r="Q13" s="97"/>
      <c r="R13" s="97"/>
      <c r="S13" s="97"/>
      <c r="T13" s="97"/>
      <c r="U13" s="97"/>
      <c r="V13" s="97"/>
      <c r="W13" s="97"/>
      <c r="X13" s="97"/>
      <c r="Y13" s="97"/>
      <c r="Z13" s="97"/>
    </row>
    <row r="14">
      <c r="A14" s="70" t="s">
        <v>214</v>
      </c>
      <c r="B14" s="110">
        <f>C21</f>
        <v>0.2796610169</v>
      </c>
      <c r="C14" s="67"/>
      <c r="D14" s="104" t="s">
        <v>215</v>
      </c>
      <c r="E14" s="97"/>
      <c r="F14" s="97"/>
      <c r="G14" s="97"/>
      <c r="H14" s="97"/>
      <c r="I14" s="97"/>
      <c r="J14" s="97"/>
      <c r="K14" s="97"/>
      <c r="L14" s="97"/>
      <c r="M14" s="97"/>
      <c r="N14" s="97"/>
      <c r="O14" s="97"/>
      <c r="P14" s="97"/>
      <c r="Q14" s="97"/>
      <c r="R14" s="97"/>
      <c r="S14" s="97"/>
      <c r="T14" s="97"/>
      <c r="U14" s="97"/>
      <c r="V14" s="97"/>
      <c r="W14" s="97"/>
      <c r="X14" s="97"/>
      <c r="Y14" s="97"/>
      <c r="Z14" s="97"/>
    </row>
    <row r="15">
      <c r="A15" s="70" t="s">
        <v>216</v>
      </c>
      <c r="B15" s="110">
        <f>C23</f>
        <v>0</v>
      </c>
      <c r="C15" s="67"/>
      <c r="D15" s="104" t="s">
        <v>217</v>
      </c>
      <c r="E15" s="97"/>
      <c r="F15" s="97"/>
      <c r="G15" s="97"/>
      <c r="H15" s="97"/>
      <c r="I15" s="97"/>
      <c r="J15" s="97"/>
      <c r="K15" s="97"/>
      <c r="L15" s="97"/>
      <c r="M15" s="97"/>
      <c r="N15" s="97"/>
      <c r="O15" s="97"/>
      <c r="P15" s="97"/>
      <c r="Q15" s="97"/>
      <c r="R15" s="97"/>
      <c r="S15" s="97"/>
      <c r="T15" s="97"/>
      <c r="U15" s="97"/>
      <c r="V15" s="97"/>
      <c r="W15" s="97"/>
      <c r="X15" s="97"/>
      <c r="Y15" s="97"/>
      <c r="Z15" s="97"/>
    </row>
    <row r="16">
      <c r="A16" s="97"/>
      <c r="B16" s="97"/>
      <c r="C16" s="105"/>
      <c r="D16" s="103"/>
      <c r="E16" s="97"/>
      <c r="F16" s="97"/>
      <c r="G16" s="97"/>
      <c r="H16" s="97"/>
      <c r="I16" s="97"/>
      <c r="J16" s="97"/>
      <c r="K16" s="97"/>
      <c r="L16" s="97"/>
      <c r="M16" s="97"/>
      <c r="N16" s="97"/>
      <c r="O16" s="97"/>
      <c r="P16" s="97"/>
      <c r="Q16" s="97"/>
      <c r="R16" s="97"/>
      <c r="S16" s="97"/>
      <c r="T16" s="97"/>
      <c r="U16" s="97"/>
      <c r="V16" s="97"/>
      <c r="W16" s="97"/>
      <c r="X16" s="97"/>
      <c r="Y16" s="97"/>
      <c r="Z16" s="97"/>
    </row>
    <row r="17">
      <c r="A17" s="97"/>
      <c r="B17" s="97"/>
      <c r="C17" s="105"/>
      <c r="D17" s="103"/>
      <c r="E17" s="97"/>
      <c r="F17" s="97"/>
      <c r="G17" s="97"/>
      <c r="H17" s="97"/>
      <c r="I17" s="97"/>
      <c r="J17" s="97"/>
      <c r="K17" s="97"/>
      <c r="L17" s="97"/>
      <c r="M17" s="97"/>
      <c r="N17" s="97"/>
      <c r="O17" s="97"/>
      <c r="P17" s="97"/>
      <c r="Q17" s="97"/>
      <c r="R17" s="97"/>
      <c r="S17" s="97"/>
      <c r="T17" s="97"/>
      <c r="U17" s="97"/>
      <c r="V17" s="97"/>
      <c r="W17" s="97"/>
      <c r="X17" s="97"/>
      <c r="Y17" s="97"/>
      <c r="Z17" s="97"/>
    </row>
    <row r="18">
      <c r="A18" s="98" t="s">
        <v>218</v>
      </c>
      <c r="B18" s="111"/>
      <c r="C18" s="111"/>
      <c r="D18" s="112"/>
      <c r="E18" s="97"/>
      <c r="F18" s="97"/>
      <c r="G18" s="97"/>
      <c r="H18" s="97"/>
      <c r="I18" s="97"/>
      <c r="J18" s="97"/>
      <c r="K18" s="97"/>
      <c r="L18" s="97"/>
      <c r="M18" s="97"/>
      <c r="N18" s="97"/>
      <c r="O18" s="97"/>
      <c r="P18" s="97"/>
      <c r="Q18" s="97"/>
      <c r="R18" s="97"/>
      <c r="S18" s="97"/>
      <c r="T18" s="97"/>
      <c r="U18" s="97"/>
      <c r="V18" s="97"/>
      <c r="W18" s="97"/>
      <c r="X18" s="97"/>
      <c r="Y18" s="97"/>
      <c r="Z18" s="97"/>
    </row>
    <row r="19">
      <c r="A19" s="113"/>
      <c r="B19" s="114" t="s">
        <v>219</v>
      </c>
      <c r="C19" s="114" t="s">
        <v>220</v>
      </c>
      <c r="D19" s="103"/>
      <c r="E19" s="97"/>
      <c r="F19" s="97"/>
      <c r="G19" s="97"/>
      <c r="H19" s="97"/>
      <c r="I19" s="97"/>
      <c r="J19" s="97"/>
      <c r="K19" s="97"/>
      <c r="L19" s="97"/>
      <c r="M19" s="97"/>
      <c r="N19" s="97"/>
      <c r="O19" s="97"/>
      <c r="P19" s="97"/>
      <c r="Q19" s="97"/>
      <c r="R19" s="97"/>
      <c r="S19" s="97"/>
      <c r="T19" s="97"/>
      <c r="U19" s="97"/>
      <c r="V19" s="97"/>
      <c r="W19" s="97"/>
      <c r="X19" s="97"/>
      <c r="Y19" s="97"/>
      <c r="Z19" s="97"/>
    </row>
    <row r="20">
      <c r="A20" s="65" t="s">
        <v>22</v>
      </c>
      <c r="B20" s="115">
        <f>SUMIFS(Input!I:I,Input!L:L,"Consulting",Input!J:J,"Now")</f>
        <v>116</v>
      </c>
      <c r="C20" s="116">
        <f>B20/B26</f>
        <v>0.4915254237</v>
      </c>
      <c r="D20" s="102"/>
      <c r="E20" s="117"/>
      <c r="F20" s="97"/>
      <c r="G20" s="97"/>
      <c r="H20" s="97"/>
      <c r="I20" s="97"/>
      <c r="J20" s="97"/>
      <c r="K20" s="97"/>
      <c r="L20" s="97"/>
      <c r="M20" s="97"/>
      <c r="N20" s="97"/>
      <c r="O20" s="97"/>
      <c r="P20" s="97"/>
      <c r="Q20" s="97"/>
      <c r="R20" s="97"/>
      <c r="S20" s="97"/>
      <c r="T20" s="97"/>
      <c r="U20" s="97"/>
      <c r="V20" s="97"/>
      <c r="W20" s="97"/>
      <c r="X20" s="97"/>
      <c r="Y20" s="97"/>
      <c r="Z20" s="97"/>
    </row>
    <row r="21">
      <c r="A21" s="65" t="s">
        <v>74</v>
      </c>
      <c r="B21" s="115">
        <f>SUMIFS(Input!I:I,Input!L:L,"Development",Input!J:J,"Now")</f>
        <v>66</v>
      </c>
      <c r="C21" s="116">
        <f>B21/B26</f>
        <v>0.2796610169</v>
      </c>
      <c r="D21" s="102"/>
      <c r="E21" s="97"/>
      <c r="F21" s="97"/>
      <c r="G21" s="97"/>
      <c r="H21" s="97"/>
      <c r="I21" s="97"/>
      <c r="J21" s="97"/>
      <c r="K21" s="97"/>
      <c r="L21" s="97"/>
      <c r="M21" s="97"/>
      <c r="N21" s="97"/>
      <c r="O21" s="97"/>
      <c r="P21" s="97"/>
      <c r="Q21" s="97"/>
      <c r="R21" s="97"/>
      <c r="S21" s="97"/>
      <c r="T21" s="97"/>
      <c r="U21" s="97"/>
      <c r="V21" s="97"/>
      <c r="W21" s="97"/>
      <c r="X21" s="97"/>
      <c r="Y21" s="97"/>
      <c r="Z21" s="97"/>
    </row>
    <row r="22">
      <c r="A22" s="65" t="s">
        <v>126</v>
      </c>
      <c r="B22" s="115">
        <f>B4</f>
        <v>54</v>
      </c>
      <c r="C22" s="116">
        <f>B22/B26</f>
        <v>0.2288135593</v>
      </c>
      <c r="D22" s="102"/>
      <c r="E22" s="97"/>
      <c r="F22" s="97"/>
      <c r="G22" s="97"/>
      <c r="H22" s="97"/>
      <c r="I22" s="97"/>
      <c r="J22" s="97"/>
      <c r="K22" s="97"/>
      <c r="L22" s="97"/>
      <c r="M22" s="97"/>
      <c r="N22" s="97"/>
      <c r="O22" s="97"/>
      <c r="P22" s="97"/>
      <c r="Q22" s="97"/>
      <c r="R22" s="97"/>
      <c r="S22" s="97"/>
      <c r="T22" s="97"/>
      <c r="U22" s="97"/>
      <c r="V22" s="97"/>
      <c r="W22" s="97"/>
      <c r="X22" s="97"/>
      <c r="Y22" s="97"/>
      <c r="Z22" s="97"/>
    </row>
    <row r="23">
      <c r="A23" s="65" t="s">
        <v>221</v>
      </c>
      <c r="B23" s="115">
        <f>SUMIFS(Input!I:I,Input!L:L,"Solutions Engineering",Input!J:J,"Now")</f>
        <v>0</v>
      </c>
      <c r="C23" s="116">
        <f>B23/B26</f>
        <v>0</v>
      </c>
      <c r="D23" s="102"/>
      <c r="E23" s="97"/>
      <c r="F23" s="97"/>
      <c r="G23" s="97"/>
      <c r="H23" s="97"/>
      <c r="I23" s="97"/>
      <c r="J23" s="97"/>
      <c r="K23" s="97"/>
      <c r="L23" s="97"/>
      <c r="M23" s="97"/>
      <c r="N23" s="97"/>
      <c r="O23" s="97"/>
      <c r="P23" s="97"/>
      <c r="Q23" s="97"/>
      <c r="R23" s="97"/>
      <c r="S23" s="97"/>
      <c r="T23" s="97"/>
      <c r="U23" s="97"/>
      <c r="V23" s="97"/>
      <c r="W23" s="97"/>
      <c r="X23" s="97"/>
      <c r="Y23" s="97"/>
      <c r="Z23" s="97"/>
    </row>
    <row r="24">
      <c r="A24" s="65" t="s">
        <v>222</v>
      </c>
      <c r="B24" s="115">
        <f>SUMIFS(Input!I:I,Input!L:L,"Strategy",Input!J:J,"Now")</f>
        <v>0</v>
      </c>
      <c r="C24" s="116">
        <f>B24/B26</f>
        <v>0</v>
      </c>
      <c r="D24" s="102"/>
      <c r="E24" s="97"/>
      <c r="F24" s="97"/>
      <c r="G24" s="97"/>
      <c r="H24" s="97"/>
      <c r="I24" s="97"/>
      <c r="J24" s="97"/>
      <c r="K24" s="97"/>
      <c r="L24" s="97"/>
      <c r="M24" s="97"/>
      <c r="N24" s="97"/>
      <c r="O24" s="97"/>
      <c r="P24" s="97"/>
      <c r="Q24" s="97"/>
      <c r="R24" s="97"/>
      <c r="S24" s="97"/>
      <c r="T24" s="97"/>
      <c r="U24" s="97"/>
      <c r="V24" s="97"/>
      <c r="W24" s="97"/>
      <c r="X24" s="97"/>
      <c r="Y24" s="97"/>
      <c r="Z24" s="97"/>
    </row>
    <row r="25">
      <c r="A25" s="88"/>
      <c r="B25" s="115"/>
      <c r="C25" s="116"/>
      <c r="D25" s="103"/>
      <c r="E25" s="97"/>
      <c r="F25" s="97"/>
      <c r="G25" s="97"/>
      <c r="H25" s="97"/>
      <c r="I25" s="97"/>
      <c r="J25" s="97"/>
      <c r="K25" s="97"/>
      <c r="L25" s="97"/>
      <c r="M25" s="97"/>
      <c r="N25" s="97"/>
      <c r="O25" s="97"/>
      <c r="P25" s="97"/>
      <c r="Q25" s="97"/>
      <c r="R25" s="97"/>
      <c r="S25" s="97"/>
      <c r="T25" s="97"/>
      <c r="U25" s="97"/>
      <c r="V25" s="97"/>
      <c r="W25" s="97"/>
      <c r="X25" s="97"/>
      <c r="Y25" s="97"/>
      <c r="Z25" s="97"/>
    </row>
    <row r="26">
      <c r="A26" s="65" t="s">
        <v>223</v>
      </c>
      <c r="B26" s="115">
        <f t="shared" ref="B26:C26" si="1">sum(B20:B24)</f>
        <v>236</v>
      </c>
      <c r="C26" s="110">
        <f t="shared" si="1"/>
        <v>1</v>
      </c>
      <c r="D26" s="102"/>
      <c r="E26" s="97"/>
      <c r="F26" s="97"/>
      <c r="G26" s="97"/>
      <c r="H26" s="97"/>
      <c r="I26" s="97"/>
      <c r="J26" s="97"/>
      <c r="K26" s="97"/>
      <c r="L26" s="97"/>
      <c r="M26" s="97"/>
      <c r="N26" s="97"/>
      <c r="O26" s="97"/>
      <c r="P26" s="97"/>
      <c r="Q26" s="97"/>
      <c r="R26" s="97"/>
      <c r="S26" s="97"/>
      <c r="T26" s="97"/>
      <c r="U26" s="97"/>
      <c r="V26" s="97"/>
      <c r="W26" s="97"/>
      <c r="X26" s="97"/>
      <c r="Y26" s="97"/>
      <c r="Z26" s="97"/>
    </row>
    <row r="27">
      <c r="A27" s="118"/>
      <c r="B27" s="91"/>
      <c r="C27" s="91"/>
      <c r="D27" s="103"/>
      <c r="E27" s="97"/>
      <c r="F27" s="97"/>
      <c r="G27" s="97"/>
      <c r="H27" s="97"/>
      <c r="I27" s="97"/>
      <c r="J27" s="97"/>
      <c r="K27" s="97"/>
      <c r="L27" s="97"/>
      <c r="M27" s="97"/>
      <c r="N27" s="97"/>
      <c r="O27" s="97"/>
      <c r="P27" s="97"/>
      <c r="Q27" s="97"/>
      <c r="R27" s="97"/>
      <c r="S27" s="97"/>
      <c r="T27" s="97"/>
      <c r="U27" s="97"/>
      <c r="V27" s="97"/>
      <c r="W27" s="97"/>
      <c r="X27" s="97"/>
      <c r="Y27" s="97"/>
      <c r="Z27" s="97"/>
    </row>
    <row r="28">
      <c r="A28" s="118"/>
      <c r="B28" s="91"/>
      <c r="C28" s="91"/>
      <c r="D28" s="103"/>
      <c r="E28" s="97"/>
      <c r="F28" s="97"/>
      <c r="G28" s="97"/>
      <c r="H28" s="97"/>
      <c r="I28" s="97"/>
      <c r="J28" s="97"/>
      <c r="K28" s="97"/>
      <c r="L28" s="97"/>
      <c r="M28" s="97"/>
      <c r="N28" s="97"/>
      <c r="O28" s="97"/>
      <c r="P28" s="97"/>
      <c r="Q28" s="97"/>
      <c r="R28" s="97"/>
      <c r="S28" s="97"/>
      <c r="T28" s="97"/>
      <c r="U28" s="97"/>
      <c r="V28" s="97"/>
      <c r="W28" s="97"/>
      <c r="X28" s="97"/>
      <c r="Y28" s="97"/>
      <c r="Z28" s="97"/>
    </row>
    <row r="29">
      <c r="A29" s="98" t="s">
        <v>224</v>
      </c>
      <c r="B29" s="119" t="s">
        <v>225</v>
      </c>
      <c r="C29" s="120" t="s">
        <v>226</v>
      </c>
      <c r="D29" s="112"/>
      <c r="E29" s="97"/>
      <c r="F29" s="97"/>
      <c r="G29" s="97"/>
      <c r="H29" s="97"/>
      <c r="I29" s="97"/>
      <c r="J29" s="97"/>
      <c r="K29" s="97"/>
      <c r="L29" s="97"/>
      <c r="M29" s="97"/>
      <c r="N29" s="97"/>
      <c r="O29" s="97"/>
      <c r="P29" s="97"/>
      <c r="Q29" s="97"/>
      <c r="R29" s="97"/>
      <c r="S29" s="97"/>
      <c r="T29" s="97"/>
      <c r="U29" s="97"/>
      <c r="V29" s="97"/>
      <c r="W29" s="97"/>
      <c r="X29" s="97"/>
      <c r="Y29" s="97"/>
      <c r="Z29" s="97"/>
    </row>
    <row r="30">
      <c r="A30" s="65" t="s">
        <v>227</v>
      </c>
      <c r="B30" s="121">
        <f>SUMIF(Input!J:J,"Now",Input!G:G)</f>
        <v>160</v>
      </c>
      <c r="C30" s="121">
        <f>SUMIF(Input!J:J,"Now",Input!H:H)</f>
        <v>274</v>
      </c>
      <c r="D30" s="102"/>
      <c r="E30" s="97"/>
      <c r="F30" s="97"/>
      <c r="G30" s="97"/>
      <c r="H30" s="97"/>
      <c r="I30" s="97"/>
      <c r="J30" s="97"/>
      <c r="K30" s="97"/>
      <c r="L30" s="97"/>
      <c r="M30" s="97"/>
      <c r="N30" s="97"/>
      <c r="O30" s="97"/>
      <c r="P30" s="97"/>
      <c r="Q30" s="97"/>
      <c r="R30" s="97"/>
      <c r="S30" s="97"/>
      <c r="T30" s="97"/>
      <c r="U30" s="97"/>
      <c r="V30" s="97"/>
      <c r="W30" s="97"/>
      <c r="X30" s="97"/>
      <c r="Y30" s="97"/>
      <c r="Z30" s="97"/>
    </row>
    <row r="31">
      <c r="A31" s="65" t="s">
        <v>228</v>
      </c>
      <c r="B31" s="122">
        <f>round(B30*Config!B19,0)</f>
        <v>40</v>
      </c>
      <c r="C31" s="122">
        <f>round(C30*Config!B19,0)</f>
        <v>69</v>
      </c>
      <c r="D31" s="103"/>
      <c r="E31" s="97"/>
      <c r="F31" s="97"/>
      <c r="G31" s="97"/>
      <c r="H31" s="97"/>
      <c r="I31" s="97"/>
      <c r="J31" s="97"/>
      <c r="K31" s="97"/>
      <c r="L31" s="97"/>
      <c r="M31" s="97"/>
      <c r="N31" s="97"/>
      <c r="O31" s="97"/>
      <c r="P31" s="97"/>
      <c r="Q31" s="97"/>
      <c r="R31" s="97"/>
      <c r="S31" s="97"/>
      <c r="T31" s="97"/>
      <c r="U31" s="97"/>
      <c r="V31" s="97"/>
      <c r="W31" s="97"/>
      <c r="X31" s="97"/>
      <c r="Y31" s="97"/>
      <c r="Z31" s="97"/>
    </row>
    <row r="32">
      <c r="A32" s="65" t="s">
        <v>229</v>
      </c>
      <c r="B32" s="121">
        <f>B6</f>
        <v>0</v>
      </c>
      <c r="C32" s="121">
        <f>B6</f>
        <v>0</v>
      </c>
      <c r="D32" s="103"/>
      <c r="E32" s="97"/>
      <c r="F32" s="97"/>
      <c r="G32" s="97"/>
      <c r="H32" s="97"/>
      <c r="I32" s="97"/>
      <c r="J32" s="97"/>
      <c r="K32" s="97"/>
      <c r="L32" s="97"/>
      <c r="M32" s="97"/>
      <c r="N32" s="97"/>
      <c r="O32" s="97"/>
      <c r="P32" s="97"/>
      <c r="Q32" s="97"/>
      <c r="R32" s="97"/>
      <c r="S32" s="97"/>
      <c r="T32" s="97"/>
      <c r="U32" s="97"/>
      <c r="V32" s="97"/>
      <c r="W32" s="97"/>
      <c r="X32" s="97"/>
      <c r="Y32" s="97"/>
      <c r="Z32" s="97"/>
    </row>
    <row r="33">
      <c r="A33" s="65" t="s">
        <v>230</v>
      </c>
      <c r="B33" s="121">
        <f t="shared" ref="B33:C33" si="2">SUM(B30:B32)</f>
        <v>200</v>
      </c>
      <c r="C33" s="101">
        <f t="shared" si="2"/>
        <v>343</v>
      </c>
      <c r="D33" s="123"/>
      <c r="E33" s="97"/>
      <c r="F33" s="97"/>
      <c r="G33" s="97"/>
      <c r="H33" s="97"/>
      <c r="I33" s="97"/>
      <c r="J33" s="97"/>
      <c r="K33" s="97"/>
      <c r="L33" s="97"/>
      <c r="M33" s="97"/>
      <c r="N33" s="97"/>
      <c r="O33" s="97"/>
      <c r="P33" s="97"/>
      <c r="Q33" s="97"/>
      <c r="R33" s="97"/>
      <c r="S33" s="97"/>
      <c r="T33" s="97"/>
      <c r="U33" s="97"/>
      <c r="V33" s="97"/>
      <c r="W33" s="97"/>
      <c r="X33" s="97"/>
      <c r="Y33" s="97"/>
      <c r="Z33" s="97"/>
    </row>
    <row r="34">
      <c r="A34" s="65" t="s">
        <v>231</v>
      </c>
      <c r="B34" s="124">
        <f>(sum(B30:B31)*Config!B18)+(B32*Config!B25)</f>
        <v>49000</v>
      </c>
      <c r="C34" s="124">
        <f>(sum(C30:C31)*Config!B18)+(C32*Config!B25)</f>
        <v>84035</v>
      </c>
      <c r="D34" s="103"/>
      <c r="E34" s="97"/>
      <c r="F34" s="97"/>
      <c r="G34" s="97"/>
      <c r="H34" s="97"/>
      <c r="I34" s="97"/>
      <c r="J34" s="97"/>
      <c r="K34" s="97"/>
      <c r="L34" s="97"/>
      <c r="M34" s="97"/>
      <c r="N34" s="97"/>
      <c r="O34" s="97"/>
      <c r="P34" s="97"/>
      <c r="Q34" s="97"/>
      <c r="R34" s="97"/>
      <c r="S34" s="97"/>
      <c r="T34" s="97"/>
      <c r="U34" s="97"/>
      <c r="V34" s="97"/>
      <c r="W34" s="97"/>
      <c r="X34" s="97"/>
      <c r="Y34" s="97"/>
      <c r="Z34" s="97"/>
    </row>
    <row r="35">
      <c r="A35" s="97"/>
      <c r="B35" s="97"/>
      <c r="C35" s="97"/>
      <c r="D35" s="103"/>
      <c r="E35" s="97"/>
      <c r="F35" s="97"/>
      <c r="G35" s="97"/>
      <c r="H35" s="97"/>
      <c r="I35" s="97"/>
      <c r="J35" s="97"/>
      <c r="K35" s="97"/>
      <c r="L35" s="97"/>
      <c r="M35" s="97"/>
      <c r="N35" s="97"/>
      <c r="O35" s="97"/>
      <c r="P35" s="97"/>
      <c r="Q35" s="97"/>
      <c r="R35" s="97"/>
      <c r="S35" s="97"/>
      <c r="T35" s="97"/>
      <c r="U35" s="97"/>
      <c r="V35" s="97"/>
      <c r="W35" s="97"/>
      <c r="X35" s="97"/>
      <c r="Y35" s="97"/>
      <c r="Z35" s="97"/>
    </row>
    <row r="36">
      <c r="A36" s="98" t="s">
        <v>232</v>
      </c>
      <c r="B36" s="125"/>
      <c r="C36" s="111"/>
      <c r="D36" s="112"/>
      <c r="E36" s="97"/>
      <c r="F36" s="97"/>
      <c r="G36" s="97"/>
      <c r="H36" s="97"/>
      <c r="I36" s="97"/>
      <c r="J36" s="97"/>
      <c r="K36" s="97"/>
      <c r="L36" s="97"/>
      <c r="M36" s="97"/>
      <c r="N36" s="97"/>
      <c r="O36" s="97"/>
      <c r="P36" s="97"/>
      <c r="Q36" s="97"/>
      <c r="R36" s="97"/>
      <c r="S36" s="97"/>
      <c r="T36" s="97"/>
      <c r="U36" s="97"/>
      <c r="V36" s="97"/>
      <c r="W36" s="97"/>
      <c r="X36" s="97"/>
      <c r="Y36" s="97"/>
      <c r="Z36" s="97"/>
    </row>
    <row r="37">
      <c r="A37" s="126" t="str">
        <f>IFERROR(__xludf.DUMMYFUNCTION("VSTACK(
  QUERY(Input!B:J,""SELECT B, SUM(I), SUM(I)*""&amp;Config!B18&amp;"" WHERE B IS NOT NULL AND J = 'Now' GROUP BY B LABEL B 'Workstream', SUM(I) 'Total Hours', SUM(I)*""&amp;Config!B18&amp;"" 'Total Investment'"",1),
  {""Project Management"", ROUND(SUMPRODUCT(QUE"&amp;"RY(Input!B:J,""SELECT SUM(I) WHERE B IS NOT NULL AND J = 'Now' GROUP BY B LABEL SUM(I) ''"",0))*Config!B19,0), ROUND(SUMPRODUCT(QUERY(Input!B:J,""SELECT SUM(I) WHERE B IS NOT NULL AND J = 'Now' GROUP BY B LABEL SUM(I) ''"",0))*Config!B19,0)*Config!B18},
 "&amp;" {""Post-Launch Support"", Config!B26*Config!B27, Config!B26*Config!B27*Config!B25}
)"),"Workstream")</f>
        <v>Workstream</v>
      </c>
      <c r="B37" s="127" t="str">
        <f>IFERROR(__xludf.DUMMYFUNCTION("""COMPUTED_VALUE"""),"Total Hours")</f>
        <v>Total Hours</v>
      </c>
      <c r="C37" s="128" t="str">
        <f>IFERROR(__xludf.DUMMYFUNCTION("""COMPUTED_VALUE"""),"Total Investment")</f>
        <v>Total Investment</v>
      </c>
      <c r="D37" s="102"/>
      <c r="E37" s="97"/>
      <c r="F37" s="97"/>
      <c r="G37" s="97"/>
      <c r="H37" s="97"/>
      <c r="I37" s="97"/>
      <c r="J37" s="97"/>
      <c r="K37" s="97"/>
      <c r="L37" s="97"/>
      <c r="M37" s="97"/>
      <c r="N37" s="97"/>
      <c r="O37" s="97"/>
      <c r="P37" s="97"/>
      <c r="Q37" s="97"/>
      <c r="R37" s="97"/>
      <c r="S37" s="97"/>
      <c r="T37" s="97"/>
      <c r="U37" s="97"/>
      <c r="V37" s="97"/>
      <c r="W37" s="97"/>
      <c r="X37" s="97"/>
      <c r="Y37" s="97"/>
      <c r="Z37" s="97"/>
    </row>
    <row r="38">
      <c r="A38" s="91" t="str">
        <f>IFERROR(__xludf.DUMMYFUNCTION("""COMPUTED_VALUE"""),"Launch")</f>
        <v>Launch</v>
      </c>
      <c r="B38" s="129">
        <f>IFERROR(__xludf.DUMMYFUNCTION("""COMPUTED_VALUE"""),15.0)</f>
        <v>15</v>
      </c>
      <c r="C38" s="130">
        <f>IFERROR(__xludf.DUMMYFUNCTION("""COMPUTED_VALUE"""),3675.0)</f>
        <v>3675</v>
      </c>
      <c r="D38" s="103"/>
      <c r="E38" s="97"/>
      <c r="F38" s="97"/>
      <c r="G38" s="97"/>
      <c r="H38" s="97"/>
      <c r="I38" s="97"/>
      <c r="J38" s="97"/>
      <c r="K38" s="97"/>
      <c r="L38" s="97"/>
      <c r="M38" s="97"/>
      <c r="N38" s="97"/>
      <c r="O38" s="97"/>
      <c r="P38" s="97"/>
      <c r="Q38" s="97"/>
      <c r="R38" s="97"/>
      <c r="S38" s="97"/>
      <c r="T38" s="97"/>
      <c r="U38" s="97"/>
      <c r="V38" s="97"/>
      <c r="W38" s="97"/>
      <c r="X38" s="97"/>
      <c r="Y38" s="97"/>
      <c r="Z38" s="97"/>
    </row>
    <row r="39">
      <c r="A39" s="91" t="str">
        <f>IFERROR(__xludf.DUMMYFUNCTION("""COMPUTED_VALUE"""),"Netsuite Integration")</f>
        <v>Netsuite Integration</v>
      </c>
      <c r="B39" s="129">
        <f>IFERROR(__xludf.DUMMYFUNCTION("""COMPUTED_VALUE"""),66.0)</f>
        <v>66</v>
      </c>
      <c r="C39" s="130">
        <f>IFERROR(__xludf.DUMMYFUNCTION("""COMPUTED_VALUE"""),16170.0)</f>
        <v>16170</v>
      </c>
      <c r="D39" s="103"/>
      <c r="E39" s="97"/>
      <c r="F39" s="97"/>
      <c r="G39" s="97"/>
      <c r="H39" s="97"/>
      <c r="I39" s="97"/>
      <c r="J39" s="97"/>
      <c r="K39" s="97"/>
      <c r="L39" s="97"/>
      <c r="M39" s="97"/>
      <c r="N39" s="97"/>
      <c r="O39" s="97"/>
      <c r="P39" s="97"/>
      <c r="Q39" s="97"/>
      <c r="R39" s="97"/>
      <c r="S39" s="97"/>
      <c r="T39" s="97"/>
      <c r="U39" s="97"/>
      <c r="V39" s="97"/>
      <c r="W39" s="97"/>
      <c r="X39" s="97"/>
      <c r="Y39" s="97"/>
      <c r="Z39" s="97"/>
    </row>
    <row r="40">
      <c r="A40" s="97" t="str">
        <f>IFERROR(__xludf.DUMMYFUNCTION("""COMPUTED_VALUE"""),"Requirements Gathering Workshops ")</f>
        <v>Requirements Gathering Workshops </v>
      </c>
      <c r="B40" s="101">
        <f>IFERROR(__xludf.DUMMYFUNCTION("""COMPUTED_VALUE"""),11.0)</f>
        <v>11</v>
      </c>
      <c r="C40" s="131">
        <f>IFERROR(__xludf.DUMMYFUNCTION("""COMPUTED_VALUE"""),2695.0)</f>
        <v>2695</v>
      </c>
      <c r="D40" s="103"/>
      <c r="E40" s="97"/>
      <c r="F40" s="97"/>
      <c r="G40" s="97"/>
      <c r="H40" s="97"/>
      <c r="I40" s="97"/>
      <c r="J40" s="97"/>
      <c r="K40" s="97"/>
      <c r="L40" s="97"/>
      <c r="M40" s="97"/>
      <c r="N40" s="97"/>
      <c r="O40" s="97"/>
      <c r="P40" s="97"/>
      <c r="Q40" s="97"/>
      <c r="R40" s="97"/>
      <c r="S40" s="97"/>
      <c r="T40" s="97"/>
      <c r="U40" s="97"/>
      <c r="V40" s="97"/>
      <c r="W40" s="97"/>
      <c r="X40" s="97"/>
      <c r="Y40" s="97"/>
      <c r="Z40" s="97"/>
    </row>
    <row r="41">
      <c r="A41" s="97" t="str">
        <f>IFERROR(__xludf.DUMMYFUNCTION("""COMPUTED_VALUE"""),"Sales Implementation")</f>
        <v>Sales Implementation</v>
      </c>
      <c r="B41" s="101">
        <f>IFERROR(__xludf.DUMMYFUNCTION("""COMPUTED_VALUE"""),67.0)</f>
        <v>67</v>
      </c>
      <c r="C41" s="131">
        <f>IFERROR(__xludf.DUMMYFUNCTION("""COMPUTED_VALUE"""),16415.0)</f>
        <v>16415</v>
      </c>
      <c r="D41" s="103"/>
      <c r="E41" s="97"/>
      <c r="F41" s="97"/>
      <c r="G41" s="97"/>
      <c r="H41" s="97"/>
      <c r="I41" s="97"/>
      <c r="J41" s="97"/>
      <c r="K41" s="97"/>
      <c r="L41" s="97"/>
      <c r="M41" s="97"/>
      <c r="N41" s="97"/>
      <c r="O41" s="97"/>
      <c r="P41" s="97"/>
      <c r="Q41" s="97"/>
      <c r="R41" s="97"/>
      <c r="S41" s="97"/>
      <c r="T41" s="97"/>
      <c r="U41" s="97"/>
      <c r="V41" s="97"/>
      <c r="W41" s="97"/>
      <c r="X41" s="97"/>
      <c r="Y41" s="97"/>
      <c r="Z41" s="97"/>
    </row>
    <row r="42">
      <c r="A42" s="97" t="str">
        <f>IFERROR(__xludf.DUMMYFUNCTION("""COMPUTED_VALUE"""),"Solution Design &amp; Validation")</f>
        <v>Solution Design &amp; Validation</v>
      </c>
      <c r="B42" s="101">
        <f>IFERROR(__xludf.DUMMYFUNCTION("""COMPUTED_VALUE"""),31.0)</f>
        <v>31</v>
      </c>
      <c r="C42" s="131">
        <f>IFERROR(__xludf.DUMMYFUNCTION("""COMPUTED_VALUE"""),7595.0)</f>
        <v>7595</v>
      </c>
      <c r="D42" s="103"/>
      <c r="E42" s="97"/>
      <c r="F42" s="97"/>
      <c r="G42" s="97"/>
      <c r="H42" s="97"/>
      <c r="I42" s="97"/>
      <c r="J42" s="97"/>
      <c r="K42" s="97"/>
      <c r="L42" s="97"/>
      <c r="M42" s="97"/>
      <c r="N42" s="97"/>
      <c r="O42" s="97"/>
      <c r="P42" s="97"/>
      <c r="Q42" s="97"/>
      <c r="R42" s="97"/>
      <c r="S42" s="97"/>
      <c r="T42" s="97"/>
      <c r="U42" s="97"/>
      <c r="V42" s="97"/>
      <c r="W42" s="97"/>
      <c r="X42" s="97"/>
      <c r="Y42" s="97"/>
      <c r="Z42" s="97"/>
    </row>
    <row r="43">
      <c r="A43" s="97" t="str">
        <f>IFERROR(__xludf.DUMMYFUNCTION("""COMPUTED_VALUE"""),"Training &amp; Documentation")</f>
        <v>Training &amp; Documentation</v>
      </c>
      <c r="B43" s="101">
        <f>IFERROR(__xludf.DUMMYFUNCTION("""COMPUTED_VALUE"""),27.0)</f>
        <v>27</v>
      </c>
      <c r="C43" s="131">
        <f>IFERROR(__xludf.DUMMYFUNCTION("""COMPUTED_VALUE"""),6615.0)</f>
        <v>6615</v>
      </c>
      <c r="D43" s="103"/>
      <c r="E43" s="97"/>
      <c r="F43" s="97"/>
      <c r="G43" s="97"/>
      <c r="H43" s="97"/>
      <c r="I43" s="97"/>
      <c r="J43" s="97"/>
      <c r="K43" s="97"/>
      <c r="L43" s="97"/>
      <c r="M43" s="97"/>
      <c r="N43" s="97"/>
      <c r="O43" s="97"/>
      <c r="P43" s="97"/>
      <c r="Q43" s="97"/>
      <c r="R43" s="97"/>
      <c r="S43" s="97"/>
      <c r="T43" s="97"/>
      <c r="U43" s="97"/>
      <c r="V43" s="97"/>
      <c r="W43" s="97"/>
      <c r="X43" s="97"/>
      <c r="Y43" s="97"/>
      <c r="Z43" s="97"/>
    </row>
    <row r="44">
      <c r="A44" s="97" t="str">
        <f>IFERROR(__xludf.DUMMYFUNCTION("""COMPUTED_VALUE"""),"Project Management")</f>
        <v>Project Management</v>
      </c>
      <c r="B44" s="101">
        <f>IFERROR(__xludf.DUMMYFUNCTION("""COMPUTED_VALUE"""),54.0)</f>
        <v>54</v>
      </c>
      <c r="C44" s="131">
        <f>IFERROR(__xludf.DUMMYFUNCTION("""COMPUTED_VALUE"""),13230.0)</f>
        <v>13230</v>
      </c>
      <c r="D44" s="103"/>
      <c r="E44" s="97"/>
      <c r="F44" s="97"/>
      <c r="G44" s="97"/>
      <c r="H44" s="97"/>
      <c r="I44" s="97"/>
      <c r="J44" s="97"/>
      <c r="K44" s="97"/>
      <c r="L44" s="97"/>
      <c r="M44" s="97"/>
      <c r="N44" s="97"/>
      <c r="O44" s="97"/>
      <c r="P44" s="97"/>
      <c r="Q44" s="97"/>
      <c r="R44" s="97"/>
      <c r="S44" s="97"/>
      <c r="T44" s="97"/>
      <c r="U44" s="97"/>
      <c r="V44" s="97"/>
      <c r="W44" s="97"/>
      <c r="X44" s="97"/>
      <c r="Y44" s="97"/>
      <c r="Z44" s="97"/>
    </row>
    <row r="45">
      <c r="A45" s="97" t="str">
        <f>IFERROR(__xludf.DUMMYFUNCTION("""COMPUTED_VALUE"""),"Post-Launch Support")</f>
        <v>Post-Launch Support</v>
      </c>
      <c r="B45" s="101">
        <f>IFERROR(__xludf.DUMMYFUNCTION("""COMPUTED_VALUE"""),0.0)</f>
        <v>0</v>
      </c>
      <c r="C45" s="131">
        <f>IFERROR(__xludf.DUMMYFUNCTION("""COMPUTED_VALUE"""),0.0)</f>
        <v>0</v>
      </c>
      <c r="D45" s="103"/>
      <c r="E45" s="97"/>
      <c r="F45" s="97"/>
      <c r="G45" s="97"/>
      <c r="H45" s="97"/>
      <c r="I45" s="97"/>
      <c r="J45" s="97"/>
      <c r="K45" s="97"/>
      <c r="L45" s="97"/>
      <c r="M45" s="97"/>
      <c r="N45" s="97"/>
      <c r="O45" s="97"/>
      <c r="P45" s="97"/>
      <c r="Q45" s="97"/>
      <c r="R45" s="97"/>
      <c r="S45" s="97"/>
      <c r="T45" s="97"/>
      <c r="U45" s="97"/>
      <c r="V45" s="97"/>
      <c r="W45" s="97"/>
      <c r="X45" s="97"/>
      <c r="Y45" s="97"/>
      <c r="Z45" s="97"/>
    </row>
    <row r="46">
      <c r="A46" s="97"/>
      <c r="B46" s="101"/>
      <c r="C46" s="131"/>
      <c r="D46" s="103"/>
      <c r="E46" s="97"/>
      <c r="F46" s="97"/>
      <c r="G46" s="97"/>
      <c r="H46" s="97"/>
      <c r="I46" s="97"/>
      <c r="J46" s="97"/>
      <c r="K46" s="97"/>
      <c r="L46" s="97"/>
      <c r="M46" s="97"/>
      <c r="N46" s="97"/>
      <c r="O46" s="97"/>
      <c r="P46" s="97"/>
      <c r="Q46" s="97"/>
      <c r="R46" s="97"/>
      <c r="S46" s="97"/>
      <c r="T46" s="97"/>
      <c r="U46" s="97"/>
      <c r="V46" s="97"/>
      <c r="W46" s="97"/>
      <c r="X46" s="97"/>
      <c r="Y46" s="97"/>
      <c r="Z46" s="97"/>
    </row>
    <row r="47">
      <c r="A47" s="97"/>
      <c r="B47" s="101"/>
      <c r="C47" s="131"/>
      <c r="D47" s="103"/>
      <c r="E47" s="97"/>
      <c r="F47" s="97"/>
      <c r="G47" s="97"/>
      <c r="H47" s="97"/>
      <c r="I47" s="97"/>
      <c r="J47" s="97"/>
      <c r="K47" s="97"/>
      <c r="L47" s="97"/>
      <c r="M47" s="97"/>
      <c r="N47" s="97"/>
      <c r="O47" s="97"/>
      <c r="P47" s="97"/>
      <c r="Q47" s="97"/>
      <c r="R47" s="97"/>
      <c r="S47" s="97"/>
      <c r="T47" s="97"/>
      <c r="U47" s="97"/>
      <c r="V47" s="97"/>
      <c r="W47" s="97"/>
      <c r="X47" s="97"/>
      <c r="Y47" s="97"/>
      <c r="Z47" s="97"/>
    </row>
    <row r="48">
      <c r="A48" s="97"/>
      <c r="B48" s="101"/>
      <c r="C48" s="131"/>
      <c r="D48" s="103"/>
      <c r="E48" s="97"/>
      <c r="F48" s="97"/>
      <c r="G48" s="97"/>
      <c r="H48" s="97"/>
      <c r="I48" s="97"/>
      <c r="J48" s="97"/>
      <c r="K48" s="97"/>
      <c r="L48" s="97"/>
      <c r="M48" s="97"/>
      <c r="N48" s="97"/>
      <c r="O48" s="97"/>
      <c r="P48" s="97"/>
      <c r="Q48" s="97"/>
      <c r="R48" s="97"/>
      <c r="S48" s="97"/>
      <c r="T48" s="97"/>
      <c r="U48" s="97"/>
      <c r="V48" s="97"/>
      <c r="W48" s="97"/>
      <c r="X48" s="97"/>
      <c r="Y48" s="97"/>
      <c r="Z48" s="97"/>
    </row>
    <row r="49">
      <c r="A49" s="97"/>
      <c r="B49" s="101"/>
      <c r="C49" s="131"/>
      <c r="D49" s="103"/>
      <c r="E49" s="97"/>
      <c r="F49" s="97"/>
      <c r="G49" s="97"/>
      <c r="H49" s="97"/>
      <c r="I49" s="97"/>
      <c r="J49" s="97"/>
      <c r="K49" s="97"/>
      <c r="L49" s="97"/>
      <c r="M49" s="97"/>
      <c r="N49" s="97"/>
      <c r="O49" s="97"/>
      <c r="P49" s="97"/>
      <c r="Q49" s="97"/>
      <c r="R49" s="97"/>
      <c r="S49" s="97"/>
      <c r="T49" s="97"/>
      <c r="U49" s="97"/>
      <c r="V49" s="97"/>
      <c r="W49" s="97"/>
      <c r="X49" s="97"/>
      <c r="Y49" s="97"/>
      <c r="Z49" s="97"/>
    </row>
    <row r="50">
      <c r="A50" s="97"/>
      <c r="B50" s="101"/>
      <c r="C50" s="131"/>
      <c r="D50" s="103"/>
      <c r="E50" s="97"/>
      <c r="F50" s="97"/>
      <c r="G50" s="97"/>
      <c r="H50" s="97"/>
      <c r="I50" s="97"/>
      <c r="J50" s="97"/>
      <c r="K50" s="97"/>
      <c r="L50" s="97"/>
      <c r="M50" s="97"/>
      <c r="N50" s="97"/>
      <c r="O50" s="97"/>
      <c r="P50" s="97"/>
      <c r="Q50" s="97"/>
      <c r="R50" s="97"/>
      <c r="S50" s="97"/>
      <c r="T50" s="97"/>
      <c r="U50" s="97"/>
      <c r="V50" s="97"/>
      <c r="W50" s="97"/>
      <c r="X50" s="97"/>
      <c r="Y50" s="97"/>
      <c r="Z50" s="97"/>
    </row>
    <row r="51">
      <c r="A51" s="97"/>
      <c r="B51" s="101"/>
      <c r="C51" s="131"/>
      <c r="D51" s="103"/>
      <c r="E51" s="97"/>
      <c r="F51" s="97"/>
      <c r="G51" s="97"/>
      <c r="H51" s="97"/>
      <c r="I51" s="97"/>
      <c r="J51" s="97"/>
      <c r="K51" s="97"/>
      <c r="L51" s="97"/>
      <c r="M51" s="97"/>
      <c r="N51" s="97"/>
      <c r="O51" s="97"/>
      <c r="P51" s="97"/>
      <c r="Q51" s="97"/>
      <c r="R51" s="97"/>
      <c r="S51" s="97"/>
      <c r="T51" s="97"/>
      <c r="U51" s="97"/>
      <c r="V51" s="97"/>
      <c r="W51" s="97"/>
      <c r="X51" s="97"/>
      <c r="Y51" s="97"/>
      <c r="Z51" s="97"/>
    </row>
    <row r="52">
      <c r="A52" s="97"/>
      <c r="B52" s="101"/>
      <c r="C52" s="131"/>
      <c r="D52" s="103"/>
      <c r="E52" s="97"/>
      <c r="F52" s="97"/>
      <c r="G52" s="97"/>
      <c r="H52" s="97"/>
      <c r="I52" s="97"/>
      <c r="J52" s="97"/>
      <c r="K52" s="97"/>
      <c r="L52" s="97"/>
      <c r="M52" s="97"/>
      <c r="N52" s="97"/>
      <c r="O52" s="97"/>
      <c r="P52" s="97"/>
      <c r="Q52" s="97"/>
      <c r="R52" s="97"/>
      <c r="S52" s="97"/>
      <c r="T52" s="97"/>
      <c r="U52" s="97"/>
      <c r="V52" s="97"/>
      <c r="W52" s="97"/>
      <c r="X52" s="97"/>
      <c r="Y52" s="97"/>
      <c r="Z52" s="97"/>
    </row>
    <row r="53">
      <c r="A53" s="97"/>
      <c r="B53" s="101"/>
      <c r="C53" s="131"/>
      <c r="D53" s="103"/>
      <c r="E53" s="97"/>
      <c r="F53" s="97"/>
      <c r="G53" s="97"/>
      <c r="H53" s="97"/>
      <c r="I53" s="97"/>
      <c r="J53" s="97"/>
      <c r="K53" s="97"/>
      <c r="L53" s="97"/>
      <c r="M53" s="97"/>
      <c r="N53" s="97"/>
      <c r="O53" s="97"/>
      <c r="P53" s="97"/>
      <c r="Q53" s="97"/>
      <c r="R53" s="97"/>
      <c r="S53" s="97"/>
      <c r="T53" s="97"/>
      <c r="U53" s="97"/>
      <c r="V53" s="97"/>
      <c r="W53" s="97"/>
      <c r="X53" s="97"/>
      <c r="Y53" s="97"/>
      <c r="Z53" s="97"/>
    </row>
    <row r="54">
      <c r="A54" s="97"/>
      <c r="B54" s="101"/>
      <c r="C54" s="131"/>
      <c r="D54" s="103"/>
      <c r="E54" s="97"/>
      <c r="F54" s="97"/>
      <c r="G54" s="97"/>
      <c r="H54" s="97"/>
      <c r="I54" s="97"/>
      <c r="J54" s="97"/>
      <c r="K54" s="97"/>
      <c r="L54" s="97"/>
      <c r="M54" s="97"/>
      <c r="N54" s="97"/>
      <c r="O54" s="97"/>
      <c r="P54" s="97"/>
      <c r="Q54" s="97"/>
      <c r="R54" s="97"/>
      <c r="S54" s="97"/>
      <c r="T54" s="97"/>
      <c r="U54" s="97"/>
      <c r="V54" s="97"/>
      <c r="W54" s="97"/>
      <c r="X54" s="97"/>
      <c r="Y54" s="97"/>
      <c r="Z54" s="97"/>
    </row>
    <row r="55">
      <c r="A55" s="97"/>
      <c r="B55" s="101"/>
      <c r="C55" s="131"/>
      <c r="D55" s="103"/>
      <c r="E55" s="97"/>
      <c r="F55" s="97"/>
      <c r="G55" s="97"/>
      <c r="H55" s="97"/>
      <c r="I55" s="97"/>
      <c r="J55" s="97"/>
      <c r="K55" s="97"/>
      <c r="L55" s="97"/>
      <c r="M55" s="97"/>
      <c r="N55" s="97"/>
      <c r="O55" s="97"/>
      <c r="P55" s="97"/>
      <c r="Q55" s="97"/>
      <c r="R55" s="97"/>
      <c r="S55" s="97"/>
      <c r="T55" s="97"/>
      <c r="U55" s="97"/>
      <c r="V55" s="97"/>
      <c r="W55" s="97"/>
      <c r="X55" s="97"/>
      <c r="Y55" s="97"/>
      <c r="Z55" s="97"/>
    </row>
    <row r="56">
      <c r="A56" s="97"/>
      <c r="B56" s="101"/>
      <c r="C56" s="131"/>
      <c r="D56" s="103"/>
      <c r="E56" s="97"/>
      <c r="F56" s="97"/>
      <c r="G56" s="97"/>
      <c r="H56" s="97"/>
      <c r="I56" s="97"/>
      <c r="J56" s="97"/>
      <c r="K56" s="97"/>
      <c r="L56" s="97"/>
      <c r="M56" s="97"/>
      <c r="N56" s="97"/>
      <c r="O56" s="97"/>
      <c r="P56" s="97"/>
      <c r="Q56" s="97"/>
      <c r="R56" s="97"/>
      <c r="S56" s="97"/>
      <c r="T56" s="97"/>
      <c r="U56" s="97"/>
      <c r="V56" s="97"/>
      <c r="W56" s="97"/>
      <c r="X56" s="97"/>
      <c r="Y56" s="97"/>
      <c r="Z56" s="97"/>
    </row>
    <row r="57">
      <c r="A57" s="97"/>
      <c r="B57" s="101"/>
      <c r="C57" s="131"/>
      <c r="D57" s="103"/>
      <c r="E57" s="97"/>
      <c r="F57" s="97"/>
      <c r="G57" s="97"/>
      <c r="H57" s="97"/>
      <c r="I57" s="97"/>
      <c r="J57" s="97"/>
      <c r="K57" s="97"/>
      <c r="L57" s="97"/>
      <c r="M57" s="97"/>
      <c r="N57" s="97"/>
      <c r="O57" s="97"/>
      <c r="P57" s="97"/>
      <c r="Q57" s="97"/>
      <c r="R57" s="97"/>
      <c r="S57" s="97"/>
      <c r="T57" s="97"/>
      <c r="U57" s="97"/>
      <c r="V57" s="97"/>
      <c r="W57" s="97"/>
      <c r="X57" s="97"/>
      <c r="Y57" s="97"/>
      <c r="Z57" s="97"/>
    </row>
    <row r="58">
      <c r="A58" s="97"/>
      <c r="B58" s="101"/>
      <c r="C58" s="131"/>
      <c r="D58" s="103"/>
      <c r="E58" s="97"/>
      <c r="F58" s="97"/>
      <c r="G58" s="97"/>
      <c r="H58" s="97"/>
      <c r="I58" s="97"/>
      <c r="J58" s="97"/>
      <c r="K58" s="97"/>
      <c r="L58" s="97"/>
      <c r="M58" s="97"/>
      <c r="N58" s="97"/>
      <c r="O58" s="97"/>
      <c r="P58" s="97"/>
      <c r="Q58" s="97"/>
      <c r="R58" s="97"/>
      <c r="S58" s="97"/>
      <c r="T58" s="97"/>
      <c r="U58" s="97"/>
      <c r="V58" s="97"/>
      <c r="W58" s="97"/>
      <c r="X58" s="97"/>
      <c r="Y58" s="97"/>
      <c r="Z58" s="97"/>
    </row>
    <row r="59">
      <c r="A59" s="97"/>
      <c r="B59" s="101"/>
      <c r="C59" s="131"/>
      <c r="D59" s="103"/>
      <c r="E59" s="97"/>
      <c r="F59" s="97"/>
      <c r="G59" s="97"/>
      <c r="H59" s="97"/>
      <c r="I59" s="97"/>
      <c r="J59" s="97"/>
      <c r="K59" s="97"/>
      <c r="L59" s="97"/>
      <c r="M59" s="97"/>
      <c r="N59" s="97"/>
      <c r="O59" s="97"/>
      <c r="P59" s="97"/>
      <c r="Q59" s="97"/>
      <c r="R59" s="97"/>
      <c r="S59" s="97"/>
      <c r="T59" s="97"/>
      <c r="U59" s="97"/>
      <c r="V59" s="97"/>
      <c r="W59" s="97"/>
      <c r="X59" s="97"/>
      <c r="Y59" s="97"/>
      <c r="Z59" s="97"/>
    </row>
    <row r="60">
      <c r="A60" s="97"/>
      <c r="B60" s="101"/>
      <c r="C60" s="131"/>
      <c r="D60" s="103"/>
      <c r="E60" s="97"/>
      <c r="F60" s="97"/>
      <c r="G60" s="97"/>
      <c r="H60" s="97"/>
      <c r="I60" s="97"/>
      <c r="J60" s="97"/>
      <c r="K60" s="97"/>
      <c r="L60" s="97"/>
      <c r="M60" s="97"/>
      <c r="N60" s="97"/>
      <c r="O60" s="97"/>
      <c r="P60" s="97"/>
      <c r="Q60" s="97"/>
      <c r="R60" s="97"/>
      <c r="S60" s="97"/>
      <c r="T60" s="97"/>
      <c r="U60" s="97"/>
      <c r="V60" s="97"/>
      <c r="W60" s="97"/>
      <c r="X60" s="97"/>
      <c r="Y60" s="97"/>
      <c r="Z60" s="97"/>
    </row>
    <row r="61">
      <c r="A61" s="97"/>
      <c r="B61" s="101"/>
      <c r="C61" s="131"/>
      <c r="D61" s="103"/>
      <c r="E61" s="97"/>
      <c r="F61" s="97"/>
      <c r="G61" s="97"/>
      <c r="H61" s="97"/>
      <c r="I61" s="97"/>
      <c r="J61" s="97"/>
      <c r="K61" s="97"/>
      <c r="L61" s="97"/>
      <c r="M61" s="97"/>
      <c r="N61" s="97"/>
      <c r="O61" s="97"/>
      <c r="P61" s="97"/>
      <c r="Q61" s="97"/>
      <c r="R61" s="97"/>
      <c r="S61" s="97"/>
      <c r="T61" s="97"/>
      <c r="U61" s="97"/>
      <c r="V61" s="97"/>
      <c r="W61" s="97"/>
      <c r="X61" s="97"/>
      <c r="Y61" s="97"/>
      <c r="Z61" s="97"/>
    </row>
    <row r="62">
      <c r="A62" s="97"/>
      <c r="B62" s="101"/>
      <c r="C62" s="131"/>
      <c r="D62" s="103"/>
      <c r="E62" s="97"/>
      <c r="F62" s="97"/>
      <c r="G62" s="97"/>
      <c r="H62" s="97"/>
      <c r="I62" s="97"/>
      <c r="J62" s="97"/>
      <c r="K62" s="97"/>
      <c r="L62" s="97"/>
      <c r="M62" s="97"/>
      <c r="N62" s="97"/>
      <c r="O62" s="97"/>
      <c r="P62" s="97"/>
      <c r="Q62" s="97"/>
      <c r="R62" s="97"/>
      <c r="S62" s="97"/>
      <c r="T62" s="97"/>
      <c r="U62" s="97"/>
      <c r="V62" s="97"/>
      <c r="W62" s="97"/>
      <c r="X62" s="97"/>
      <c r="Y62" s="97"/>
      <c r="Z62" s="97"/>
    </row>
    <row r="63">
      <c r="A63" s="97"/>
      <c r="B63" s="101"/>
      <c r="C63" s="131"/>
      <c r="D63" s="97"/>
      <c r="E63" s="97"/>
      <c r="F63" s="97"/>
      <c r="G63" s="97"/>
      <c r="H63" s="97"/>
      <c r="I63" s="97"/>
      <c r="J63" s="97"/>
      <c r="K63" s="97"/>
      <c r="L63" s="97"/>
      <c r="M63" s="97"/>
      <c r="N63" s="97"/>
      <c r="O63" s="97"/>
      <c r="P63" s="97"/>
      <c r="Q63" s="97"/>
      <c r="R63" s="97"/>
      <c r="S63" s="97"/>
      <c r="T63" s="97"/>
      <c r="U63" s="97"/>
      <c r="V63" s="97"/>
      <c r="W63" s="97"/>
      <c r="X63" s="97"/>
      <c r="Y63" s="97"/>
      <c r="Z63" s="97"/>
    </row>
    <row r="64">
      <c r="A64" s="97"/>
      <c r="B64" s="101"/>
      <c r="C64" s="131"/>
      <c r="D64" s="97"/>
      <c r="E64" s="97"/>
      <c r="F64" s="97"/>
      <c r="G64" s="97"/>
      <c r="H64" s="97"/>
      <c r="I64" s="97"/>
      <c r="J64" s="97"/>
      <c r="K64" s="97"/>
      <c r="L64" s="97"/>
      <c r="M64" s="97"/>
      <c r="N64" s="97"/>
      <c r="O64" s="97"/>
      <c r="P64" s="97"/>
      <c r="Q64" s="97"/>
      <c r="R64" s="97"/>
      <c r="S64" s="97"/>
      <c r="T64" s="97"/>
      <c r="U64" s="97"/>
      <c r="V64" s="97"/>
      <c r="W64" s="97"/>
      <c r="X64" s="97"/>
      <c r="Y64" s="97"/>
      <c r="Z64" s="97"/>
    </row>
    <row r="65">
      <c r="A65" s="97"/>
      <c r="B65" s="101"/>
      <c r="C65" s="131"/>
      <c r="D65" s="97"/>
      <c r="E65" s="97"/>
      <c r="F65" s="97"/>
      <c r="G65" s="97"/>
      <c r="H65" s="97"/>
      <c r="I65" s="97"/>
      <c r="J65" s="97"/>
      <c r="K65" s="97"/>
      <c r="L65" s="97"/>
      <c r="M65" s="97"/>
      <c r="N65" s="97"/>
      <c r="O65" s="97"/>
      <c r="P65" s="97"/>
      <c r="Q65" s="97"/>
      <c r="R65" s="97"/>
      <c r="S65" s="97"/>
      <c r="T65" s="97"/>
      <c r="U65" s="97"/>
      <c r="V65" s="97"/>
      <c r="W65" s="97"/>
      <c r="X65" s="97"/>
      <c r="Y65" s="97"/>
      <c r="Z65" s="97"/>
    </row>
    <row r="66">
      <c r="A66" s="97"/>
      <c r="B66" s="101"/>
      <c r="C66" s="131"/>
      <c r="D66" s="97"/>
      <c r="E66" s="97"/>
      <c r="F66" s="97"/>
      <c r="G66" s="97"/>
      <c r="H66" s="97"/>
      <c r="I66" s="97"/>
      <c r="J66" s="97"/>
      <c r="K66" s="97"/>
      <c r="L66" s="97"/>
      <c r="M66" s="97"/>
      <c r="N66" s="97"/>
      <c r="O66" s="97"/>
      <c r="P66" s="97"/>
      <c r="Q66" s="97"/>
      <c r="R66" s="97"/>
      <c r="S66" s="97"/>
      <c r="T66" s="97"/>
      <c r="U66" s="97"/>
      <c r="V66" s="97"/>
      <c r="W66" s="97"/>
      <c r="X66" s="97"/>
      <c r="Y66" s="97"/>
      <c r="Z66" s="97"/>
    </row>
    <row r="67">
      <c r="A67" s="97"/>
      <c r="B67" s="101"/>
      <c r="C67" s="131"/>
      <c r="D67" s="97"/>
      <c r="E67" s="97"/>
      <c r="F67" s="97"/>
      <c r="G67" s="97"/>
      <c r="H67" s="97"/>
      <c r="I67" s="97"/>
      <c r="J67" s="97"/>
      <c r="K67" s="97"/>
      <c r="L67" s="97"/>
      <c r="M67" s="97"/>
      <c r="N67" s="97"/>
      <c r="O67" s="97"/>
      <c r="P67" s="97"/>
      <c r="Q67" s="97"/>
      <c r="R67" s="97"/>
      <c r="S67" s="97"/>
      <c r="T67" s="97"/>
      <c r="U67" s="97"/>
      <c r="V67" s="97"/>
      <c r="W67" s="97"/>
      <c r="X67" s="97"/>
      <c r="Y67" s="97"/>
      <c r="Z67" s="97"/>
    </row>
    <row r="68">
      <c r="A68" s="97"/>
      <c r="B68" s="101"/>
      <c r="C68" s="131"/>
      <c r="D68" s="97"/>
      <c r="E68" s="97"/>
      <c r="F68" s="97"/>
      <c r="G68" s="97"/>
      <c r="H68" s="97"/>
      <c r="I68" s="97"/>
      <c r="J68" s="97"/>
      <c r="K68" s="97"/>
      <c r="L68" s="97"/>
      <c r="M68" s="97"/>
      <c r="N68" s="97"/>
      <c r="O68" s="97"/>
      <c r="P68" s="97"/>
      <c r="Q68" s="97"/>
      <c r="R68" s="97"/>
      <c r="S68" s="97"/>
      <c r="T68" s="97"/>
      <c r="U68" s="97"/>
      <c r="V68" s="97"/>
      <c r="W68" s="97"/>
      <c r="X68" s="97"/>
      <c r="Y68" s="97"/>
      <c r="Z68" s="97"/>
    </row>
    <row r="69">
      <c r="A69" s="97"/>
      <c r="B69" s="101"/>
      <c r="C69" s="131"/>
      <c r="D69" s="97"/>
      <c r="E69" s="97"/>
      <c r="F69" s="97"/>
      <c r="G69" s="97"/>
      <c r="H69" s="97"/>
      <c r="I69" s="97"/>
      <c r="J69" s="97"/>
      <c r="K69" s="97"/>
      <c r="L69" s="97"/>
      <c r="M69" s="97"/>
      <c r="N69" s="97"/>
      <c r="O69" s="97"/>
      <c r="P69" s="97"/>
      <c r="Q69" s="97"/>
      <c r="R69" s="97"/>
      <c r="S69" s="97"/>
      <c r="T69" s="97"/>
      <c r="U69" s="97"/>
      <c r="V69" s="97"/>
      <c r="W69" s="97"/>
      <c r="X69" s="97"/>
      <c r="Y69" s="97"/>
      <c r="Z69" s="97"/>
    </row>
    <row r="70">
      <c r="A70" s="97"/>
      <c r="B70" s="101"/>
      <c r="C70" s="131"/>
      <c r="D70" s="97"/>
      <c r="E70" s="97"/>
      <c r="F70" s="97"/>
      <c r="G70" s="97"/>
      <c r="H70" s="97"/>
      <c r="I70" s="97"/>
      <c r="J70" s="97"/>
      <c r="K70" s="97"/>
      <c r="L70" s="97"/>
      <c r="M70" s="97"/>
      <c r="N70" s="97"/>
      <c r="O70" s="97"/>
      <c r="P70" s="97"/>
      <c r="Q70" s="97"/>
      <c r="R70" s="97"/>
      <c r="S70" s="97"/>
      <c r="T70" s="97"/>
      <c r="U70" s="97"/>
      <c r="V70" s="97"/>
      <c r="W70" s="97"/>
      <c r="X70" s="97"/>
      <c r="Y70" s="97"/>
      <c r="Z70" s="97"/>
    </row>
    <row r="71">
      <c r="A71" s="97"/>
      <c r="B71" s="101"/>
      <c r="C71" s="131"/>
      <c r="D71" s="97"/>
      <c r="E71" s="97"/>
      <c r="F71" s="97"/>
      <c r="G71" s="97"/>
      <c r="H71" s="97"/>
      <c r="I71" s="97"/>
      <c r="J71" s="97"/>
      <c r="K71" s="97"/>
      <c r="L71" s="97"/>
      <c r="M71" s="97"/>
      <c r="N71" s="97"/>
      <c r="O71" s="97"/>
      <c r="P71" s="97"/>
      <c r="Q71" s="97"/>
      <c r="R71" s="97"/>
      <c r="S71" s="97"/>
      <c r="T71" s="97"/>
      <c r="U71" s="97"/>
      <c r="V71" s="97"/>
      <c r="W71" s="97"/>
      <c r="X71" s="97"/>
      <c r="Y71" s="97"/>
      <c r="Z71" s="97"/>
    </row>
    <row r="72">
      <c r="A72" s="97"/>
      <c r="B72" s="101"/>
      <c r="C72" s="131"/>
      <c r="D72" s="97"/>
      <c r="E72" s="97"/>
      <c r="F72" s="97"/>
      <c r="G72" s="97"/>
      <c r="H72" s="97"/>
      <c r="I72" s="97"/>
      <c r="J72" s="97"/>
      <c r="K72" s="97"/>
      <c r="L72" s="97"/>
      <c r="M72" s="97"/>
      <c r="N72" s="97"/>
      <c r="O72" s="97"/>
      <c r="P72" s="97"/>
      <c r="Q72" s="97"/>
      <c r="R72" s="97"/>
      <c r="S72" s="97"/>
      <c r="T72" s="97"/>
      <c r="U72" s="97"/>
      <c r="V72" s="97"/>
      <c r="W72" s="97"/>
      <c r="X72" s="97"/>
      <c r="Y72" s="97"/>
      <c r="Z72" s="97"/>
    </row>
    <row r="73">
      <c r="A73" s="97"/>
      <c r="B73" s="101"/>
      <c r="C73" s="101"/>
      <c r="D73" s="97"/>
      <c r="E73" s="97"/>
      <c r="F73" s="97"/>
      <c r="G73" s="97"/>
      <c r="H73" s="97"/>
      <c r="I73" s="97"/>
      <c r="J73" s="97"/>
      <c r="K73" s="97"/>
      <c r="L73" s="97"/>
      <c r="M73" s="97"/>
      <c r="N73" s="97"/>
      <c r="O73" s="97"/>
      <c r="P73" s="97"/>
      <c r="Q73" s="97"/>
      <c r="R73" s="97"/>
      <c r="S73" s="97"/>
      <c r="T73" s="97"/>
      <c r="U73" s="97"/>
      <c r="V73" s="97"/>
      <c r="W73" s="97"/>
      <c r="X73" s="97"/>
      <c r="Y73" s="97"/>
      <c r="Z73" s="97"/>
    </row>
    <row r="74">
      <c r="A74" s="97"/>
      <c r="B74" s="101"/>
      <c r="C74" s="101"/>
      <c r="D74" s="97"/>
      <c r="E74" s="97"/>
      <c r="F74" s="97"/>
      <c r="G74" s="97"/>
      <c r="H74" s="97"/>
      <c r="I74" s="97"/>
      <c r="J74" s="97"/>
      <c r="K74" s="97"/>
      <c r="L74" s="97"/>
      <c r="M74" s="97"/>
      <c r="N74" s="97"/>
      <c r="O74" s="97"/>
      <c r="P74" s="97"/>
      <c r="Q74" s="97"/>
      <c r="R74" s="97"/>
      <c r="S74" s="97"/>
      <c r="T74" s="97"/>
      <c r="U74" s="97"/>
      <c r="V74" s="97"/>
      <c r="W74" s="97"/>
      <c r="X74" s="97"/>
      <c r="Y74" s="97"/>
      <c r="Z74" s="97"/>
    </row>
    <row r="75">
      <c r="A75" s="97"/>
      <c r="B75" s="101"/>
      <c r="C75" s="101"/>
      <c r="D75" s="97"/>
      <c r="E75" s="97"/>
      <c r="F75" s="97"/>
      <c r="G75" s="97"/>
      <c r="H75" s="97"/>
      <c r="I75" s="97"/>
      <c r="J75" s="97"/>
      <c r="K75" s="97"/>
      <c r="L75" s="97"/>
      <c r="M75" s="97"/>
      <c r="N75" s="97"/>
      <c r="O75" s="97"/>
      <c r="P75" s="97"/>
      <c r="Q75" s="97"/>
      <c r="R75" s="97"/>
      <c r="S75" s="97"/>
      <c r="T75" s="97"/>
      <c r="U75" s="97"/>
      <c r="V75" s="97"/>
      <c r="W75" s="97"/>
      <c r="X75" s="97"/>
      <c r="Y75" s="97"/>
      <c r="Z75" s="97"/>
    </row>
  </sheetData>
  <drawing r:id="rId1"/>
</worksheet>
</file>