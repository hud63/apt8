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put" sheetId="1" r:id="rId4"/>
    <sheet state="visible" name="ClickUp Import" sheetId="2" r:id="rId5"/>
    <sheet state="visible" name="Config" sheetId="3" r:id="rId6"/>
    <sheet state="visible" name="Calculations" sheetId="4" r:id="rId7"/>
  </sheets>
  <definedNames/>
  <calcPr/>
</workbook>
</file>

<file path=xl/sharedStrings.xml><?xml version="1.0" encoding="utf-8"?>
<sst xmlns="http://schemas.openxmlformats.org/spreadsheetml/2006/main" count="307" uniqueCount="223">
  <si>
    <t>Display</t>
  </si>
  <si>
    <t>Workstream</t>
  </si>
  <si>
    <t>Service_Title</t>
  </si>
  <si>
    <t>Customer_Story</t>
  </si>
  <si>
    <t>Suggested_Path</t>
  </si>
  <si>
    <t>Assumptions</t>
  </si>
  <si>
    <t>Estimated_Low_Hours</t>
  </si>
  <si>
    <t>Estimated_High_Hours</t>
  </si>
  <si>
    <t>Contracted_Hours</t>
  </si>
  <si>
    <t>Requires_Clarification</t>
  </si>
  <si>
    <t>Function</t>
  </si>
  <si>
    <t>Library_ID</t>
  </si>
  <si>
    <t>Project_ID</t>
  </si>
  <si>
    <t>Internal_Notes</t>
  </si>
  <si>
    <t>Task_Link</t>
  </si>
  <si>
    <t>Now</t>
  </si>
  <si>
    <t>USPS Address Validation &amp; Shipping Automation</t>
  </si>
  <si>
    <t>Discovery Workshops</t>
  </si>
  <si>
    <t>PBE requires consensus on USPS-native address validation, label creation, and tracking updates to remove manual effort and rework.</t>
  </si>
  <si>
    <t>Facilitate 3–4 workshops with Sales, Ops, and IT to define validation points, label flow, tracking cadence, Azure storage model, field mappings, and success criteria.</t>
  </si>
  <si>
    <t>- Includes up to 2 sessions with notes + playback. 
- Excludes formal technical design; covered by Solution Design. 
- Client provides USPS business rules and sandbox/credentials. 
- Scope changes after playback require change order.</t>
  </si>
  <si>
    <t>Solutions Engineering</t>
  </si>
  <si>
    <t>- One row per business process
- 2 meetings for low complexity, 3-4 meetings for moderate complexity, 5+ for high complexity projects</t>
  </si>
  <si>
    <t>Solution Design &lt;br&gt; (TRD &amp; Architecture)</t>
  </si>
  <si>
    <t>PBE needs a defensible, secure design for HubSpot ⇄ USPS flows with Azure-based label storage.</t>
  </si>
  <si>
    <t>Produce TRD and architecture diagram covering USPS endpoints, HubSpot extension pattern, Azure Blob write/read path, mappings, error paths, and monitoring approach.</t>
  </si>
  <si>
    <t>- Includes 1 TRD (≤35 pp) + 1 architecture diagram; up to 2 rounds of revisions. 
- Excludes USPS/Azure procurement and on-prem components. 
- Client supplies USPS keys and Azure access model. 
- New endpoints or security changes post-approval trigger change order.</t>
  </si>
  <si>
    <t xml:space="preserve">USPS Address Validation </t>
  </si>
  <si>
    <t>Build: Address Validation  &lt;br&gt;  (HubSpot → USPS)</t>
  </si>
  <si>
    <t>PBE needs automated address verification at creation/update to reduce failed deliveries.</t>
  </si>
  <si>
    <t>Implement a HubSpot workflow/custom action to call USPS /addresses/v3/standardize, persist standardized fields + “Address Verified” flag, and route failures to a queue.</t>
  </si>
  <si>
    <t xml:space="preserve">- Includes 1 validation flow, 1 exception queue, and up to 10 mapped fields across Contact/Company/Deal.
 - Excludes international validation. 
- Client provides test data and API keys. 
- Adding new objects or &gt;10 fields triggers change order.
-  PBD will need to create a USPS account from their current provider and shipping orders. </t>
  </si>
  <si>
    <t>Development</t>
  </si>
  <si>
    <r>
      <rPr>
        <rFont val="Arial"/>
        <color theme="1"/>
      </rPr>
      <t xml:space="preserve">- One row per business process
- # of expected meetings for requirements gathering must have at least the equivalent SD workshops
- 1 hour per deliverable, minimum - there are 8 deliverables listed, the minimum we create is 6 each time? with POC and UAT might not be applicable for the most basic projects?
- Add to assumptions SE time is required when applicable, ensure hours align
- Language in </t>
    </r>
    <r>
      <rPr>
        <rFont val="Arial"/>
        <color rgb="FFCC0000"/>
      </rPr>
      <t>Red</t>
    </r>
    <r>
      <rPr>
        <rFont val="Arial"/>
        <color theme="1"/>
      </rPr>
      <t xml:space="preserve"> is optional for each scope. Only keep if applicable.</t>
    </r>
  </si>
  <si>
    <t>Hide</t>
  </si>
  <si>
    <t>Build: Label Generation &amp;  &lt;br&gt; Azure Storage Linkage</t>
  </si>
  <si>
    <t>PBE wants label creation from HubSpot with PDFs stored in Azure and linked on Deals.</t>
  </si>
  <si>
    <t>Implement USPS /domesticlabelsv3/labels; upload to Azure Blob; write secure label link + metadata (service, ship date, cost) to HubSpot.</t>
  </si>
  <si>
    <t>- Includes 1 label flow and Azure upload integration with 1 container and up to 6 metadata fields.
- Excludes custom label artwork and multi-package logic. 
- Client provisions Azure Blob container, keys, and access policies. 
- Changes to storage model or security posture may require change order.</t>
  </si>
  <si>
    <t>- At least one 60 minute meeting for low complexity, at least two 60 minute meetings for moderate complexity, and at least 3 for high complexity projects</t>
  </si>
  <si>
    <t>Build: Tracking Integration  &lt;br&gt;  (USPS → HubSpot)</t>
  </si>
  <si>
    <t>PBE needs automatic status and milestone updates on the Deal to avoid manual lookups.</t>
  </si>
  <si>
    <t>Implement USPS Tracking API (webhook or poll) to update Tracking #, Status, Last Scan, and Delivery Date; surface errors in an “Attention” list.</t>
  </si>
  <si>
    <t>- Includes up to 6 return fields and 1 error list/queue. 
- Excludes historical backfill and external BI dashboards. 
- Client enables outbound notifications or provides polling cadence + test numbers. 
- Expanding to other carriers or SLAs triggers change order.</t>
  </si>
  <si>
    <t>UAT  &lt;br&gt; (USPS Automation)</t>
  </si>
  <si>
    <t>PBE must validate end-to-end flows before launch.</t>
  </si>
  <si>
    <t>Run a structured UAT covering validation, label, error paths, and tracking updates; log defects and retests.</t>
  </si>
  <si>
    <t>- Includes 1 UAT cycle (≤15 cases) with summary. 
- Excludes live shipments; test mode only. 
- Client furnishes UAT users and scenarios. 
- Extra cycles or production pilots billed separately.</t>
  </si>
  <si>
    <t>Dealer Bulk Submission Spreadsheet Process</t>
  </si>
  <si>
    <t>Discovery Workshops (Upload)</t>
  </si>
  <si>
    <t>CS needs a low-touch way to create many sample orders at once without manual entry.</t>
  </si>
  <si>
    <t>Host sessions to finalize CSV columns, validation rules, product/quantity logic, dedupe strategy, and import frequency.</t>
  </si>
  <si>
    <t>- Includes 2 sessions with playback + decision log. 
- Excludes technical design deliverables; covered by Solution Design. 
- Client provides sample spreadsheets and SKU logic. 
- Scope changes post-playback require change order.</t>
  </si>
  <si>
    <t>Solution Design  &lt;br&gt;  (TRD &amp; Mapping)</t>
  </si>
  <si>
    <t>PBE needs a blueprint to convert validated rows into Deals and Line Items reliably.</t>
  </si>
  <si>
    <t>Author TRD with template spec, field dictionary, validation matrix, mapping to objects/associations, and error-report approach.</t>
  </si>
  <si>
    <t>- Includes 1 TRD (≤25 pp) + 1 mapping diagram; up to 2 revisions. 
- Excludes historical imports.
 - Client approves template + mapping prior to build. 
- Template or mapping changes after sign-off require change order.</t>
  </si>
  <si>
    <t>Build: Template &amp; Upload  &lt;br&gt; Automation / Process</t>
  </si>
  <si>
    <t>CS requires a governed import process that rejects bad rows and creates correct records.</t>
  </si>
  <si>
    <t>Deliver a locked CSV template; build validation/parsing; create records via API/workflows with proper associations and line items; tag created records for QA.</t>
  </si>
  <si>
    <t>- Includes 1 CSV template, 1 upload automation, up to 20 mapped fields, and 1 “Created via Upload” tag. 
- Excludes multi-file batching and dealer self-service portal. 
- Client approves template and provides SKU lists/values. 
- Changes to file structure, SKU logic, or &gt;20 fields trigger change order.</t>
  </si>
  <si>
    <t>UAT (Upload)</t>
  </si>
  <si>
    <t>PBE must confirm good/bad file handling and correct record creation.</t>
  </si>
  <si>
    <t>Execute UAT with valid/invalid files, partial failures, and rollback checks; finalize acceptance.</t>
  </si>
  <si>
    <t>- Includes 1 UAT cycle with ≤10 scenarios. - Excludes external dealer testing; client manages external comms. - Client supplies test data. - Additional cycles billed separately.</t>
  </si>
  <si>
    <t>Later</t>
  </si>
  <si>
    <t>Attribution and Revenue Reporting</t>
  </si>
  <si>
    <t>Scalable Revenue/Growth Reporting – Discovery Workshops</t>
  </si>
  <si>
    <t>Stakeholders need guardrails for “samples → sales impact,” indirect vs. direct, and “referred by” logic at scale.</t>
  </si>
  <si>
    <t>Facilitate sessions to define KPIs, aggregation windows, eligible pipelines, property strategy (rollups/labels), and performance tradeoffs.</t>
  </si>
  <si>
    <t>- Includes up to 3 sessions + discovery notes/playback. 
- Excludes creation of properties/workflows/reports. 
- Client supplies example reports, fiscal/calendar rules, and volume estimates. 
- Discovery may recommend BI for certain visuals; tradeoffs will be documented.</t>
  </si>
  <si>
    <t>Consulting</t>
  </si>
  <si>
    <t>Custom Attribution Object – Solution Design (TRD &amp; Data Model)</t>
  </si>
  <si>
    <t>Team requires a data model and execution plan before committing to implementation effort.</t>
  </si>
  <si>
    <t>Produce TRD + Lucid-style schema for object, properties, associations/labels, rollup strategy, and example reporting queries with a phased backlog.</t>
  </si>
  <si>
    <t>- Includes 1 TRD + 1 data model; up to 2 iterations. 
- Excludes implementation, migrations, and dashboards. 
- Material changes or platform limits encountered will trigger change order.</t>
  </si>
  <si>
    <t>Attribution Rollup Automation &lt;br&gt;  &amp; Property Framework</t>
  </si>
  <si>
    <t>PBE requires foundational rollup and calculated properties to operationalize the attribution model defined in discovery and design.</t>
  </si>
  <si>
    <t>Implement initial HubSpot properties, calculated fields, and workflows to test and operationalize attribution rollups once the TRD and data model are approved.</t>
  </si>
  <si>
    <t>- Includes an initial 25 hours for configuration and proof-of-concept implementation. 
- Scope and total LOE to be re-evaluated post-solution validation - final effort may range 25 – 70 hours depending on architecture complexity. 
- Excludes new custom objects, BI connectors, or large-scale data migrations. 
- Any additional effort beyond the initial 25 hours requires written approval or change order.</t>
  </si>
  <si>
    <t>Revenue &amp; Growth Reporting Build</t>
  </si>
  <si>
    <t>PBE requires initial dashboards and reports linking attribution data, sample activity, and revenue trends, leveraging the confirmed reporting framework.</t>
  </si>
  <si>
    <t>Create early-stage dashboards within HubSpot using confirmed rollups and pipelines; validate structure and metrics with stakeholders before expanding.</t>
  </si>
  <si>
    <t>- Includes an initial 25 hours for report and dashboard buildout. 
- Final scope to be reassessed after validation of data model and property framework; expected range 25 – 70 hours. 
- Excludes external BI tools, ETL pipelines, or historical backfill. 
- Additional reporting requests or dataset changes post-validation require change order.</t>
  </si>
  <si>
    <t>Launch, Training &amp; Handoff</t>
  </si>
  <si>
    <t>Training &amp; Enablement</t>
  </si>
  <si>
    <t>Sales/Ops/IT must adopt new screens, upload steps, and USPS workflows confidently.</t>
  </si>
  <si>
    <t>Deliver 2 recorded sessions (Ops, Sales, IT) on upload, USPS flows, exception handling, and dashboards.</t>
  </si>
  <si>
    <t>- Includes up to 2 sessions + recordings and slide handouts.
- Client ensures attendance and environment access. 
- Extra sessions/materials beyond listed counts billed separately.</t>
  </si>
  <si>
    <t>Documentation &amp; Handoff</t>
  </si>
  <si>
    <t>PBE requires clear admin/ops materials to support day-to-day ownership.</t>
  </si>
  <si>
    <t>Provide admin guide, integration runbook (error queues + remediation), and field mapping registry for USPS + Upload.</t>
  </si>
  <si>
    <t>- Includes 1 admin guide, 1 runbook, 1 mapping registry; up to 2 revisions. 
- Excludes IT policy documents and end-user SOPs beyond included guides. 
- Client owns credential storage and key rotation.
- Requests beyond listed docs require change order.</t>
  </si>
  <si>
    <t>Cutover &amp; Hypercare</t>
  </si>
  <si>
    <t>PBE needs a controlled rollout with short-term stabilization support.</t>
  </si>
  <si>
    <t>Execute cutover plan for USPS + Upload; monitor queues and remediate critical issues during hypercare (≤10 hrs over 2 weeks).</t>
  </si>
  <si>
    <t>- This hypercare period is for 2 weeks (10 business days) post-launch
- Hypercare support is only available during regular business hours on regular working days (i.e. no holidays or weekends)
- Any unused Hypercare hours can be applied to the first month of the NEXT retainer
- Hypercare hours may be applied to any issues, bugs, or questions that relate to the launch, but any new functionality requests will be backlogged for the NEXT retainer
- Any hours needed for bug fixes beyond the scoped Hypercare hours will be billed as overage hours</t>
  </si>
  <si>
    <t>Monitoring &amp; Error Handling Setup</t>
  </si>
  <si>
    <t>PBE wants ongoing visibility into USPS API health and upload failures.</t>
  </si>
  <si>
    <t>Configure HubSpot dashboards/lists and a weekly digest covering failed validations, label/tracking errors, and rejected rows.</t>
  </si>
  <si>
    <t>- Includes up to 3 dashboards and 1 weekly digest. 
- Excludes third-party monitoring tools/alerting. 
- Client assigns an owner to review/action the queues. 
- Real-time alerting or external tools require change order.</t>
  </si>
  <si>
    <t>Task Type</t>
  </si>
  <si>
    <t>Task Name</t>
  </si>
  <si>
    <t>Description Content</t>
  </si>
  <si>
    <t>High Hours Estimate</t>
  </si>
  <si>
    <t>Contracted Hours</t>
  </si>
  <si>
    <t>Customer Story</t>
  </si>
  <si>
    <t>CS needs a low-touch way to create many sample orders at once without manual entry.
Host sessions to finalize CSV columns, validation rules, product/quantity logic, dedupe strategy, and import frequency.
- Includes 2 sessions with playback + decision log. 
- Excludes technical design deliverables; covered by Solution Design. 
- Client provides sample spreadsheets and SKU logic. 
- Scope changes post-playback require change order.</t>
  </si>
  <si>
    <t>PBE needs a blueprint to convert validated rows into Deals and Line Items reliably.
Author TRD with template spec, field dictionary, validation matrix, mapping to objects/associations, and error-report approach.
- Includes 1 TRD (≤25 pp) + 1 mapping diagram; up to 2 revisions. 
- Excludes historical imports.
 - Client approves template + mapping prior to build. 
- Template or mapping changes after sign-off require change order.</t>
  </si>
  <si>
    <t>CS requires a governed import process that rejects bad rows and creates correct records.
Deliver a locked CSV template; build validation/parsing; create records via API/workflows with proper associations and line items; tag created records for QA.
- Includes 1 CSV template, 1 upload automation, up to 20 mapped fields, and 1 “Created via Upload” tag. 
- Excludes multi-file batching and dealer self-service portal. 
- Client approves template and provides SKU lists/values. 
- Changes to file structure, SKU logic, or &gt;20 fields trigger change order.</t>
  </si>
  <si>
    <t>PBE must confirm good/bad file handling and correct record creation.
Execute UAT with valid/invalid files, partial failures, and rollback checks; finalize acceptance.
- Includes 1 UAT cycle with ≤10 scenarios. - Excludes external dealer testing; client manages external comms. - Client supplies test data. - Additional cycles billed separately.</t>
  </si>
  <si>
    <t>Sales/Ops/IT must adopt new screens, upload steps, and USPS workflows confidently.
Deliver 2 recorded sessions (Ops, Sales, IT) on upload, USPS flows, exception handling, and dashboards.
- Includes up to 2 sessions + recordings and slide handouts.
- Client ensures attendance and environment access. 
- Extra sessions/materials beyond listed counts billed separately.</t>
  </si>
  <si>
    <t>PBE requires clear admin/ops materials to support day-to-day ownership.
Provide admin guide, integration runbook (error queues + remediation), and field mapping registry for USPS + Upload.
- Includes 1 admin guide, 1 runbook, 1 mapping registry; up to 2 revisions. 
- Excludes IT policy documents and end-user SOPs beyond included guides. 
- Client owns credential storage and key rotation.
- Requests beyond listed docs require change order.</t>
  </si>
  <si>
    <t>PBE needs a controlled rollout with short-term stabilization support.
Execute cutover plan for USPS + Upload; monitor queues and remediate critical issues during hypercare (≤10 hrs over 2 weeks).
- This hypercare period is for 2 weeks (10 business days) post-launch
- Hypercare support is only available during regular business hours on regular working days (i.e. no holidays or weekends)
- Any unused Hypercare hours can be applied to the first month of the NEXT retainer
- Hypercare hours may be applied to any issues, bugs, or questions that relate to the launch, but any new functionality requests will be backlogged for the NEXT retainer
- Any hours needed for bug fixes beyond the scoped Hypercare hours will be billed as overage hours</t>
  </si>
  <si>
    <t>PBE wants ongoing visibility into USPS API health and upload failures.
Configure HubSpot dashboards/lists and a weekly digest covering failed validations, label/tracking errors, and rejected rows.
- Includes up to 3 dashboards and 1 weekly digest. 
- Excludes third-party monitoring tools/alerting. 
- Client assigns an owner to review/action the queues. 
- Real-time alerting or external tools require change order.</t>
  </si>
  <si>
    <t>PBE needs automated address verification at creation/update to reduce failed deliveries.
Implement a HubSpot workflow/custom action to call USPS /addresses/v3/standardize, persist standardized fields + “Address Verified” flag, and route failures to a queue.
- Includes 1 validation flow, 1 exception queue, and up to 10 mapped fields across Contact/Company/Deal.
 - Excludes international validation. 
- Client provides test data and API keys. 
- Adding new objects or &gt;10 fields triggers change order.
-  PBD will need to create a USPS account from their current provider and shipping orders.</t>
  </si>
  <si>
    <t>PBE must validate end-to-end flows before launch.
Run a structured UAT covering validation, label, error paths, and tracking updates; log defects and retests.
- Includes 1 UAT cycle (≤15 cases) with summary. 
- Excludes live shipments; test mode only. 
- Client furnishes UAT users and scenarios. 
- Extra cycles or production pilots billed separately.</t>
  </si>
  <si>
    <t>PBE requires consensus on USPS-native address validation, label creation, and tracking updates to remove manual effort and rework.
Facilitate 3–4 workshops with Sales, Ops, and IT to define validation points, label flow, tracking cadence, Azure storage model, field mappings, and success criteria.
- Includes up to 2 sessions with notes + playback. 
- Excludes formal technical design; covered by Solution Design. 
- Client provides USPS business rules and sandbox/credentials. 
- Scope changes after playback require change order.</t>
  </si>
  <si>
    <t>PBE needs a defensible, secure design for HubSpot ⇄ USPS flows with Azure-based label storage.
Produce TRD and architecture diagram covering USPS endpoints, HubSpot extension pattern, Azure Blob write/read path, mappings, error paths, and monitoring approach.
- Includes 1 TRD (≤35 pp) + 1 architecture diagram; up to 2 rounds of revisions. 
- Excludes USPS/Azure procurement and on-prem components. 
- Client supplies USPS keys and Azure access model. 
- New endpoints or security changes post-approval trigger change order.</t>
  </si>
  <si>
    <t>Project Management</t>
  </si>
  <si>
    <t>Project Kickoff, Onboarding, and Closeout</t>
  </si>
  <si>
    <t>Recurring Project Check-ins</t>
  </si>
  <si>
    <t>Project Administration</t>
  </si>
  <si>
    <t>Configuration</t>
  </si>
  <si>
    <t>Value</t>
  </si>
  <si>
    <t>Description</t>
  </si>
  <si>
    <t>HubSpot Property</t>
  </si>
  <si>
    <t>GDrive + Deal Inputs</t>
  </si>
  <si>
    <t>Company Name</t>
  </si>
  <si>
    <t>PBE Net</t>
  </si>
  <si>
    <t>Client company name for proposals</t>
  </si>
  <si>
    <t>Google Folder</t>
  </si>
  <si>
    <t>Needs to be manually input for the time being, will be set by the Pipedream automation</t>
  </si>
  <si>
    <t>Deal Record ID</t>
  </si>
  <si>
    <t>HubSpot deal record ID, needs to be manually input for the time being, will be set by the Pipedream automation</t>
  </si>
  <si>
    <t>Last Sync to HubSpot</t>
  </si>
  <si>
    <t>The last time the story doc was sync'd to the HubSpot deal record</t>
  </si>
  <si>
    <t>Solutions Architect</t>
  </si>
  <si>
    <t>SA assigned to this project</t>
  </si>
  <si>
    <t>Scoping Status</t>
  </si>
  <si>
    <t>Scope Confirmation</t>
  </si>
  <si>
    <t>scoping_status</t>
  </si>
  <si>
    <t>Project ID</t>
  </si>
  <si>
    <t>------</t>
  </si>
  <si>
    <t>TBD on usage to facilitate project creation</t>
  </si>
  <si>
    <t>Client HTML Page</t>
  </si>
  <si>
    <t>Client Page URL</t>
  </si>
  <si>
    <t>https://script.google.com/macros/s/AKfycbzGfZXXrB8GB7kt-FSeTA8sL0Rw3BzaXwifNA9CDpjsqe8NBn4EL159NLqLBYwGjqUw/exec?sheetId=1APvZJQRd7hgMk2UowHkXDGeQKirg2wK8HE5hfPs8LrI</t>
  </si>
  <si>
    <t>The URL of the page that will be shared in Trumpet</t>
  </si>
  <si>
    <t>customer_stories_client_url</t>
  </si>
  <si>
    <t>Last Client Page URL Generated</t>
  </si>
  <si>
    <t>The last time you created/updated a URL so we can understand deployment app versions</t>
  </si>
  <si>
    <t>Client Page Status</t>
  </si>
  <si>
    <t>Final Presentation</t>
  </si>
  <si>
    <t>Determines page status for the shared link</t>
  </si>
  <si>
    <t>NOW Project</t>
  </si>
  <si>
    <t>Hourly Project Rate</t>
  </si>
  <si>
    <t>Standard hourly rate for most services</t>
  </si>
  <si>
    <t>project_hourly_rate</t>
  </si>
  <si>
    <t>Project Management Factor</t>
  </si>
  <si>
    <t>Percentage markup for project management</t>
  </si>
  <si>
    <t>Project Management Content</t>
  </si>
  <si>
    <t xml:space="preserve">To support management and communication, a project manager and delivery lead will own all A8 tasks and clearly communicate needs.
- Visibility to budget spend will be provided during the duration of the project
- A8 will provide check-in agenda items and follow-ups
- PBE to communicate to A8's shared inbox for easier collaboration and timely responses
- PBE driven delay will result in additional PM time billed to manage timeline
</t>
  </si>
  <si>
    <t>Description text for the PM section. editable by you.</t>
  </si>
  <si>
    <t>SA Expected Start Date</t>
  </si>
  <si>
    <t>Project start date</t>
  </si>
  <si>
    <t>Total Project Months</t>
  </si>
  <si>
    <t>Expected project duration</t>
  </si>
  <si>
    <t>project_duration</t>
  </si>
  <si>
    <t>NEXT Support Retainer</t>
  </si>
  <si>
    <t>Post-Launch Hourly Rate</t>
  </si>
  <si>
    <t>Post-launch rate, a zero here will hide the workstream/section</t>
  </si>
  <si>
    <t>retainer_hourly_rate</t>
  </si>
  <si>
    <t>Post-Launch Hours Per Month</t>
  </si>
  <si>
    <t>Post-launch hours per month, a zero here will hide the workstream/section</t>
  </si>
  <si>
    <t>retainer_hours_per_month_sold</t>
  </si>
  <si>
    <t>Post-Launch # of Months</t>
  </si>
  <si>
    <t>Post-launch months, a zero here will hide the workstream/section</t>
  </si>
  <si>
    <t>retainer_months_sold</t>
  </si>
  <si>
    <t>Post-Launch Support Content</t>
  </si>
  <si>
    <t>Hours dedicated to post go-live support. These hours can be used for anything HubSpot related (reporting, training, iterations, additional asks, etc.)</t>
  </si>
  <si>
    <t>Description text for the post-launch section</t>
  </si>
  <si>
    <t>Additional Notes + Considerations</t>
  </si>
  <si>
    <t>Additional Notes</t>
  </si>
  <si>
    <t xml:space="preserve">- The assumptions content in this scope is based on information and discovery during the sales evaluation and is subject to change during the project if additional challenges or barriers are discovered.
- A8 is a Time &amp; Materials agency, we will provide transparent budget tracking throughout the project and change orders will require approvals. 
- We interchange between A8 and Aptitude 8 in this document.
- Scope includes USPS Address Validation &amp; Shipping Automation and Dealer Bulk Upload (Spreadsheet) Automation.
- Customer Portal and Marketplace App options are excluded.
- Reporting &amp; Attribution are limited to discovery and design only; build to be estimated separately.
- Automates address validation, label creation, and tracking using USPS REST APIs directly from HubSpot.
- Labels are stored in client-managed Azure Blob Storage, with secure links written back to HubSpot.
- Tracking updates are synced automatically via USPS API (polling or webhook).
- All functionality runs within HubSpot workflows and CRM cards; no external app or UI.
- Client provides USPS credentials and owns USPS account setup.
- Mapping and validation logic defined during Solution Design and documented in the TRD.
- Internal-only solution; no external dealer portal or login interface included.
- Enables bulk order creation through a standardized CSV template processed via HubSpot automation.
- Validates and rejects bad rows; creates Deals and Line Items from approved data.
- Aptitude 8 integrates HubSpot and USPS with the Azure container and documents connection points.
- Azure security, compliance, and maintenance remain under client ownership.
- Client Azure team provisions and manages Blob Storage, keys, and permissions.
- Only USPS is in scope; no additional carriers included.
- Client provides all credentials, test data, and UAT participants.
- Design assumes typical HubSpot API limits; major data scale or API changes may require redesign.
- Hypercare includes up to 10 hours post-launch; ongoing governance transitions to client or separate retainer.
- Any post-approval changes to USPS APIs, Azure setup, or HubSpot schema will require a change order.
-  Requires HubSpot Enterprise with Operations Hub and Custom Code Actions.
</t>
  </si>
  <si>
    <t>Description text for below the investment summaries, but above the later phase workstreams</t>
  </si>
  <si>
    <t>Calculated Project Details</t>
  </si>
  <si>
    <t>Total Service Hours Hours</t>
  </si>
  <si>
    <t>Total amount of Input rows</t>
  </si>
  <si>
    <t>Total Project Management Hours</t>
  </si>
  <si>
    <t>Based on PM % in Config Sheet</t>
  </si>
  <si>
    <t>Total Project Hours Sold</t>
  </si>
  <si>
    <t>Service + PM</t>
  </si>
  <si>
    <t>project_hours_sold</t>
  </si>
  <si>
    <t>Total Retainer Hours Sold</t>
  </si>
  <si>
    <t>Total Engagement Hours Sold</t>
  </si>
  <si>
    <t>This should match exactly to the investment block on the HTML Page</t>
  </si>
  <si>
    <t>sold_hours</t>
  </si>
  <si>
    <t>Deal Amount</t>
  </si>
  <si>
    <t>amount</t>
  </si>
  <si>
    <t>Expected End Date</t>
  </si>
  <si>
    <t>Expected Project Hours/Month</t>
  </si>
  <si>
    <t>Linear Expected Project Hours/Week</t>
  </si>
  <si>
    <t>Peak Project Expected Hours/Week</t>
  </si>
  <si>
    <t>Low Project Expected Hours/Week</t>
  </si>
  <si>
    <t>Dev Work Percentage</t>
  </si>
  <si>
    <t>dev_work_pct</t>
  </si>
  <si>
    <t>SE Work Percentage</t>
  </si>
  <si>
    <t>se_work_pct</t>
  </si>
  <si>
    <t>Calculated Function Summary</t>
  </si>
  <si>
    <t>Sum of Hours</t>
  </si>
  <si>
    <t>Percent of</t>
  </si>
  <si>
    <t>Strategy</t>
  </si>
  <si>
    <t>Sum of Function-Based Hours</t>
  </si>
  <si>
    <t>Calculated Ranges</t>
  </si>
  <si>
    <t>Low Hours</t>
  </si>
  <si>
    <t>High Hours</t>
  </si>
  <si>
    <t>Project Service Estimates:</t>
  </si>
  <si>
    <t>Project Management:</t>
  </si>
  <si>
    <t>Post-Project Support:</t>
  </si>
  <si>
    <t>Hour Estimates:</t>
  </si>
  <si>
    <t>Investment Ranges:</t>
  </si>
  <si>
    <t>SOW Summarized Line Items</t>
  </si>
</sst>
</file>

<file path=xl/styles.xml><?xml version="1.0" encoding="utf-8"?>
<styleSheet xmlns="http://schemas.openxmlformats.org/spreadsheetml/2006/main" xmlns:x14ac="http://schemas.microsoft.com/office/spreadsheetml/2009/9/ac" xmlns:mc="http://schemas.openxmlformats.org/markup-compatibility/2006">
  <numFmts count="5">
    <numFmt numFmtId="164" formatCode="&quot;$&quot;#,##0"/>
    <numFmt numFmtId="165" formatCode="mm/dd/yyyy, h:mm:ss am/pm"/>
    <numFmt numFmtId="166" formatCode="M/d/yyyy H:mm:ss"/>
    <numFmt numFmtId="167" formatCode="m/d/yyyy"/>
    <numFmt numFmtId="168" formatCode="&quot;$&quot;#,##0.00"/>
  </numFmts>
  <fonts count="13">
    <font>
      <sz val="10.0"/>
      <color rgb="FF000000"/>
      <name val="Arial"/>
      <scheme val="minor"/>
    </font>
    <font>
      <b/>
      <color theme="1"/>
      <name val="Arial"/>
    </font>
    <font>
      <b/>
      <color rgb="FF000000"/>
      <name val="Arial"/>
    </font>
    <font>
      <color theme="1"/>
      <name val="Arial"/>
    </font>
    <font>
      <color theme="1"/>
      <name val="Arial"/>
      <scheme val="minor"/>
    </font>
    <font>
      <b/>
      <color theme="1"/>
      <name val="Arial"/>
      <scheme val="minor"/>
    </font>
    <font>
      <b/>
      <sz val="12.0"/>
      <color theme="1"/>
      <name val="Rubik"/>
    </font>
    <font>
      <b/>
      <color theme="1"/>
      <name val="Rubik"/>
    </font>
    <font>
      <i/>
      <color rgb="FF999999"/>
      <name val="Rubik"/>
    </font>
    <font>
      <color theme="1"/>
      <name val="Rubik"/>
    </font>
    <font>
      <color rgb="FFB7B7B7"/>
      <name val="Rubik"/>
    </font>
    <font>
      <u/>
      <color rgb="FF0000FF"/>
      <name val="Arial"/>
    </font>
    <font>
      <color rgb="FF999999"/>
      <name val="Rubik"/>
    </font>
  </fonts>
  <fills count="8">
    <fill>
      <patternFill patternType="none"/>
    </fill>
    <fill>
      <patternFill patternType="lightGray"/>
    </fill>
    <fill>
      <patternFill patternType="solid">
        <fgColor rgb="FFFBBC04"/>
        <bgColor rgb="FFFBBC04"/>
      </patternFill>
    </fill>
    <fill>
      <patternFill patternType="solid">
        <fgColor rgb="FFCCCCCC"/>
        <bgColor rgb="FFCCCCCC"/>
      </patternFill>
    </fill>
    <fill>
      <patternFill patternType="solid">
        <fgColor rgb="FFF4CCCC"/>
        <bgColor rgb="FFF4CCCC"/>
      </patternFill>
    </fill>
    <fill>
      <patternFill patternType="solid">
        <fgColor rgb="FFFFF2CC"/>
        <bgColor rgb="FFFFF2CC"/>
      </patternFill>
    </fill>
    <fill>
      <patternFill patternType="solid">
        <fgColor rgb="FFB7B7B7"/>
        <bgColor rgb="FFB7B7B7"/>
      </patternFill>
    </fill>
    <fill>
      <patternFill patternType="solid">
        <fgColor rgb="FFF3F3F3"/>
        <bgColor rgb="FFF3F3F3"/>
      </patternFill>
    </fill>
  </fills>
  <borders count="2">
    <border/>
    <border>
      <top style="medium">
        <color rgb="FF000000"/>
      </top>
    </border>
  </borders>
  <cellStyleXfs count="1">
    <xf borderId="0" fillId="0" fontId="0" numFmtId="0" applyAlignment="1" applyFont="1"/>
  </cellStyleXfs>
  <cellXfs count="114">
    <xf borderId="0" fillId="0" fontId="0" numFmtId="0" xfId="0" applyAlignment="1" applyFont="1">
      <alignment readingOrder="0" shrinkToFit="0" vertical="bottom" wrapText="0"/>
    </xf>
    <xf borderId="0" fillId="2" fontId="1" numFmtId="0" xfId="0" applyAlignment="1" applyFill="1" applyFont="1">
      <alignment shrinkToFit="0" vertical="center" wrapText="1"/>
    </xf>
    <xf borderId="0" fillId="2" fontId="1" numFmtId="1" xfId="0" applyAlignment="1" applyFont="1" applyNumberFormat="1">
      <alignment horizontal="center" shrinkToFit="0" vertical="center" wrapText="1"/>
    </xf>
    <xf borderId="0" fillId="3" fontId="2" numFmtId="49" xfId="0" applyAlignment="1" applyFill="1" applyFont="1" applyNumberFormat="1">
      <alignment horizontal="center" shrinkToFit="0" vertical="center" wrapText="1"/>
    </xf>
    <xf borderId="0" fillId="2" fontId="1" numFmtId="0" xfId="0" applyAlignment="1" applyFont="1">
      <alignment readingOrder="0" shrinkToFit="0" vertical="center" wrapText="1"/>
    </xf>
    <xf borderId="0" fillId="2" fontId="1" numFmtId="0" xfId="0" applyAlignment="1" applyFont="1">
      <alignment horizontal="left" shrinkToFit="0" vertical="center" wrapText="1"/>
    </xf>
    <xf borderId="0" fillId="3" fontId="2" numFmtId="0" xfId="0" applyAlignment="1" applyFont="1">
      <alignment shrinkToFit="0" vertical="center" wrapText="1"/>
    </xf>
    <xf borderId="0" fillId="3" fontId="2" numFmtId="0" xfId="0" applyAlignment="1" applyFont="1">
      <alignment horizontal="left" readingOrder="0" shrinkToFit="0" vertical="center" wrapText="1"/>
    </xf>
    <xf borderId="0" fillId="0" fontId="3" numFmtId="0" xfId="0" applyAlignment="1" applyFont="1">
      <alignment readingOrder="0" vertical="center"/>
    </xf>
    <xf borderId="0" fillId="0" fontId="1" numFmtId="0" xfId="0" applyAlignment="1" applyFont="1">
      <alignment readingOrder="0" shrinkToFit="0" vertical="center" wrapText="1"/>
    </xf>
    <xf borderId="0" fillId="0" fontId="3" numFmtId="0" xfId="0" applyAlignment="1" applyFont="1">
      <alignment readingOrder="0" shrinkToFit="0" vertical="center" wrapText="1"/>
    </xf>
    <xf borderId="0" fillId="0" fontId="4" numFmtId="0" xfId="0" applyAlignment="1" applyFont="1">
      <alignment readingOrder="0" vertical="center"/>
    </xf>
    <xf borderId="0" fillId="0" fontId="3" numFmtId="0" xfId="0" applyAlignment="1" applyFont="1">
      <alignment horizontal="center" readingOrder="0" vertical="center"/>
    </xf>
    <xf borderId="0" fillId="0" fontId="3" numFmtId="49" xfId="0" applyAlignment="1" applyFont="1" applyNumberFormat="1">
      <alignment horizontal="center" vertical="center"/>
    </xf>
    <xf borderId="0" fillId="0" fontId="3" numFmtId="0" xfId="0" applyAlignment="1" applyFont="1">
      <alignment horizontal="left" readingOrder="0" shrinkToFit="0" vertical="center" wrapText="1"/>
    </xf>
    <xf borderId="0" fillId="0" fontId="3" numFmtId="0" xfId="0" applyAlignment="1" applyFont="1">
      <alignment vertical="center"/>
    </xf>
    <xf borderId="0" fillId="0" fontId="3" numFmtId="0" xfId="0" applyAlignment="1" applyFont="1">
      <alignment horizontal="left" readingOrder="0" vertical="center"/>
    </xf>
    <xf borderId="0" fillId="0" fontId="4" numFmtId="0" xfId="0" applyAlignment="1" applyFont="1">
      <alignment readingOrder="0" shrinkToFit="0" vertical="center" wrapText="1"/>
    </xf>
    <xf borderId="0" fillId="0" fontId="3" numFmtId="0" xfId="0" applyAlignment="1" applyFont="1">
      <alignment readingOrder="0" shrinkToFit="0" vertical="center" wrapText="1"/>
    </xf>
    <xf borderId="0" fillId="0" fontId="4" numFmtId="0" xfId="0" applyAlignment="1" applyFont="1">
      <alignment vertical="center"/>
    </xf>
    <xf borderId="0" fillId="4" fontId="3" numFmtId="0" xfId="0" applyAlignment="1" applyFill="1" applyFont="1">
      <alignment readingOrder="0" vertical="center"/>
    </xf>
    <xf borderId="0" fillId="4" fontId="1" numFmtId="0" xfId="0" applyAlignment="1" applyFont="1">
      <alignment readingOrder="0" shrinkToFit="0" vertical="center" wrapText="1"/>
    </xf>
    <xf borderId="0" fillId="4" fontId="3" numFmtId="0" xfId="0" applyAlignment="1" applyFont="1">
      <alignment readingOrder="0" shrinkToFit="0" vertical="center" wrapText="1"/>
    </xf>
    <xf borderId="0" fillId="4" fontId="3" numFmtId="0" xfId="0" applyAlignment="1" applyFont="1">
      <alignment horizontal="center" readingOrder="0" vertical="center"/>
    </xf>
    <xf borderId="0" fillId="4" fontId="3" numFmtId="49" xfId="0" applyAlignment="1" applyFont="1" applyNumberFormat="1">
      <alignment horizontal="center" vertical="center"/>
    </xf>
    <xf borderId="0" fillId="4" fontId="3" numFmtId="0" xfId="0" applyAlignment="1" applyFont="1">
      <alignment horizontal="left" readingOrder="0" shrinkToFit="0" vertical="center" wrapText="1"/>
    </xf>
    <xf borderId="0" fillId="4" fontId="3" numFmtId="0" xfId="0" applyAlignment="1" applyFont="1">
      <alignment vertical="center"/>
    </xf>
    <xf borderId="0" fillId="4" fontId="3" numFmtId="0" xfId="0" applyAlignment="1" applyFont="1">
      <alignment horizontal="left" readingOrder="0" vertical="center"/>
    </xf>
    <xf borderId="0" fillId="4" fontId="4" numFmtId="0" xfId="0" applyAlignment="1" applyFont="1">
      <alignment readingOrder="0" shrinkToFit="0" vertical="center" wrapText="1"/>
    </xf>
    <xf borderId="0" fillId="4" fontId="4" numFmtId="0" xfId="0" applyAlignment="1" applyFont="1">
      <alignment vertical="center"/>
    </xf>
    <xf borderId="0" fillId="4" fontId="3" numFmtId="0" xfId="0" applyAlignment="1" applyFont="1">
      <alignment readingOrder="0" shrinkToFit="0" vertical="center" wrapText="1"/>
    </xf>
    <xf borderId="0" fillId="4" fontId="4" numFmtId="0" xfId="0" applyAlignment="1" applyFont="1">
      <alignment shrinkToFit="0" vertical="center" wrapText="1"/>
    </xf>
    <xf borderId="0" fillId="0" fontId="3" numFmtId="0" xfId="0" applyAlignment="1" applyFont="1">
      <alignment horizontal="left" vertical="center"/>
    </xf>
    <xf borderId="0" fillId="0" fontId="4" numFmtId="0" xfId="0" applyAlignment="1" applyFont="1">
      <alignment shrinkToFit="0" vertical="center" wrapText="1"/>
    </xf>
    <xf borderId="0" fillId="4" fontId="3" numFmtId="0" xfId="0" applyAlignment="1" applyFont="1">
      <alignment horizontal="left" vertical="center"/>
    </xf>
    <xf borderId="0" fillId="4" fontId="4" numFmtId="0" xfId="0" applyAlignment="1" applyFont="1">
      <alignment readingOrder="0" shrinkToFit="0" vertical="center" wrapText="1"/>
    </xf>
    <xf borderId="0" fillId="4" fontId="4" numFmtId="0" xfId="0" applyAlignment="1" applyFont="1">
      <alignment readingOrder="0" vertical="center"/>
    </xf>
    <xf borderId="0" fillId="4" fontId="4" numFmtId="0" xfId="0" applyAlignment="1" applyFont="1">
      <alignment readingOrder="0"/>
    </xf>
    <xf borderId="0" fillId="0" fontId="3" numFmtId="1" xfId="0" applyAlignment="1" applyFont="1" applyNumberFormat="1">
      <alignment horizontal="center" readingOrder="0" vertical="center"/>
    </xf>
    <xf borderId="0" fillId="0" fontId="4" numFmtId="0" xfId="0" applyAlignment="1" applyFont="1">
      <alignment horizontal="center" readingOrder="0" vertical="center"/>
    </xf>
    <xf borderId="0" fillId="0" fontId="4" numFmtId="0" xfId="0" applyAlignment="1" applyFont="1">
      <alignment horizontal="center" vertical="center"/>
    </xf>
    <xf borderId="0" fillId="0" fontId="4" numFmtId="0" xfId="0" applyAlignment="1" applyFont="1">
      <alignment horizontal="left" vertical="center"/>
    </xf>
    <xf borderId="0" fillId="0" fontId="4" numFmtId="49" xfId="0" applyAlignment="1" applyFont="1" applyNumberFormat="1">
      <alignment horizontal="center" vertical="center"/>
    </xf>
    <xf borderId="0" fillId="0" fontId="5" numFmtId="0" xfId="0" applyAlignment="1" applyFont="1">
      <alignment readingOrder="0"/>
    </xf>
    <xf borderId="0" fillId="5" fontId="5" numFmtId="0" xfId="0" applyAlignment="1" applyFill="1" applyFont="1">
      <alignment readingOrder="0"/>
    </xf>
    <xf borderId="0" fillId="5" fontId="5" numFmtId="0" xfId="0" applyFont="1"/>
    <xf borderId="0" fillId="0" fontId="4" numFmtId="0" xfId="0" applyAlignment="1" applyFont="1">
      <alignment readingOrder="0"/>
    </xf>
    <xf borderId="0" fillId="0" fontId="4" numFmtId="0" xfId="0" applyAlignment="1" applyFont="1">
      <alignment readingOrder="0"/>
    </xf>
    <xf borderId="0" fillId="5" fontId="5" numFmtId="0" xfId="0" applyAlignment="1" applyFont="1">
      <alignment readingOrder="0"/>
    </xf>
    <xf borderId="0" fillId="2" fontId="6" numFmtId="0" xfId="0" applyAlignment="1" applyFont="1">
      <alignment horizontal="center" vertical="bottom"/>
    </xf>
    <xf borderId="0" fillId="6" fontId="6" numFmtId="0" xfId="0" applyAlignment="1" applyFill="1" applyFont="1">
      <alignment horizontal="right" readingOrder="0" vertical="center"/>
    </xf>
    <xf borderId="0" fillId="6" fontId="3" numFmtId="164" xfId="0" applyAlignment="1" applyFont="1" applyNumberFormat="1">
      <alignment vertical="bottom"/>
    </xf>
    <xf borderId="0" fillId="6" fontId="3" numFmtId="0" xfId="0" applyAlignment="1" applyFont="1">
      <alignment vertical="bottom"/>
    </xf>
    <xf borderId="0" fillId="0" fontId="7" numFmtId="0" xfId="0" applyAlignment="1" applyFont="1">
      <alignment horizontal="right" vertical="center"/>
    </xf>
    <xf borderId="0" fillId="0" fontId="3" numFmtId="0" xfId="0" applyAlignment="1" applyFont="1">
      <alignment readingOrder="0" vertical="bottom"/>
    </xf>
    <xf borderId="0" fillId="0" fontId="8" numFmtId="0" xfId="0" applyAlignment="1" applyFont="1">
      <alignment shrinkToFit="0" vertical="bottom" wrapText="1"/>
    </xf>
    <xf borderId="0" fillId="0" fontId="3" numFmtId="0" xfId="0" applyAlignment="1" applyFont="1">
      <alignment vertical="bottom"/>
    </xf>
    <xf borderId="0" fillId="0" fontId="7" numFmtId="0" xfId="0" applyAlignment="1" applyFont="1">
      <alignment horizontal="right" vertical="center"/>
    </xf>
    <xf borderId="0" fillId="0" fontId="3" numFmtId="0" xfId="0" applyAlignment="1" applyFont="1">
      <alignment vertical="bottom"/>
    </xf>
    <xf borderId="0" fillId="0" fontId="8" numFmtId="0" xfId="0" applyAlignment="1" applyFont="1">
      <alignment shrinkToFit="0" vertical="bottom" wrapText="1"/>
    </xf>
    <xf borderId="0" fillId="0" fontId="3" numFmtId="165" xfId="0" applyAlignment="1" applyFont="1" applyNumberFormat="1">
      <alignment readingOrder="0" vertical="bottom"/>
    </xf>
    <xf borderId="0" fillId="0" fontId="7" numFmtId="0" xfId="0" applyAlignment="1" applyFont="1">
      <alignment horizontal="right"/>
    </xf>
    <xf borderId="0" fillId="0" fontId="3" numFmtId="165" xfId="0" applyFont="1" applyNumberFormat="1"/>
    <xf borderId="0" fillId="0" fontId="9" numFmtId="0" xfId="0" applyAlignment="1" applyFont="1">
      <alignment horizontal="center" readingOrder="0"/>
    </xf>
    <xf borderId="0" fillId="0" fontId="10" numFmtId="0" xfId="0" applyAlignment="1" applyFont="1">
      <alignment horizontal="right" vertical="bottom"/>
    </xf>
    <xf borderId="0" fillId="0" fontId="9" numFmtId="165" xfId="0" applyAlignment="1" applyFont="1" applyNumberFormat="1">
      <alignment horizontal="center"/>
    </xf>
    <xf borderId="0" fillId="0" fontId="3" numFmtId="0" xfId="0" applyAlignment="1" applyFont="1">
      <alignment vertical="center"/>
    </xf>
    <xf borderId="0" fillId="0" fontId="3" numFmtId="165" xfId="0" applyAlignment="1" applyFont="1" applyNumberFormat="1">
      <alignment vertical="bottom"/>
    </xf>
    <xf borderId="0" fillId="0" fontId="11" numFmtId="0" xfId="0" applyAlignment="1" applyFont="1">
      <alignment readingOrder="0" vertical="bottom"/>
    </xf>
    <xf borderId="0" fillId="0" fontId="10" numFmtId="0" xfId="0" applyAlignment="1" applyFont="1">
      <alignment horizontal="right" vertical="bottom"/>
    </xf>
    <xf borderId="0" fillId="0" fontId="3" numFmtId="166" xfId="0" applyAlignment="1" applyFont="1" applyNumberFormat="1">
      <alignment readingOrder="0" vertical="bottom"/>
    </xf>
    <xf borderId="0" fillId="6" fontId="6" numFmtId="0" xfId="0" applyAlignment="1" applyFont="1">
      <alignment horizontal="right" vertical="center"/>
    </xf>
    <xf borderId="0" fillId="0" fontId="9" numFmtId="164" xfId="0" applyAlignment="1" applyFont="1" applyNumberFormat="1">
      <alignment horizontal="right" vertical="bottom"/>
    </xf>
    <xf borderId="0" fillId="0" fontId="9" numFmtId="9" xfId="0" applyAlignment="1" applyFont="1" applyNumberFormat="1">
      <alignment horizontal="right" vertical="bottom"/>
    </xf>
    <xf borderId="0" fillId="0" fontId="9" numFmtId="0" xfId="0" applyAlignment="1" applyFont="1">
      <alignment readingOrder="0" shrinkToFit="0" wrapText="1"/>
    </xf>
    <xf borderId="0" fillId="0" fontId="8" numFmtId="0" xfId="0" applyAlignment="1" applyFont="1">
      <alignment shrinkToFit="0" wrapText="1"/>
    </xf>
    <xf borderId="0" fillId="0" fontId="3" numFmtId="0" xfId="0" applyFont="1"/>
    <xf borderId="0" fillId="0" fontId="9" numFmtId="167" xfId="0" applyAlignment="1" applyFont="1" applyNumberFormat="1">
      <alignment horizontal="right" readingOrder="0" vertical="bottom"/>
    </xf>
    <xf borderId="0" fillId="0" fontId="9" numFmtId="0" xfId="0" applyAlignment="1" applyFont="1">
      <alignment horizontal="right" readingOrder="0" vertical="bottom"/>
    </xf>
    <xf borderId="0" fillId="0" fontId="9" numFmtId="164" xfId="0" applyAlignment="1" applyFont="1" applyNumberFormat="1">
      <alignment horizontal="right" readingOrder="0" vertical="bottom"/>
    </xf>
    <xf borderId="0" fillId="0" fontId="9" numFmtId="0" xfId="0" applyAlignment="1" applyFont="1">
      <alignment shrinkToFit="0" wrapText="1"/>
    </xf>
    <xf borderId="0" fillId="0" fontId="8" numFmtId="0" xfId="0" applyAlignment="1" applyFont="1">
      <alignment shrinkToFit="0" wrapText="1"/>
    </xf>
    <xf borderId="0" fillId="6" fontId="6" numFmtId="0" xfId="0" applyAlignment="1" applyFont="1">
      <alignment vertical="center"/>
    </xf>
    <xf borderId="0" fillId="0" fontId="7" numFmtId="0" xfId="0" applyAlignment="1" applyFont="1">
      <alignment horizontal="right" shrinkToFit="0" vertical="center" wrapText="1"/>
    </xf>
    <xf borderId="0" fillId="0" fontId="9" numFmtId="0" xfId="0" applyAlignment="1" applyFont="1">
      <alignment readingOrder="0" shrinkToFit="0" vertical="bottom" wrapText="1"/>
    </xf>
    <xf borderId="0" fillId="2" fontId="9" numFmtId="0" xfId="0" applyAlignment="1" applyFont="1">
      <alignment vertical="bottom"/>
    </xf>
    <xf borderId="0" fillId="0" fontId="9" numFmtId="0" xfId="0" applyAlignment="1" applyFont="1">
      <alignment vertical="bottom"/>
    </xf>
    <xf borderId="1" fillId="3" fontId="6" numFmtId="0" xfId="0" applyAlignment="1" applyBorder="1" applyFont="1">
      <alignment vertical="bottom"/>
    </xf>
    <xf borderId="1" fillId="3" fontId="9" numFmtId="0" xfId="0" applyAlignment="1" applyBorder="1" applyFont="1">
      <alignment vertical="bottom"/>
    </xf>
    <xf borderId="0" fillId="0" fontId="7" numFmtId="0" xfId="0" applyAlignment="1" applyFont="1">
      <alignment horizontal="right" vertical="bottom"/>
    </xf>
    <xf borderId="0" fillId="0" fontId="9" numFmtId="0" xfId="0" applyAlignment="1" applyFont="1">
      <alignment horizontal="center" vertical="bottom"/>
    </xf>
    <xf borderId="0" fillId="0" fontId="9" numFmtId="0" xfId="0" applyAlignment="1" applyFont="1">
      <alignment vertical="bottom"/>
    </xf>
    <xf borderId="0" fillId="0" fontId="12" numFmtId="0" xfId="0" applyAlignment="1" applyFont="1">
      <alignment horizontal="right" vertical="bottom"/>
    </xf>
    <xf borderId="0" fillId="0" fontId="9" numFmtId="0" xfId="0" applyAlignment="1" applyFont="1">
      <alignment horizontal="center" vertical="bottom"/>
    </xf>
    <xf borderId="0" fillId="0" fontId="9" numFmtId="168" xfId="0" applyAlignment="1" applyFont="1" applyNumberFormat="1">
      <alignment horizontal="center" vertical="bottom"/>
    </xf>
    <xf borderId="0" fillId="0" fontId="9" numFmtId="14" xfId="0" applyAlignment="1" applyFont="1" applyNumberFormat="1">
      <alignment horizontal="center" vertical="bottom"/>
    </xf>
    <xf borderId="0" fillId="0" fontId="9" numFmtId="9" xfId="0" applyAlignment="1" applyFont="1" applyNumberFormat="1">
      <alignment horizontal="center" vertical="bottom"/>
    </xf>
    <xf borderId="0" fillId="7" fontId="9" numFmtId="0" xfId="0" applyAlignment="1" applyFill="1" applyFont="1">
      <alignment vertical="bottom"/>
    </xf>
    <xf borderId="0" fillId="7" fontId="7" numFmtId="0" xfId="0" applyAlignment="1" applyFont="1">
      <alignment horizontal="center" vertical="bottom"/>
    </xf>
    <xf borderId="0" fillId="0" fontId="9" numFmtId="1" xfId="0" applyAlignment="1" applyFont="1" applyNumberFormat="1">
      <alignment horizontal="center" vertical="bottom"/>
    </xf>
    <xf borderId="0" fillId="0" fontId="9" numFmtId="1" xfId="0" applyAlignment="1" applyFont="1" applyNumberFormat="1">
      <alignment vertical="bottom"/>
    </xf>
    <xf borderId="0" fillId="0" fontId="9" numFmtId="9" xfId="0" applyAlignment="1" applyFont="1" applyNumberFormat="1">
      <alignment vertical="bottom"/>
    </xf>
    <xf borderId="1" fillId="3" fontId="6" numFmtId="0" xfId="0" applyAlignment="1" applyBorder="1" applyFont="1">
      <alignment horizontal="center" shrinkToFit="0" vertical="bottom" wrapText="0"/>
    </xf>
    <xf borderId="1" fillId="3" fontId="6" numFmtId="0" xfId="0" applyAlignment="1" applyBorder="1" applyFont="1">
      <alignment horizontal="center" vertical="bottom"/>
    </xf>
    <xf borderId="0" fillId="0" fontId="9" numFmtId="0" xfId="0" applyAlignment="1" applyFont="1">
      <alignment horizontal="center" shrinkToFit="0" vertical="bottom" wrapText="0"/>
    </xf>
    <xf borderId="0" fillId="0" fontId="9" numFmtId="0" xfId="0" applyAlignment="1" applyFont="1">
      <alignment horizontal="center" shrinkToFit="0" vertical="bottom" wrapText="0"/>
    </xf>
    <xf borderId="0" fillId="0" fontId="9" numFmtId="164" xfId="0" applyAlignment="1" applyFont="1" applyNumberFormat="1">
      <alignment horizontal="center" shrinkToFit="0" vertical="bottom" wrapText="0"/>
    </xf>
    <xf borderId="0" fillId="0" fontId="9" numFmtId="10" xfId="0" applyAlignment="1" applyFont="1" applyNumberFormat="1">
      <alignment vertical="bottom"/>
    </xf>
    <xf borderId="0" fillId="0" fontId="9" numFmtId="3" xfId="0" applyAlignment="1" applyFont="1" applyNumberFormat="1">
      <alignment vertical="bottom"/>
    </xf>
    <xf borderId="0" fillId="0" fontId="7" numFmtId="0" xfId="0" applyAlignment="1" applyFont="1">
      <alignment shrinkToFit="0" vertical="bottom" wrapText="0"/>
    </xf>
    <xf borderId="0" fillId="0" fontId="7" numFmtId="0" xfId="0" applyAlignment="1" applyFont="1">
      <alignment horizontal="center" shrinkToFit="0" vertical="bottom" wrapText="0"/>
    </xf>
    <xf borderId="0" fillId="0" fontId="7" numFmtId="164" xfId="0" applyAlignment="1" applyFont="1" applyNumberFormat="1">
      <alignment horizontal="center" vertical="bottom"/>
    </xf>
    <xf borderId="0" fillId="0" fontId="9" numFmtId="164" xfId="0" applyAlignment="1" applyFont="1" applyNumberFormat="1">
      <alignment horizontal="center" vertical="bottom"/>
    </xf>
    <xf borderId="0" fillId="0" fontId="9" numFmtId="164" xfId="0" applyAlignment="1" applyFont="1" applyNumberFormat="1">
      <alignment vertical="bottom"/>
    </xf>
  </cellXfs>
  <cellStyles count="1">
    <cellStyle xfId="0" name="Normal" builtinId="0"/>
  </cellStyles>
  <dxfs count="1">
    <dxf>
      <font/>
      <fill>
        <patternFill patternType="solid">
          <fgColor rgb="FFEA9999"/>
          <bgColor rgb="FFEA9999"/>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script.google.com/macros/s/AKfycbzGfZXXrB8GB7kt-FSeTA8sL0Rw3BzaXwifNA9CDpjsqe8NBn4EL159NLqLBYwGjqUw/exec?sheetId=1APvZJQRd7hgMk2UowHkXDGeQKirg2wK8HE5hfPs8LrI" TargetMode="External"/><Relationship Id="rId2"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9.63"/>
    <col customWidth="1" min="2" max="2" width="14.38"/>
    <col customWidth="1" min="3" max="3" width="23.88"/>
    <col customWidth="1" min="4" max="6" width="29.75"/>
    <col customWidth="1" min="7" max="9" width="10.38"/>
    <col customWidth="1" min="10" max="10" width="10.5"/>
    <col customWidth="1" min="11" max="11" width="15.75"/>
    <col customWidth="1" min="12" max="12" width="6.63"/>
    <col customWidth="1" min="13" max="13" width="7.38"/>
    <col customWidth="1" min="14" max="15" width="26.0"/>
    <col customWidth="1" min="16" max="16" width="20.13"/>
  </cols>
  <sheetData>
    <row r="1">
      <c r="A1" s="1" t="s">
        <v>0</v>
      </c>
      <c r="B1" s="1" t="s">
        <v>1</v>
      </c>
      <c r="C1" s="1" t="s">
        <v>2</v>
      </c>
      <c r="D1" s="1" t="s">
        <v>3</v>
      </c>
      <c r="E1" s="1" t="s">
        <v>4</v>
      </c>
      <c r="F1" s="1" t="s">
        <v>5</v>
      </c>
      <c r="G1" s="2" t="s">
        <v>6</v>
      </c>
      <c r="H1" s="2" t="s">
        <v>7</v>
      </c>
      <c r="I1" s="3" t="s">
        <v>8</v>
      </c>
      <c r="J1" s="4" t="s">
        <v>9</v>
      </c>
      <c r="K1" s="5" t="s">
        <v>10</v>
      </c>
      <c r="L1" s="6" t="s">
        <v>11</v>
      </c>
      <c r="M1" s="7" t="s">
        <v>12</v>
      </c>
      <c r="N1" s="4" t="s">
        <v>13</v>
      </c>
      <c r="O1" s="4" t="s">
        <v>14</v>
      </c>
      <c r="P1" s="4"/>
    </row>
    <row r="2">
      <c r="A2" s="8" t="s">
        <v>15</v>
      </c>
      <c r="B2" s="9" t="s">
        <v>16</v>
      </c>
      <c r="C2" s="10" t="s">
        <v>17</v>
      </c>
      <c r="D2" s="10" t="s">
        <v>18</v>
      </c>
      <c r="E2" s="10" t="s">
        <v>19</v>
      </c>
      <c r="F2" s="11" t="s">
        <v>20</v>
      </c>
      <c r="G2" s="12">
        <v>8.0</v>
      </c>
      <c r="H2" s="12">
        <v>10.0</v>
      </c>
      <c r="I2" s="13">
        <f t="shared" ref="I2:I140" si="1">IF(AND(G2&lt;&gt;"",H2&lt;&gt;""),ROUNDUP(AVERAGE(G2:H2),0),"")</f>
        <v>9</v>
      </c>
      <c r="J2" s="8" t="b">
        <v>0</v>
      </c>
      <c r="K2" s="14" t="s">
        <v>21</v>
      </c>
      <c r="L2" s="15"/>
      <c r="M2" s="16"/>
      <c r="N2" s="17" t="s">
        <v>22</v>
      </c>
      <c r="O2" s="11"/>
      <c r="P2" s="11"/>
    </row>
    <row r="3">
      <c r="A3" s="8" t="s">
        <v>15</v>
      </c>
      <c r="B3" s="9" t="s">
        <v>16</v>
      </c>
      <c r="C3" s="10" t="s">
        <v>23</v>
      </c>
      <c r="D3" s="10" t="s">
        <v>24</v>
      </c>
      <c r="E3" s="10" t="s">
        <v>25</v>
      </c>
      <c r="F3" s="18" t="s">
        <v>26</v>
      </c>
      <c r="G3" s="12">
        <v>13.0</v>
      </c>
      <c r="H3" s="12">
        <v>15.0</v>
      </c>
      <c r="I3" s="13">
        <f t="shared" si="1"/>
        <v>14</v>
      </c>
      <c r="J3" s="8" t="b">
        <v>0</v>
      </c>
      <c r="K3" s="14" t="s">
        <v>21</v>
      </c>
      <c r="L3" s="15"/>
      <c r="M3" s="16"/>
      <c r="N3" s="17"/>
      <c r="O3" s="11"/>
      <c r="P3" s="11"/>
    </row>
    <row r="4">
      <c r="A4" s="8" t="s">
        <v>15</v>
      </c>
      <c r="B4" s="9" t="s">
        <v>27</v>
      </c>
      <c r="C4" s="10" t="s">
        <v>28</v>
      </c>
      <c r="D4" s="10" t="s">
        <v>29</v>
      </c>
      <c r="E4" s="10" t="s">
        <v>30</v>
      </c>
      <c r="F4" s="10" t="s">
        <v>31</v>
      </c>
      <c r="G4" s="12">
        <v>20.0</v>
      </c>
      <c r="H4" s="12">
        <v>23.0</v>
      </c>
      <c r="I4" s="13">
        <f t="shared" si="1"/>
        <v>22</v>
      </c>
      <c r="J4" s="8" t="b">
        <v>0</v>
      </c>
      <c r="K4" s="14" t="s">
        <v>32</v>
      </c>
      <c r="L4" s="15"/>
      <c r="M4" s="16"/>
      <c r="N4" s="17" t="s">
        <v>33</v>
      </c>
      <c r="O4" s="19"/>
      <c r="P4" s="19"/>
    </row>
    <row r="5">
      <c r="A5" s="20" t="s">
        <v>34</v>
      </c>
      <c r="B5" s="21" t="s">
        <v>16</v>
      </c>
      <c r="C5" s="22" t="s">
        <v>35</v>
      </c>
      <c r="D5" s="22" t="s">
        <v>36</v>
      </c>
      <c r="E5" s="22" t="s">
        <v>37</v>
      </c>
      <c r="F5" s="22" t="s">
        <v>38</v>
      </c>
      <c r="G5" s="23">
        <v>26.0</v>
      </c>
      <c r="H5" s="23">
        <v>30.0</v>
      </c>
      <c r="I5" s="24">
        <f t="shared" si="1"/>
        <v>28</v>
      </c>
      <c r="J5" s="20" t="b">
        <v>1</v>
      </c>
      <c r="K5" s="25" t="s">
        <v>32</v>
      </c>
      <c r="L5" s="26"/>
      <c r="M5" s="27"/>
      <c r="N5" s="28" t="s">
        <v>39</v>
      </c>
      <c r="O5" s="29"/>
      <c r="P5" s="29"/>
    </row>
    <row r="6">
      <c r="A6" s="20" t="s">
        <v>34</v>
      </c>
      <c r="B6" s="21" t="s">
        <v>16</v>
      </c>
      <c r="C6" s="22" t="s">
        <v>40</v>
      </c>
      <c r="D6" s="22" t="s">
        <v>41</v>
      </c>
      <c r="E6" s="22" t="s">
        <v>42</v>
      </c>
      <c r="F6" s="30" t="s">
        <v>43</v>
      </c>
      <c r="G6" s="23">
        <v>25.0</v>
      </c>
      <c r="H6" s="23">
        <v>30.0</v>
      </c>
      <c r="I6" s="24">
        <f t="shared" si="1"/>
        <v>28</v>
      </c>
      <c r="J6" s="20" t="b">
        <v>0</v>
      </c>
      <c r="K6" s="25" t="s">
        <v>32</v>
      </c>
      <c r="L6" s="26"/>
      <c r="M6" s="27"/>
      <c r="N6" s="31"/>
      <c r="O6" s="29"/>
      <c r="P6" s="29"/>
    </row>
    <row r="7">
      <c r="A7" s="8" t="s">
        <v>15</v>
      </c>
      <c r="B7" s="9" t="s">
        <v>27</v>
      </c>
      <c r="C7" s="10" t="s">
        <v>44</v>
      </c>
      <c r="D7" s="10" t="s">
        <v>45</v>
      </c>
      <c r="E7" s="10" t="s">
        <v>46</v>
      </c>
      <c r="F7" s="10" t="s">
        <v>47</v>
      </c>
      <c r="G7" s="12">
        <v>14.0</v>
      </c>
      <c r="H7" s="12">
        <v>15.0</v>
      </c>
      <c r="I7" s="13">
        <f t="shared" si="1"/>
        <v>15</v>
      </c>
      <c r="J7" s="8" t="b">
        <v>0</v>
      </c>
      <c r="K7" s="14" t="s">
        <v>32</v>
      </c>
      <c r="L7" s="15"/>
      <c r="M7" s="32"/>
      <c r="N7" s="33"/>
      <c r="O7" s="19"/>
      <c r="P7" s="19"/>
    </row>
    <row r="8">
      <c r="A8" s="8" t="s">
        <v>15</v>
      </c>
      <c r="B8" s="9" t="s">
        <v>48</v>
      </c>
      <c r="C8" s="10" t="s">
        <v>49</v>
      </c>
      <c r="D8" s="10" t="s">
        <v>50</v>
      </c>
      <c r="E8" s="10" t="s">
        <v>51</v>
      </c>
      <c r="F8" s="10" t="s">
        <v>52</v>
      </c>
      <c r="G8" s="12">
        <v>6.0</v>
      </c>
      <c r="H8" s="12">
        <v>8.0</v>
      </c>
      <c r="I8" s="13">
        <f t="shared" si="1"/>
        <v>7</v>
      </c>
      <c r="J8" s="8" t="b">
        <v>0</v>
      </c>
      <c r="K8" s="14" t="s">
        <v>21</v>
      </c>
      <c r="L8" s="15"/>
      <c r="M8" s="32"/>
      <c r="N8" s="33"/>
      <c r="O8" s="19"/>
      <c r="P8" s="19"/>
    </row>
    <row r="9">
      <c r="A9" s="8" t="s">
        <v>15</v>
      </c>
      <c r="B9" s="9" t="s">
        <v>48</v>
      </c>
      <c r="C9" s="10" t="s">
        <v>53</v>
      </c>
      <c r="D9" s="10" t="s">
        <v>54</v>
      </c>
      <c r="E9" s="10" t="s">
        <v>55</v>
      </c>
      <c r="F9" s="10" t="s">
        <v>56</v>
      </c>
      <c r="G9" s="12">
        <v>15.0</v>
      </c>
      <c r="H9" s="12">
        <v>18.0</v>
      </c>
      <c r="I9" s="13">
        <f t="shared" si="1"/>
        <v>17</v>
      </c>
      <c r="J9" s="8" t="b">
        <v>0</v>
      </c>
      <c r="K9" s="14" t="s">
        <v>32</v>
      </c>
      <c r="L9" s="15"/>
      <c r="M9" s="32"/>
      <c r="N9" s="33"/>
      <c r="O9" s="19"/>
      <c r="P9" s="19"/>
    </row>
    <row r="10">
      <c r="A10" s="8" t="s">
        <v>15</v>
      </c>
      <c r="B10" s="9" t="s">
        <v>48</v>
      </c>
      <c r="C10" s="10" t="s">
        <v>57</v>
      </c>
      <c r="D10" s="10" t="s">
        <v>58</v>
      </c>
      <c r="E10" s="10" t="s">
        <v>59</v>
      </c>
      <c r="F10" s="10" t="s">
        <v>60</v>
      </c>
      <c r="G10" s="12">
        <v>28.0</v>
      </c>
      <c r="H10" s="12">
        <v>32.0</v>
      </c>
      <c r="I10" s="13">
        <f t="shared" si="1"/>
        <v>30</v>
      </c>
      <c r="J10" s="8" t="b">
        <v>0</v>
      </c>
      <c r="K10" s="14" t="s">
        <v>32</v>
      </c>
      <c r="L10" s="15"/>
      <c r="M10" s="32"/>
      <c r="N10" s="33"/>
      <c r="O10" s="19"/>
      <c r="P10" s="19"/>
    </row>
    <row r="11">
      <c r="A11" s="8" t="s">
        <v>15</v>
      </c>
      <c r="B11" s="9" t="s">
        <v>48</v>
      </c>
      <c r="C11" s="10" t="s">
        <v>61</v>
      </c>
      <c r="D11" s="10" t="s">
        <v>62</v>
      </c>
      <c r="E11" s="10" t="s">
        <v>63</v>
      </c>
      <c r="F11" s="10" t="s">
        <v>64</v>
      </c>
      <c r="G11" s="12">
        <v>10.0</v>
      </c>
      <c r="H11" s="12">
        <v>14.0</v>
      </c>
      <c r="I11" s="13">
        <f t="shared" si="1"/>
        <v>12</v>
      </c>
      <c r="J11" s="8" t="b">
        <v>0</v>
      </c>
      <c r="K11" s="14" t="s">
        <v>32</v>
      </c>
      <c r="L11" s="15"/>
      <c r="M11" s="32"/>
      <c r="N11" s="33"/>
      <c r="O11" s="19"/>
      <c r="P11" s="19"/>
    </row>
    <row r="12">
      <c r="A12" s="20" t="s">
        <v>65</v>
      </c>
      <c r="B12" s="21" t="s">
        <v>66</v>
      </c>
      <c r="C12" s="22" t="s">
        <v>67</v>
      </c>
      <c r="D12" s="22" t="s">
        <v>68</v>
      </c>
      <c r="E12" s="22" t="s">
        <v>69</v>
      </c>
      <c r="F12" s="22" t="s">
        <v>70</v>
      </c>
      <c r="G12" s="23">
        <v>12.0</v>
      </c>
      <c r="H12" s="23">
        <v>14.0</v>
      </c>
      <c r="I12" s="24">
        <f t="shared" si="1"/>
        <v>13</v>
      </c>
      <c r="J12" s="20" t="b">
        <v>1</v>
      </c>
      <c r="K12" s="25" t="s">
        <v>71</v>
      </c>
      <c r="L12" s="26"/>
      <c r="M12" s="34"/>
      <c r="N12" s="28"/>
      <c r="O12" s="29"/>
      <c r="P12" s="29"/>
    </row>
    <row r="13">
      <c r="A13" s="20" t="s">
        <v>65</v>
      </c>
      <c r="B13" s="21" t="s">
        <v>66</v>
      </c>
      <c r="C13" s="22" t="s">
        <v>72</v>
      </c>
      <c r="D13" s="22" t="s">
        <v>73</v>
      </c>
      <c r="E13" s="22" t="s">
        <v>74</v>
      </c>
      <c r="F13" s="22" t="s">
        <v>75</v>
      </c>
      <c r="G13" s="23">
        <v>19.0</v>
      </c>
      <c r="H13" s="23">
        <v>20.0</v>
      </c>
      <c r="I13" s="24">
        <f t="shared" si="1"/>
        <v>20</v>
      </c>
      <c r="J13" s="20" t="b">
        <v>1</v>
      </c>
      <c r="K13" s="25" t="s">
        <v>21</v>
      </c>
      <c r="L13" s="26"/>
      <c r="M13" s="34"/>
      <c r="N13" s="35"/>
      <c r="O13" s="29"/>
      <c r="P13" s="29"/>
    </row>
    <row r="14">
      <c r="A14" s="20" t="s">
        <v>65</v>
      </c>
      <c r="B14" s="21" t="s">
        <v>66</v>
      </c>
      <c r="C14" s="22" t="s">
        <v>76</v>
      </c>
      <c r="D14" s="22" t="s">
        <v>77</v>
      </c>
      <c r="E14" s="22" t="s">
        <v>78</v>
      </c>
      <c r="F14" s="36" t="s">
        <v>79</v>
      </c>
      <c r="G14" s="23">
        <v>25.0</v>
      </c>
      <c r="H14" s="23">
        <v>25.0</v>
      </c>
      <c r="I14" s="24">
        <f t="shared" si="1"/>
        <v>25</v>
      </c>
      <c r="J14" s="20" t="b">
        <v>1</v>
      </c>
      <c r="K14" s="25" t="s">
        <v>32</v>
      </c>
      <c r="L14" s="26"/>
      <c r="M14" s="34"/>
      <c r="N14" s="31"/>
      <c r="O14" s="29"/>
      <c r="P14" s="29"/>
    </row>
    <row r="15">
      <c r="A15" s="20" t="s">
        <v>65</v>
      </c>
      <c r="B15" s="21" t="s">
        <v>66</v>
      </c>
      <c r="C15" s="22" t="s">
        <v>80</v>
      </c>
      <c r="D15" s="22" t="s">
        <v>81</v>
      </c>
      <c r="E15" s="22" t="s">
        <v>82</v>
      </c>
      <c r="F15" s="37" t="s">
        <v>83</v>
      </c>
      <c r="G15" s="23">
        <v>25.0</v>
      </c>
      <c r="H15" s="23">
        <v>25.0</v>
      </c>
      <c r="I15" s="24">
        <f t="shared" si="1"/>
        <v>25</v>
      </c>
      <c r="J15" s="20" t="b">
        <v>1</v>
      </c>
      <c r="K15" s="25" t="s">
        <v>32</v>
      </c>
      <c r="L15" s="26"/>
      <c r="M15" s="34"/>
      <c r="N15" s="31"/>
      <c r="O15" s="29"/>
      <c r="P15" s="29"/>
    </row>
    <row r="16">
      <c r="A16" s="8" t="s">
        <v>15</v>
      </c>
      <c r="B16" s="9" t="s">
        <v>84</v>
      </c>
      <c r="C16" s="10" t="s">
        <v>85</v>
      </c>
      <c r="D16" s="10" t="s">
        <v>86</v>
      </c>
      <c r="E16" s="10" t="s">
        <v>87</v>
      </c>
      <c r="F16" s="11" t="s">
        <v>88</v>
      </c>
      <c r="G16" s="12">
        <v>5.0</v>
      </c>
      <c r="H16" s="12">
        <v>7.0</v>
      </c>
      <c r="I16" s="13">
        <f t="shared" si="1"/>
        <v>6</v>
      </c>
      <c r="J16" s="8" t="b">
        <v>0</v>
      </c>
      <c r="K16" s="14" t="s">
        <v>71</v>
      </c>
      <c r="L16" s="15"/>
      <c r="M16" s="32"/>
      <c r="N16" s="33"/>
      <c r="O16" s="19"/>
      <c r="P16" s="19"/>
    </row>
    <row r="17">
      <c r="A17" s="8" t="s">
        <v>15</v>
      </c>
      <c r="B17" s="9" t="s">
        <v>84</v>
      </c>
      <c r="C17" s="10" t="s">
        <v>89</v>
      </c>
      <c r="D17" s="10" t="s">
        <v>90</v>
      </c>
      <c r="E17" s="10" t="s">
        <v>91</v>
      </c>
      <c r="F17" s="10" t="s">
        <v>92</v>
      </c>
      <c r="G17" s="12">
        <v>10.0</v>
      </c>
      <c r="H17" s="12">
        <v>12.0</v>
      </c>
      <c r="I17" s="13">
        <f t="shared" si="1"/>
        <v>11</v>
      </c>
      <c r="J17" s="8" t="b">
        <v>0</v>
      </c>
      <c r="K17" s="14" t="s">
        <v>32</v>
      </c>
      <c r="L17" s="15"/>
      <c r="M17" s="32"/>
      <c r="N17" s="33"/>
      <c r="O17" s="19"/>
      <c r="P17" s="19"/>
    </row>
    <row r="18">
      <c r="A18" s="8" t="s">
        <v>15</v>
      </c>
      <c r="B18" s="9" t="s">
        <v>84</v>
      </c>
      <c r="C18" s="10" t="s">
        <v>93</v>
      </c>
      <c r="D18" s="10" t="s">
        <v>94</v>
      </c>
      <c r="E18" s="10" t="s">
        <v>95</v>
      </c>
      <c r="F18" s="10" t="s">
        <v>96</v>
      </c>
      <c r="G18" s="12">
        <v>12.0</v>
      </c>
      <c r="H18" s="12">
        <v>14.0</v>
      </c>
      <c r="I18" s="13">
        <f t="shared" si="1"/>
        <v>13</v>
      </c>
      <c r="J18" s="8" t="b">
        <v>0</v>
      </c>
      <c r="K18" s="14" t="s">
        <v>71</v>
      </c>
      <c r="L18" s="15"/>
      <c r="M18" s="32"/>
      <c r="N18" s="33"/>
      <c r="O18" s="19"/>
      <c r="P18" s="19"/>
    </row>
    <row r="19">
      <c r="A19" s="8" t="s">
        <v>15</v>
      </c>
      <c r="B19" s="9" t="s">
        <v>84</v>
      </c>
      <c r="C19" s="10" t="s">
        <v>97</v>
      </c>
      <c r="D19" s="10" t="s">
        <v>98</v>
      </c>
      <c r="E19" s="10" t="s">
        <v>99</v>
      </c>
      <c r="F19" s="10" t="s">
        <v>100</v>
      </c>
      <c r="G19" s="12">
        <v>10.0</v>
      </c>
      <c r="H19" s="12">
        <v>12.0</v>
      </c>
      <c r="I19" s="13">
        <f t="shared" si="1"/>
        <v>11</v>
      </c>
      <c r="J19" s="8" t="b">
        <v>0</v>
      </c>
      <c r="K19" s="14" t="s">
        <v>32</v>
      </c>
      <c r="L19" s="15"/>
      <c r="M19" s="32"/>
      <c r="N19" s="33"/>
      <c r="O19" s="19"/>
      <c r="P19" s="19"/>
    </row>
    <row r="20">
      <c r="A20" s="8"/>
      <c r="B20" s="10"/>
      <c r="C20" s="10"/>
      <c r="D20" s="10"/>
      <c r="E20" s="10"/>
      <c r="F20" s="10"/>
      <c r="G20" s="38"/>
      <c r="H20" s="38"/>
      <c r="I20" s="13" t="str">
        <f t="shared" si="1"/>
        <v/>
      </c>
      <c r="J20" s="8" t="b">
        <v>0</v>
      </c>
      <c r="K20" s="14"/>
      <c r="L20" s="15"/>
      <c r="M20" s="32"/>
      <c r="N20" s="33"/>
      <c r="O20" s="19"/>
      <c r="P20" s="19"/>
    </row>
    <row r="21">
      <c r="A21" s="8"/>
      <c r="B21" s="10"/>
      <c r="C21" s="10"/>
      <c r="D21" s="10"/>
      <c r="E21" s="10"/>
      <c r="F21" s="10"/>
      <c r="G21" s="38"/>
      <c r="H21" s="38"/>
      <c r="I21" s="13" t="str">
        <f t="shared" si="1"/>
        <v/>
      </c>
      <c r="J21" s="8" t="b">
        <v>0</v>
      </c>
      <c r="K21" s="14"/>
      <c r="L21" s="15"/>
      <c r="M21" s="32"/>
      <c r="N21" s="33"/>
      <c r="O21" s="19"/>
      <c r="P21" s="19"/>
    </row>
    <row r="22">
      <c r="A22" s="8"/>
      <c r="B22" s="10"/>
      <c r="C22" s="10"/>
      <c r="D22" s="10"/>
      <c r="E22" s="10"/>
      <c r="F22" s="10"/>
      <c r="G22" s="12"/>
      <c r="H22" s="12"/>
      <c r="I22" s="13" t="str">
        <f t="shared" si="1"/>
        <v/>
      </c>
      <c r="J22" s="8" t="b">
        <v>0</v>
      </c>
      <c r="K22" s="14"/>
      <c r="L22" s="15"/>
      <c r="M22" s="32"/>
      <c r="N22" s="33"/>
      <c r="O22" s="19"/>
      <c r="P22" s="19"/>
    </row>
    <row r="23">
      <c r="A23" s="8"/>
      <c r="B23" s="10"/>
      <c r="C23" s="10"/>
      <c r="D23" s="10"/>
      <c r="E23" s="10"/>
      <c r="F23" s="10"/>
      <c r="G23" s="12"/>
      <c r="H23" s="12"/>
      <c r="I23" s="13" t="str">
        <f t="shared" si="1"/>
        <v/>
      </c>
      <c r="J23" s="8" t="b">
        <v>0</v>
      </c>
      <c r="K23" s="14"/>
      <c r="L23" s="15"/>
      <c r="M23" s="32"/>
      <c r="N23" s="33"/>
      <c r="O23" s="19"/>
      <c r="P23" s="19"/>
    </row>
    <row r="24">
      <c r="A24" s="8"/>
      <c r="B24" s="10"/>
      <c r="C24" s="10"/>
      <c r="D24" s="10"/>
      <c r="E24" s="10"/>
      <c r="F24" s="10"/>
      <c r="G24" s="38"/>
      <c r="H24" s="38"/>
      <c r="I24" s="13" t="str">
        <f t="shared" si="1"/>
        <v/>
      </c>
      <c r="J24" s="8" t="b">
        <v>0</v>
      </c>
      <c r="K24" s="14"/>
      <c r="L24" s="15"/>
      <c r="M24" s="32"/>
      <c r="N24" s="33"/>
      <c r="O24" s="19"/>
      <c r="P24" s="19"/>
    </row>
    <row r="25">
      <c r="A25" s="8"/>
      <c r="B25" s="17"/>
      <c r="C25" s="17"/>
      <c r="D25" s="17"/>
      <c r="E25" s="17"/>
      <c r="F25" s="17"/>
      <c r="G25" s="39"/>
      <c r="H25" s="39"/>
      <c r="I25" s="13" t="str">
        <f t="shared" si="1"/>
        <v/>
      </c>
      <c r="J25" s="8" t="b">
        <v>0</v>
      </c>
      <c r="K25" s="14"/>
      <c r="L25" s="15"/>
      <c r="M25" s="32"/>
      <c r="N25" s="33"/>
      <c r="O25" s="19"/>
      <c r="P25" s="19"/>
    </row>
    <row r="26">
      <c r="A26" s="8"/>
      <c r="B26" s="17"/>
      <c r="C26" s="17"/>
      <c r="D26" s="17"/>
      <c r="E26" s="17"/>
      <c r="F26" s="17"/>
      <c r="G26" s="39"/>
      <c r="H26" s="39"/>
      <c r="I26" s="13" t="str">
        <f t="shared" si="1"/>
        <v/>
      </c>
      <c r="J26" s="8" t="b">
        <v>0</v>
      </c>
      <c r="K26" s="14"/>
      <c r="L26" s="15"/>
      <c r="M26" s="32"/>
      <c r="N26" s="33"/>
      <c r="O26" s="19"/>
      <c r="P26" s="19"/>
    </row>
    <row r="27">
      <c r="A27" s="8"/>
      <c r="B27" s="17"/>
      <c r="C27" s="17"/>
      <c r="D27" s="17"/>
      <c r="E27" s="17"/>
      <c r="F27" s="17"/>
      <c r="G27" s="39"/>
      <c r="H27" s="39"/>
      <c r="I27" s="13" t="str">
        <f t="shared" si="1"/>
        <v/>
      </c>
      <c r="J27" s="8" t="b">
        <v>0</v>
      </c>
      <c r="K27" s="14"/>
      <c r="L27" s="15"/>
      <c r="M27" s="32"/>
      <c r="N27" s="33"/>
      <c r="O27" s="19"/>
      <c r="P27" s="19"/>
    </row>
    <row r="28">
      <c r="A28" s="8"/>
      <c r="B28" s="33"/>
      <c r="C28" s="33"/>
      <c r="D28" s="33"/>
      <c r="E28" s="33"/>
      <c r="F28" s="33"/>
      <c r="G28" s="40"/>
      <c r="H28" s="40"/>
      <c r="I28" s="13" t="str">
        <f t="shared" si="1"/>
        <v/>
      </c>
      <c r="J28" s="8" t="b">
        <v>0</v>
      </c>
      <c r="K28" s="14"/>
      <c r="L28" s="19"/>
      <c r="M28" s="41"/>
      <c r="N28" s="33"/>
      <c r="O28" s="19"/>
      <c r="P28" s="19"/>
    </row>
    <row r="29">
      <c r="A29" s="8"/>
      <c r="B29" s="33"/>
      <c r="C29" s="33"/>
      <c r="D29" s="33"/>
      <c r="E29" s="33"/>
      <c r="F29" s="33"/>
      <c r="G29" s="40"/>
      <c r="H29" s="40"/>
      <c r="I29" s="13" t="str">
        <f t="shared" si="1"/>
        <v/>
      </c>
      <c r="J29" s="8" t="b">
        <v>0</v>
      </c>
      <c r="K29" s="14"/>
      <c r="L29" s="19"/>
      <c r="M29" s="41"/>
      <c r="N29" s="33"/>
      <c r="O29" s="19"/>
      <c r="P29" s="19"/>
    </row>
    <row r="30">
      <c r="A30" s="8"/>
      <c r="B30" s="33"/>
      <c r="C30" s="33"/>
      <c r="D30" s="33"/>
      <c r="E30" s="33"/>
      <c r="F30" s="33"/>
      <c r="G30" s="40"/>
      <c r="H30" s="40"/>
      <c r="I30" s="13" t="str">
        <f t="shared" si="1"/>
        <v/>
      </c>
      <c r="J30" s="8" t="b">
        <v>0</v>
      </c>
      <c r="K30" s="14"/>
      <c r="L30" s="19"/>
      <c r="M30" s="41"/>
      <c r="N30" s="33"/>
      <c r="O30" s="19"/>
      <c r="P30" s="19"/>
    </row>
    <row r="31">
      <c r="A31" s="8"/>
      <c r="B31" s="33"/>
      <c r="C31" s="33"/>
      <c r="D31" s="33"/>
      <c r="E31" s="33"/>
      <c r="F31" s="33"/>
      <c r="G31" s="40"/>
      <c r="H31" s="40"/>
      <c r="I31" s="13" t="str">
        <f t="shared" si="1"/>
        <v/>
      </c>
      <c r="J31" s="8" t="b">
        <v>0</v>
      </c>
      <c r="K31" s="14"/>
      <c r="L31" s="19"/>
      <c r="M31" s="41"/>
      <c r="N31" s="33"/>
      <c r="O31" s="19"/>
      <c r="P31" s="19"/>
    </row>
    <row r="32">
      <c r="A32" s="8"/>
      <c r="B32" s="33"/>
      <c r="C32" s="33"/>
      <c r="D32" s="33"/>
      <c r="E32" s="33"/>
      <c r="F32" s="33"/>
      <c r="G32" s="40"/>
      <c r="H32" s="40"/>
      <c r="I32" s="13" t="str">
        <f t="shared" si="1"/>
        <v/>
      </c>
      <c r="J32" s="8" t="b">
        <v>0</v>
      </c>
      <c r="K32" s="14"/>
      <c r="L32" s="19"/>
      <c r="M32" s="41"/>
      <c r="N32" s="33"/>
      <c r="O32" s="19"/>
      <c r="P32" s="19"/>
    </row>
    <row r="33">
      <c r="A33" s="8"/>
      <c r="B33" s="33"/>
      <c r="C33" s="33"/>
      <c r="D33" s="17"/>
      <c r="E33" s="17"/>
      <c r="F33" s="17"/>
      <c r="G33" s="40"/>
      <c r="H33" s="40"/>
      <c r="I33" s="13" t="str">
        <f t="shared" si="1"/>
        <v/>
      </c>
      <c r="J33" s="8" t="b">
        <v>0</v>
      </c>
      <c r="K33" s="14"/>
      <c r="L33" s="19"/>
      <c r="M33" s="41"/>
      <c r="N33" s="33"/>
      <c r="O33" s="19"/>
      <c r="P33" s="19"/>
    </row>
    <row r="34">
      <c r="A34" s="8"/>
      <c r="B34" s="33"/>
      <c r="C34" s="33"/>
      <c r="D34" s="17"/>
      <c r="E34" s="17"/>
      <c r="F34" s="17"/>
      <c r="G34" s="40"/>
      <c r="H34" s="40"/>
      <c r="I34" s="13" t="str">
        <f t="shared" si="1"/>
        <v/>
      </c>
      <c r="J34" s="8" t="b">
        <v>0</v>
      </c>
      <c r="K34" s="14"/>
      <c r="L34" s="19"/>
      <c r="M34" s="41"/>
      <c r="N34" s="33"/>
      <c r="O34" s="19"/>
      <c r="P34" s="19"/>
    </row>
    <row r="35">
      <c r="A35" s="8"/>
      <c r="B35" s="33"/>
      <c r="C35" s="33"/>
      <c r="D35" s="17"/>
      <c r="E35" s="17"/>
      <c r="F35" s="17"/>
      <c r="G35" s="40"/>
      <c r="H35" s="40"/>
      <c r="I35" s="13" t="str">
        <f t="shared" si="1"/>
        <v/>
      </c>
      <c r="J35" s="8" t="b">
        <v>0</v>
      </c>
      <c r="K35" s="14"/>
      <c r="L35" s="19"/>
      <c r="M35" s="41"/>
      <c r="N35" s="33"/>
      <c r="O35" s="19"/>
      <c r="P35" s="19"/>
    </row>
    <row r="36">
      <c r="A36" s="8"/>
      <c r="B36" s="33"/>
      <c r="C36" s="33"/>
      <c r="D36" s="17"/>
      <c r="E36" s="17"/>
      <c r="F36" s="17"/>
      <c r="G36" s="40"/>
      <c r="H36" s="40"/>
      <c r="I36" s="13" t="str">
        <f t="shared" si="1"/>
        <v/>
      </c>
      <c r="J36" s="8" t="b">
        <v>0</v>
      </c>
      <c r="K36" s="14"/>
      <c r="L36" s="19"/>
      <c r="M36" s="41"/>
      <c r="N36" s="33"/>
      <c r="O36" s="19"/>
      <c r="P36" s="19"/>
    </row>
    <row r="37">
      <c r="A37" s="8"/>
      <c r="B37" s="33"/>
      <c r="C37" s="33"/>
      <c r="D37" s="17"/>
      <c r="E37" s="17"/>
      <c r="F37" s="17"/>
      <c r="G37" s="40"/>
      <c r="H37" s="40"/>
      <c r="I37" s="13" t="str">
        <f t="shared" si="1"/>
        <v/>
      </c>
      <c r="J37" s="8" t="b">
        <v>0</v>
      </c>
      <c r="K37" s="14"/>
      <c r="L37" s="19"/>
      <c r="M37" s="41"/>
      <c r="N37" s="33"/>
      <c r="O37" s="19"/>
      <c r="P37" s="19"/>
    </row>
    <row r="38">
      <c r="A38" s="8"/>
      <c r="B38" s="33"/>
      <c r="C38" s="33"/>
      <c r="D38" s="17"/>
      <c r="E38" s="17"/>
      <c r="F38" s="17"/>
      <c r="G38" s="40"/>
      <c r="H38" s="40"/>
      <c r="I38" s="13" t="str">
        <f t="shared" si="1"/>
        <v/>
      </c>
      <c r="J38" s="8" t="b">
        <v>0</v>
      </c>
      <c r="K38" s="14"/>
      <c r="L38" s="19"/>
      <c r="M38" s="41"/>
      <c r="N38" s="33"/>
      <c r="O38" s="19"/>
      <c r="P38" s="19"/>
    </row>
    <row r="39">
      <c r="A39" s="8"/>
      <c r="B39" s="33"/>
      <c r="C39" s="33"/>
      <c r="D39" s="17"/>
      <c r="E39" s="17"/>
      <c r="F39" s="17"/>
      <c r="G39" s="40"/>
      <c r="H39" s="40"/>
      <c r="I39" s="13" t="str">
        <f t="shared" si="1"/>
        <v/>
      </c>
      <c r="J39" s="8" t="b">
        <v>0</v>
      </c>
      <c r="K39" s="14"/>
      <c r="L39" s="19"/>
      <c r="M39" s="41"/>
      <c r="N39" s="33"/>
      <c r="O39" s="19"/>
      <c r="P39" s="19"/>
    </row>
    <row r="40">
      <c r="A40" s="8"/>
      <c r="B40" s="33"/>
      <c r="C40" s="33"/>
      <c r="D40" s="17"/>
      <c r="E40" s="17"/>
      <c r="F40" s="17"/>
      <c r="G40" s="40"/>
      <c r="H40" s="40"/>
      <c r="I40" s="13" t="str">
        <f t="shared" si="1"/>
        <v/>
      </c>
      <c r="J40" s="8" t="b">
        <v>0</v>
      </c>
      <c r="K40" s="14"/>
      <c r="L40" s="19"/>
      <c r="M40" s="41"/>
      <c r="N40" s="33"/>
      <c r="O40" s="19"/>
      <c r="P40" s="19"/>
    </row>
    <row r="41">
      <c r="A41" s="8"/>
      <c r="B41" s="33"/>
      <c r="C41" s="33"/>
      <c r="D41" s="17"/>
      <c r="E41" s="17"/>
      <c r="F41" s="17"/>
      <c r="G41" s="40"/>
      <c r="H41" s="40"/>
      <c r="I41" s="13" t="str">
        <f t="shared" si="1"/>
        <v/>
      </c>
      <c r="J41" s="8" t="b">
        <v>0</v>
      </c>
      <c r="K41" s="14"/>
      <c r="L41" s="19"/>
      <c r="M41" s="41"/>
      <c r="N41" s="33"/>
      <c r="O41" s="19"/>
      <c r="P41" s="19"/>
    </row>
    <row r="42">
      <c r="A42" s="8"/>
      <c r="B42" s="33"/>
      <c r="C42" s="33"/>
      <c r="D42" s="17"/>
      <c r="E42" s="17"/>
      <c r="F42" s="17"/>
      <c r="G42" s="40"/>
      <c r="H42" s="40"/>
      <c r="I42" s="13" t="str">
        <f t="shared" si="1"/>
        <v/>
      </c>
      <c r="J42" s="8" t="b">
        <v>0</v>
      </c>
      <c r="K42" s="14"/>
      <c r="L42" s="19"/>
      <c r="M42" s="41"/>
      <c r="N42" s="33"/>
      <c r="O42" s="19"/>
      <c r="P42" s="19"/>
    </row>
    <row r="43">
      <c r="A43" s="8"/>
      <c r="B43" s="33"/>
      <c r="C43" s="33"/>
      <c r="D43" s="17"/>
      <c r="E43" s="17"/>
      <c r="F43" s="17"/>
      <c r="G43" s="40"/>
      <c r="H43" s="40"/>
      <c r="I43" s="13" t="str">
        <f t="shared" si="1"/>
        <v/>
      </c>
      <c r="J43" s="8" t="b">
        <v>0</v>
      </c>
      <c r="K43" s="14"/>
      <c r="L43" s="19"/>
      <c r="M43" s="41"/>
      <c r="N43" s="33"/>
      <c r="O43" s="19"/>
      <c r="P43" s="19"/>
    </row>
    <row r="44">
      <c r="A44" s="8"/>
      <c r="B44" s="33"/>
      <c r="C44" s="33"/>
      <c r="D44" s="17"/>
      <c r="E44" s="17"/>
      <c r="F44" s="17"/>
      <c r="G44" s="40"/>
      <c r="H44" s="40"/>
      <c r="I44" s="13" t="str">
        <f t="shared" si="1"/>
        <v/>
      </c>
      <c r="J44" s="8" t="b">
        <v>0</v>
      </c>
      <c r="K44" s="14"/>
      <c r="L44" s="19"/>
      <c r="M44" s="41"/>
      <c r="N44" s="33"/>
      <c r="O44" s="19"/>
      <c r="P44" s="19"/>
    </row>
    <row r="45">
      <c r="A45" s="8"/>
      <c r="B45" s="33"/>
      <c r="C45" s="33"/>
      <c r="D45" s="17"/>
      <c r="E45" s="17"/>
      <c r="F45" s="17"/>
      <c r="G45" s="40"/>
      <c r="H45" s="40"/>
      <c r="I45" s="13" t="str">
        <f t="shared" si="1"/>
        <v/>
      </c>
      <c r="J45" s="8" t="b">
        <v>0</v>
      </c>
      <c r="K45" s="14"/>
      <c r="L45" s="19"/>
      <c r="M45" s="41"/>
      <c r="N45" s="33"/>
      <c r="O45" s="19"/>
      <c r="P45" s="19"/>
    </row>
    <row r="46">
      <c r="A46" s="8"/>
      <c r="B46" s="33"/>
      <c r="C46" s="33"/>
      <c r="D46" s="33"/>
      <c r="E46" s="33"/>
      <c r="F46" s="33"/>
      <c r="G46" s="40"/>
      <c r="H46" s="40"/>
      <c r="I46" s="13" t="str">
        <f t="shared" si="1"/>
        <v/>
      </c>
      <c r="J46" s="8" t="b">
        <v>0</v>
      </c>
      <c r="K46" s="14"/>
      <c r="L46" s="19"/>
      <c r="M46" s="41"/>
      <c r="N46" s="33"/>
      <c r="O46" s="19"/>
      <c r="P46" s="19"/>
    </row>
    <row r="47">
      <c r="A47" s="8"/>
      <c r="B47" s="33"/>
      <c r="C47" s="33"/>
      <c r="D47" s="33"/>
      <c r="E47" s="33"/>
      <c r="F47" s="33"/>
      <c r="G47" s="40"/>
      <c r="H47" s="40"/>
      <c r="I47" s="13" t="str">
        <f t="shared" si="1"/>
        <v/>
      </c>
      <c r="J47" s="8" t="b">
        <v>0</v>
      </c>
      <c r="K47" s="14"/>
      <c r="L47" s="19"/>
      <c r="M47" s="41"/>
      <c r="N47" s="33"/>
      <c r="O47" s="19"/>
      <c r="P47" s="19"/>
    </row>
    <row r="48">
      <c r="A48" s="8"/>
      <c r="B48" s="33"/>
      <c r="C48" s="33"/>
      <c r="D48" s="33"/>
      <c r="E48" s="33"/>
      <c r="F48" s="33"/>
      <c r="G48" s="40"/>
      <c r="H48" s="40"/>
      <c r="I48" s="13" t="str">
        <f t="shared" si="1"/>
        <v/>
      </c>
      <c r="J48" s="8" t="b">
        <v>0</v>
      </c>
      <c r="K48" s="14"/>
      <c r="L48" s="19"/>
      <c r="M48" s="41"/>
      <c r="N48" s="33"/>
      <c r="O48" s="19"/>
      <c r="P48" s="19"/>
    </row>
    <row r="49">
      <c r="A49" s="8"/>
      <c r="B49" s="33"/>
      <c r="C49" s="33"/>
      <c r="D49" s="33"/>
      <c r="E49" s="33"/>
      <c r="F49" s="33"/>
      <c r="G49" s="40"/>
      <c r="H49" s="40"/>
      <c r="I49" s="13" t="str">
        <f t="shared" si="1"/>
        <v/>
      </c>
      <c r="J49" s="8" t="b">
        <v>0</v>
      </c>
      <c r="K49" s="14"/>
      <c r="L49" s="19"/>
      <c r="M49" s="41"/>
      <c r="N49" s="33"/>
      <c r="O49" s="19"/>
      <c r="P49" s="19"/>
    </row>
    <row r="50">
      <c r="A50" s="8"/>
      <c r="B50" s="33"/>
      <c r="C50" s="33"/>
      <c r="D50" s="33"/>
      <c r="E50" s="33"/>
      <c r="F50" s="33"/>
      <c r="G50" s="40"/>
      <c r="H50" s="40"/>
      <c r="I50" s="13" t="str">
        <f t="shared" si="1"/>
        <v/>
      </c>
      <c r="J50" s="8" t="b">
        <v>0</v>
      </c>
      <c r="K50" s="14"/>
      <c r="L50" s="19"/>
      <c r="M50" s="41"/>
      <c r="N50" s="33"/>
      <c r="O50" s="19"/>
      <c r="P50" s="19"/>
    </row>
    <row r="51">
      <c r="A51" s="8"/>
      <c r="B51" s="33"/>
      <c r="C51" s="33"/>
      <c r="D51" s="33"/>
      <c r="E51" s="33"/>
      <c r="F51" s="33"/>
      <c r="G51" s="40"/>
      <c r="H51" s="40"/>
      <c r="I51" s="13" t="str">
        <f t="shared" si="1"/>
        <v/>
      </c>
      <c r="J51" s="8" t="b">
        <v>0</v>
      </c>
      <c r="K51" s="14"/>
      <c r="L51" s="19"/>
      <c r="M51" s="41"/>
      <c r="N51" s="33"/>
      <c r="O51" s="19"/>
      <c r="P51" s="19"/>
    </row>
    <row r="52">
      <c r="A52" s="8"/>
      <c r="B52" s="33"/>
      <c r="C52" s="33"/>
      <c r="D52" s="33"/>
      <c r="E52" s="33"/>
      <c r="F52" s="33"/>
      <c r="G52" s="40"/>
      <c r="H52" s="40"/>
      <c r="I52" s="13" t="str">
        <f t="shared" si="1"/>
        <v/>
      </c>
      <c r="J52" s="8" t="b">
        <v>0</v>
      </c>
      <c r="K52" s="14"/>
      <c r="L52" s="19"/>
      <c r="M52" s="41"/>
      <c r="N52" s="33"/>
      <c r="O52" s="19"/>
      <c r="P52" s="19"/>
    </row>
    <row r="53">
      <c r="A53" s="8"/>
      <c r="B53" s="33"/>
      <c r="C53" s="33"/>
      <c r="D53" s="33"/>
      <c r="E53" s="33"/>
      <c r="F53" s="33"/>
      <c r="G53" s="40"/>
      <c r="H53" s="40"/>
      <c r="I53" s="13" t="str">
        <f t="shared" si="1"/>
        <v/>
      </c>
      <c r="J53" s="8" t="b">
        <v>0</v>
      </c>
      <c r="K53" s="14"/>
      <c r="L53" s="19"/>
      <c r="M53" s="41"/>
      <c r="N53" s="33"/>
      <c r="O53" s="19"/>
      <c r="P53" s="19"/>
    </row>
    <row r="54">
      <c r="A54" s="8"/>
      <c r="B54" s="33"/>
      <c r="C54" s="33"/>
      <c r="D54" s="33"/>
      <c r="E54" s="33"/>
      <c r="F54" s="33"/>
      <c r="G54" s="40"/>
      <c r="H54" s="40"/>
      <c r="I54" s="13" t="str">
        <f t="shared" si="1"/>
        <v/>
      </c>
      <c r="J54" s="8" t="b">
        <v>0</v>
      </c>
      <c r="K54" s="14"/>
      <c r="L54" s="19"/>
      <c r="M54" s="41"/>
      <c r="N54" s="33"/>
      <c r="O54" s="19"/>
      <c r="P54" s="19"/>
    </row>
    <row r="55">
      <c r="A55" s="8"/>
      <c r="B55" s="33"/>
      <c r="C55" s="33"/>
      <c r="D55" s="33"/>
      <c r="E55" s="33"/>
      <c r="F55" s="33"/>
      <c r="G55" s="40"/>
      <c r="H55" s="40"/>
      <c r="I55" s="13" t="str">
        <f t="shared" si="1"/>
        <v/>
      </c>
      <c r="J55" s="8" t="b">
        <v>0</v>
      </c>
      <c r="K55" s="14"/>
      <c r="L55" s="19"/>
      <c r="M55" s="41"/>
      <c r="N55" s="33"/>
      <c r="O55" s="19"/>
      <c r="P55" s="19"/>
    </row>
    <row r="56">
      <c r="A56" s="8"/>
      <c r="B56" s="33"/>
      <c r="C56" s="33"/>
      <c r="D56" s="33"/>
      <c r="E56" s="33"/>
      <c r="F56" s="33"/>
      <c r="G56" s="40"/>
      <c r="H56" s="40"/>
      <c r="I56" s="13" t="str">
        <f t="shared" si="1"/>
        <v/>
      </c>
      <c r="J56" s="8" t="b">
        <v>0</v>
      </c>
      <c r="K56" s="14"/>
      <c r="L56" s="19"/>
      <c r="M56" s="41"/>
      <c r="N56" s="33"/>
      <c r="O56" s="19"/>
      <c r="P56" s="19"/>
    </row>
    <row r="57">
      <c r="A57" s="8"/>
      <c r="B57" s="33"/>
      <c r="C57" s="33"/>
      <c r="D57" s="33"/>
      <c r="E57" s="33"/>
      <c r="F57" s="33"/>
      <c r="G57" s="40"/>
      <c r="H57" s="40"/>
      <c r="I57" s="13" t="str">
        <f t="shared" si="1"/>
        <v/>
      </c>
      <c r="J57" s="8" t="b">
        <v>0</v>
      </c>
      <c r="K57" s="14"/>
      <c r="L57" s="19"/>
      <c r="M57" s="41"/>
      <c r="N57" s="33"/>
      <c r="O57" s="19"/>
      <c r="P57" s="19"/>
    </row>
    <row r="58">
      <c r="A58" s="8"/>
      <c r="B58" s="33"/>
      <c r="C58" s="33"/>
      <c r="D58" s="33"/>
      <c r="E58" s="33"/>
      <c r="F58" s="33"/>
      <c r="G58" s="40"/>
      <c r="H58" s="40"/>
      <c r="I58" s="13" t="str">
        <f t="shared" si="1"/>
        <v/>
      </c>
      <c r="J58" s="8" t="b">
        <v>0</v>
      </c>
      <c r="K58" s="14"/>
      <c r="L58" s="19"/>
      <c r="M58" s="41"/>
      <c r="N58" s="33"/>
      <c r="O58" s="19"/>
      <c r="P58" s="19"/>
    </row>
    <row r="59">
      <c r="A59" s="8"/>
      <c r="B59" s="33"/>
      <c r="C59" s="33"/>
      <c r="D59" s="33"/>
      <c r="E59" s="33"/>
      <c r="F59" s="33"/>
      <c r="G59" s="40"/>
      <c r="H59" s="40"/>
      <c r="I59" s="13" t="str">
        <f t="shared" si="1"/>
        <v/>
      </c>
      <c r="J59" s="8" t="b">
        <v>0</v>
      </c>
      <c r="K59" s="14"/>
      <c r="L59" s="19"/>
      <c r="M59" s="41"/>
      <c r="N59" s="33"/>
      <c r="O59" s="19"/>
      <c r="P59" s="19"/>
    </row>
    <row r="60">
      <c r="A60" s="8"/>
      <c r="B60" s="33"/>
      <c r="C60" s="33"/>
      <c r="D60" s="33"/>
      <c r="E60" s="33"/>
      <c r="F60" s="33"/>
      <c r="G60" s="40"/>
      <c r="H60" s="40"/>
      <c r="I60" s="13" t="str">
        <f t="shared" si="1"/>
        <v/>
      </c>
      <c r="J60" s="8" t="b">
        <v>0</v>
      </c>
      <c r="K60" s="14"/>
      <c r="L60" s="19"/>
      <c r="M60" s="41"/>
      <c r="N60" s="33"/>
      <c r="O60" s="19"/>
      <c r="P60" s="19"/>
    </row>
    <row r="61">
      <c r="A61" s="8"/>
      <c r="B61" s="33"/>
      <c r="C61" s="33"/>
      <c r="D61" s="33"/>
      <c r="E61" s="33"/>
      <c r="F61" s="33"/>
      <c r="G61" s="40"/>
      <c r="H61" s="40"/>
      <c r="I61" s="13" t="str">
        <f t="shared" si="1"/>
        <v/>
      </c>
      <c r="J61" s="8" t="b">
        <v>0</v>
      </c>
      <c r="K61" s="14"/>
      <c r="L61" s="19"/>
      <c r="M61" s="41"/>
      <c r="N61" s="33"/>
      <c r="O61" s="19"/>
      <c r="P61" s="19"/>
    </row>
    <row r="62">
      <c r="A62" s="8"/>
      <c r="B62" s="33"/>
      <c r="C62" s="33"/>
      <c r="D62" s="33"/>
      <c r="E62" s="33"/>
      <c r="F62" s="33"/>
      <c r="G62" s="40"/>
      <c r="H62" s="40"/>
      <c r="I62" s="13" t="str">
        <f t="shared" si="1"/>
        <v/>
      </c>
      <c r="J62" s="8" t="b">
        <v>0</v>
      </c>
      <c r="K62" s="14"/>
      <c r="L62" s="19"/>
      <c r="M62" s="41"/>
      <c r="N62" s="33"/>
      <c r="O62" s="19"/>
      <c r="P62" s="19"/>
    </row>
    <row r="63">
      <c r="A63" s="8"/>
      <c r="B63" s="33"/>
      <c r="C63" s="33"/>
      <c r="D63" s="33"/>
      <c r="E63" s="33"/>
      <c r="F63" s="33"/>
      <c r="G63" s="40"/>
      <c r="H63" s="40"/>
      <c r="I63" s="13" t="str">
        <f t="shared" si="1"/>
        <v/>
      </c>
      <c r="J63" s="8" t="b">
        <v>0</v>
      </c>
      <c r="K63" s="14"/>
      <c r="L63" s="19"/>
      <c r="M63" s="41"/>
      <c r="N63" s="33"/>
      <c r="O63" s="19"/>
      <c r="P63" s="19"/>
    </row>
    <row r="64">
      <c r="A64" s="8"/>
      <c r="B64" s="33"/>
      <c r="C64" s="33"/>
      <c r="D64" s="33"/>
      <c r="E64" s="33"/>
      <c r="F64" s="33"/>
      <c r="G64" s="40"/>
      <c r="H64" s="40"/>
      <c r="I64" s="13" t="str">
        <f t="shared" si="1"/>
        <v/>
      </c>
      <c r="J64" s="8" t="b">
        <v>0</v>
      </c>
      <c r="K64" s="14"/>
      <c r="L64" s="19"/>
      <c r="M64" s="41"/>
      <c r="N64" s="33"/>
      <c r="O64" s="19"/>
      <c r="P64" s="19"/>
    </row>
    <row r="65">
      <c r="A65" s="8"/>
      <c r="B65" s="33"/>
      <c r="C65" s="33"/>
      <c r="D65" s="33"/>
      <c r="E65" s="33"/>
      <c r="F65" s="33"/>
      <c r="G65" s="40"/>
      <c r="H65" s="40"/>
      <c r="I65" s="13" t="str">
        <f t="shared" si="1"/>
        <v/>
      </c>
      <c r="J65" s="8" t="b">
        <v>0</v>
      </c>
      <c r="K65" s="14"/>
      <c r="L65" s="19"/>
      <c r="M65" s="41"/>
      <c r="N65" s="33"/>
      <c r="O65" s="19"/>
      <c r="P65" s="19"/>
    </row>
    <row r="66">
      <c r="A66" s="8"/>
      <c r="B66" s="33"/>
      <c r="C66" s="33"/>
      <c r="D66" s="33"/>
      <c r="E66" s="33"/>
      <c r="F66" s="33"/>
      <c r="G66" s="40"/>
      <c r="H66" s="40"/>
      <c r="I66" s="13" t="str">
        <f t="shared" si="1"/>
        <v/>
      </c>
      <c r="J66" s="8" t="b">
        <v>0</v>
      </c>
      <c r="K66" s="14"/>
      <c r="L66" s="19"/>
      <c r="M66" s="41"/>
      <c r="N66" s="33"/>
      <c r="O66" s="19"/>
      <c r="P66" s="19"/>
    </row>
    <row r="67">
      <c r="A67" s="8"/>
      <c r="B67" s="33"/>
      <c r="C67" s="33"/>
      <c r="D67" s="33"/>
      <c r="E67" s="33"/>
      <c r="F67" s="33"/>
      <c r="G67" s="40"/>
      <c r="H67" s="40"/>
      <c r="I67" s="13" t="str">
        <f t="shared" si="1"/>
        <v/>
      </c>
      <c r="J67" s="8" t="b">
        <v>0</v>
      </c>
      <c r="K67" s="14"/>
      <c r="L67" s="19"/>
      <c r="M67" s="41"/>
      <c r="N67" s="33"/>
      <c r="O67" s="19"/>
      <c r="P67" s="19"/>
    </row>
    <row r="68">
      <c r="A68" s="8"/>
      <c r="B68" s="33"/>
      <c r="C68" s="33"/>
      <c r="D68" s="33"/>
      <c r="E68" s="33"/>
      <c r="F68" s="33"/>
      <c r="G68" s="40"/>
      <c r="H68" s="40"/>
      <c r="I68" s="13" t="str">
        <f t="shared" si="1"/>
        <v/>
      </c>
      <c r="J68" s="8" t="b">
        <v>0</v>
      </c>
      <c r="K68" s="14"/>
      <c r="L68" s="19"/>
      <c r="M68" s="41"/>
      <c r="N68" s="33"/>
      <c r="O68" s="19"/>
      <c r="P68" s="19"/>
    </row>
    <row r="69">
      <c r="A69" s="8"/>
      <c r="B69" s="33"/>
      <c r="C69" s="33"/>
      <c r="D69" s="33"/>
      <c r="E69" s="33"/>
      <c r="F69" s="33"/>
      <c r="G69" s="40"/>
      <c r="H69" s="40"/>
      <c r="I69" s="13" t="str">
        <f t="shared" si="1"/>
        <v/>
      </c>
      <c r="J69" s="8" t="b">
        <v>0</v>
      </c>
      <c r="K69" s="14"/>
      <c r="L69" s="19"/>
      <c r="M69" s="41"/>
      <c r="N69" s="33"/>
      <c r="O69" s="19"/>
      <c r="P69" s="19"/>
    </row>
    <row r="70">
      <c r="A70" s="8"/>
      <c r="B70" s="33"/>
      <c r="C70" s="33"/>
      <c r="D70" s="33"/>
      <c r="E70" s="33"/>
      <c r="F70" s="33"/>
      <c r="G70" s="40"/>
      <c r="H70" s="40"/>
      <c r="I70" s="13" t="str">
        <f t="shared" si="1"/>
        <v/>
      </c>
      <c r="J70" s="8" t="b">
        <v>0</v>
      </c>
      <c r="K70" s="14"/>
      <c r="L70" s="19"/>
      <c r="M70" s="41"/>
      <c r="N70" s="33"/>
      <c r="O70" s="19"/>
      <c r="P70" s="19"/>
    </row>
    <row r="71">
      <c r="A71" s="8"/>
      <c r="B71" s="33"/>
      <c r="C71" s="33"/>
      <c r="D71" s="33"/>
      <c r="E71" s="33"/>
      <c r="F71" s="33"/>
      <c r="G71" s="40"/>
      <c r="H71" s="40"/>
      <c r="I71" s="13" t="str">
        <f t="shared" si="1"/>
        <v/>
      </c>
      <c r="J71" s="8" t="b">
        <v>0</v>
      </c>
      <c r="K71" s="14"/>
      <c r="L71" s="19"/>
      <c r="M71" s="41"/>
      <c r="N71" s="33"/>
      <c r="O71" s="19"/>
      <c r="P71" s="19"/>
    </row>
    <row r="72">
      <c r="A72" s="8"/>
      <c r="B72" s="33"/>
      <c r="C72" s="33"/>
      <c r="D72" s="33"/>
      <c r="E72" s="33"/>
      <c r="F72" s="33"/>
      <c r="G72" s="40"/>
      <c r="H72" s="40"/>
      <c r="I72" s="13" t="str">
        <f t="shared" si="1"/>
        <v/>
      </c>
      <c r="J72" s="8" t="b">
        <v>0</v>
      </c>
      <c r="K72" s="14"/>
      <c r="L72" s="19"/>
      <c r="M72" s="41"/>
      <c r="N72" s="33"/>
      <c r="O72" s="19"/>
      <c r="P72" s="19"/>
    </row>
    <row r="73">
      <c r="A73" s="8"/>
      <c r="B73" s="33"/>
      <c r="C73" s="33"/>
      <c r="D73" s="33"/>
      <c r="E73" s="33"/>
      <c r="F73" s="33"/>
      <c r="G73" s="40"/>
      <c r="H73" s="40"/>
      <c r="I73" s="13" t="str">
        <f t="shared" si="1"/>
        <v/>
      </c>
      <c r="J73" s="8" t="b">
        <v>0</v>
      </c>
      <c r="K73" s="14"/>
      <c r="L73" s="19"/>
      <c r="M73" s="41"/>
      <c r="N73" s="33"/>
      <c r="O73" s="19"/>
      <c r="P73" s="19"/>
    </row>
    <row r="74">
      <c r="A74" s="8"/>
      <c r="B74" s="33"/>
      <c r="C74" s="33"/>
      <c r="D74" s="33"/>
      <c r="E74" s="33"/>
      <c r="F74" s="33"/>
      <c r="G74" s="40"/>
      <c r="H74" s="40"/>
      <c r="I74" s="13" t="str">
        <f t="shared" si="1"/>
        <v/>
      </c>
      <c r="J74" s="8" t="b">
        <v>0</v>
      </c>
      <c r="K74" s="14"/>
      <c r="L74" s="19"/>
      <c r="M74" s="41"/>
      <c r="N74" s="33"/>
      <c r="O74" s="19"/>
      <c r="P74" s="19"/>
    </row>
    <row r="75">
      <c r="A75" s="8"/>
      <c r="B75" s="33"/>
      <c r="C75" s="33"/>
      <c r="D75" s="33"/>
      <c r="E75" s="33"/>
      <c r="F75" s="33"/>
      <c r="G75" s="40"/>
      <c r="H75" s="40"/>
      <c r="I75" s="13" t="str">
        <f t="shared" si="1"/>
        <v/>
      </c>
      <c r="J75" s="8" t="b">
        <v>0</v>
      </c>
      <c r="K75" s="14"/>
      <c r="L75" s="19"/>
      <c r="M75" s="41"/>
      <c r="N75" s="33"/>
      <c r="O75" s="19"/>
      <c r="P75" s="19"/>
    </row>
    <row r="76">
      <c r="A76" s="8"/>
      <c r="B76" s="33"/>
      <c r="C76" s="33"/>
      <c r="D76" s="33"/>
      <c r="E76" s="33"/>
      <c r="F76" s="33"/>
      <c r="G76" s="40"/>
      <c r="H76" s="40"/>
      <c r="I76" s="13" t="str">
        <f t="shared" si="1"/>
        <v/>
      </c>
      <c r="J76" s="8" t="b">
        <v>0</v>
      </c>
      <c r="K76" s="14"/>
      <c r="L76" s="19"/>
      <c r="M76" s="41"/>
      <c r="N76" s="33"/>
      <c r="O76" s="19"/>
      <c r="P76" s="19"/>
    </row>
    <row r="77">
      <c r="A77" s="8"/>
      <c r="B77" s="33"/>
      <c r="C77" s="33"/>
      <c r="D77" s="33"/>
      <c r="E77" s="33"/>
      <c r="F77" s="33"/>
      <c r="G77" s="40"/>
      <c r="H77" s="40"/>
      <c r="I77" s="13" t="str">
        <f t="shared" si="1"/>
        <v/>
      </c>
      <c r="J77" s="8" t="b">
        <v>0</v>
      </c>
      <c r="K77" s="14"/>
      <c r="L77" s="19"/>
      <c r="M77" s="41"/>
      <c r="N77" s="33"/>
      <c r="O77" s="19"/>
      <c r="P77" s="19"/>
    </row>
    <row r="78">
      <c r="A78" s="8"/>
      <c r="B78" s="33"/>
      <c r="C78" s="33"/>
      <c r="D78" s="33"/>
      <c r="E78" s="33"/>
      <c r="F78" s="33"/>
      <c r="G78" s="40"/>
      <c r="H78" s="40"/>
      <c r="I78" s="13" t="str">
        <f t="shared" si="1"/>
        <v/>
      </c>
      <c r="J78" s="8" t="b">
        <v>0</v>
      </c>
      <c r="K78" s="14"/>
      <c r="L78" s="19"/>
      <c r="M78" s="41"/>
      <c r="N78" s="33"/>
      <c r="O78" s="19"/>
      <c r="P78" s="19"/>
    </row>
    <row r="79">
      <c r="A79" s="8"/>
      <c r="B79" s="33"/>
      <c r="C79" s="33"/>
      <c r="D79" s="33"/>
      <c r="E79" s="33"/>
      <c r="F79" s="33"/>
      <c r="G79" s="40"/>
      <c r="H79" s="40"/>
      <c r="I79" s="13" t="str">
        <f t="shared" si="1"/>
        <v/>
      </c>
      <c r="J79" s="8" t="b">
        <v>0</v>
      </c>
      <c r="K79" s="14"/>
      <c r="L79" s="19"/>
      <c r="M79" s="41"/>
      <c r="N79" s="33"/>
      <c r="O79" s="19"/>
      <c r="P79" s="19"/>
    </row>
    <row r="80">
      <c r="A80" s="8"/>
      <c r="B80" s="33"/>
      <c r="C80" s="33"/>
      <c r="D80" s="33"/>
      <c r="E80" s="33"/>
      <c r="F80" s="33"/>
      <c r="G80" s="40"/>
      <c r="H80" s="40"/>
      <c r="I80" s="13" t="str">
        <f t="shared" si="1"/>
        <v/>
      </c>
      <c r="J80" s="8" t="b">
        <v>0</v>
      </c>
      <c r="K80" s="14"/>
      <c r="L80" s="19"/>
      <c r="M80" s="41"/>
      <c r="N80" s="33"/>
      <c r="O80" s="19"/>
      <c r="P80" s="19"/>
    </row>
    <row r="81">
      <c r="A81" s="8"/>
      <c r="B81" s="33"/>
      <c r="C81" s="33"/>
      <c r="D81" s="33"/>
      <c r="E81" s="33"/>
      <c r="F81" s="33"/>
      <c r="G81" s="40"/>
      <c r="H81" s="40"/>
      <c r="I81" s="13" t="str">
        <f t="shared" si="1"/>
        <v/>
      </c>
      <c r="J81" s="8" t="b">
        <v>0</v>
      </c>
      <c r="K81" s="14"/>
      <c r="L81" s="19"/>
      <c r="M81" s="41"/>
      <c r="N81" s="33"/>
      <c r="O81" s="19"/>
      <c r="P81" s="19"/>
    </row>
    <row r="82">
      <c r="A82" s="8"/>
      <c r="B82" s="33"/>
      <c r="C82" s="33"/>
      <c r="D82" s="33"/>
      <c r="E82" s="33"/>
      <c r="F82" s="33"/>
      <c r="G82" s="40"/>
      <c r="H82" s="40"/>
      <c r="I82" s="13" t="str">
        <f t="shared" si="1"/>
        <v/>
      </c>
      <c r="J82" s="8" t="b">
        <v>0</v>
      </c>
      <c r="K82" s="14"/>
      <c r="L82" s="19"/>
      <c r="M82" s="41"/>
      <c r="N82" s="33"/>
      <c r="O82" s="19"/>
      <c r="P82" s="19"/>
    </row>
    <row r="83">
      <c r="A83" s="8"/>
      <c r="B83" s="33"/>
      <c r="C83" s="33"/>
      <c r="D83" s="33"/>
      <c r="E83" s="33"/>
      <c r="F83" s="33"/>
      <c r="G83" s="40"/>
      <c r="H83" s="40"/>
      <c r="I83" s="13" t="str">
        <f t="shared" si="1"/>
        <v/>
      </c>
      <c r="J83" s="8" t="b">
        <v>0</v>
      </c>
      <c r="K83" s="14"/>
      <c r="L83" s="19"/>
      <c r="M83" s="41"/>
      <c r="N83" s="33"/>
      <c r="O83" s="19"/>
      <c r="P83" s="19"/>
    </row>
    <row r="84">
      <c r="A84" s="8"/>
      <c r="B84" s="33"/>
      <c r="C84" s="33"/>
      <c r="D84" s="33"/>
      <c r="E84" s="33"/>
      <c r="F84" s="33"/>
      <c r="G84" s="40"/>
      <c r="H84" s="40"/>
      <c r="I84" s="13" t="str">
        <f t="shared" si="1"/>
        <v/>
      </c>
      <c r="J84" s="8" t="b">
        <v>0</v>
      </c>
      <c r="K84" s="14"/>
      <c r="L84" s="19"/>
      <c r="M84" s="41"/>
      <c r="N84" s="33"/>
      <c r="O84" s="19"/>
      <c r="P84" s="19"/>
    </row>
    <row r="85">
      <c r="A85" s="8"/>
      <c r="B85" s="33"/>
      <c r="C85" s="33"/>
      <c r="D85" s="33"/>
      <c r="E85" s="33"/>
      <c r="F85" s="33"/>
      <c r="G85" s="40"/>
      <c r="H85" s="40"/>
      <c r="I85" s="13" t="str">
        <f t="shared" si="1"/>
        <v/>
      </c>
      <c r="J85" s="8" t="b">
        <v>0</v>
      </c>
      <c r="K85" s="14"/>
      <c r="L85" s="19"/>
      <c r="M85" s="41"/>
      <c r="N85" s="33"/>
      <c r="O85" s="19"/>
      <c r="P85" s="19"/>
    </row>
    <row r="86">
      <c r="A86" s="8"/>
      <c r="B86" s="33"/>
      <c r="C86" s="33"/>
      <c r="D86" s="33"/>
      <c r="E86" s="33"/>
      <c r="F86" s="33"/>
      <c r="G86" s="40"/>
      <c r="H86" s="40"/>
      <c r="I86" s="13" t="str">
        <f t="shared" si="1"/>
        <v/>
      </c>
      <c r="J86" s="8" t="b">
        <v>0</v>
      </c>
      <c r="K86" s="14"/>
      <c r="L86" s="19"/>
      <c r="M86" s="41"/>
      <c r="N86" s="33"/>
      <c r="O86" s="19"/>
      <c r="P86" s="19"/>
    </row>
    <row r="87">
      <c r="A87" s="8"/>
      <c r="B87" s="33"/>
      <c r="C87" s="33"/>
      <c r="D87" s="33"/>
      <c r="E87" s="33"/>
      <c r="F87" s="33"/>
      <c r="G87" s="40"/>
      <c r="H87" s="40"/>
      <c r="I87" s="13" t="str">
        <f t="shared" si="1"/>
        <v/>
      </c>
      <c r="J87" s="8" t="b">
        <v>0</v>
      </c>
      <c r="K87" s="14"/>
      <c r="L87" s="19"/>
      <c r="M87" s="41"/>
      <c r="N87" s="33"/>
      <c r="O87" s="19"/>
      <c r="P87" s="19"/>
    </row>
    <row r="88">
      <c r="A88" s="8"/>
      <c r="B88" s="33"/>
      <c r="C88" s="33"/>
      <c r="D88" s="33"/>
      <c r="E88" s="33"/>
      <c r="F88" s="33"/>
      <c r="G88" s="40"/>
      <c r="H88" s="40"/>
      <c r="I88" s="13" t="str">
        <f t="shared" si="1"/>
        <v/>
      </c>
      <c r="J88" s="8" t="b">
        <v>0</v>
      </c>
      <c r="K88" s="14"/>
      <c r="L88" s="19"/>
      <c r="M88" s="41"/>
      <c r="N88" s="33"/>
      <c r="O88" s="19"/>
      <c r="P88" s="19"/>
    </row>
    <row r="89">
      <c r="A89" s="8"/>
      <c r="B89" s="33"/>
      <c r="C89" s="33"/>
      <c r="D89" s="33"/>
      <c r="E89" s="33"/>
      <c r="F89" s="33"/>
      <c r="G89" s="40"/>
      <c r="H89" s="40"/>
      <c r="I89" s="13" t="str">
        <f t="shared" si="1"/>
        <v/>
      </c>
      <c r="J89" s="8" t="b">
        <v>0</v>
      </c>
      <c r="K89" s="14"/>
      <c r="L89" s="19"/>
      <c r="M89" s="41"/>
      <c r="N89" s="33"/>
      <c r="O89" s="19"/>
      <c r="P89" s="19"/>
    </row>
    <row r="90">
      <c r="A90" s="8"/>
      <c r="B90" s="33"/>
      <c r="C90" s="33"/>
      <c r="D90" s="33"/>
      <c r="E90" s="33"/>
      <c r="F90" s="33"/>
      <c r="G90" s="40"/>
      <c r="H90" s="40"/>
      <c r="I90" s="13" t="str">
        <f t="shared" si="1"/>
        <v/>
      </c>
      <c r="J90" s="8" t="b">
        <v>0</v>
      </c>
      <c r="K90" s="14"/>
      <c r="L90" s="19"/>
      <c r="M90" s="41"/>
      <c r="N90" s="33"/>
      <c r="O90" s="19"/>
      <c r="P90" s="19"/>
    </row>
    <row r="91">
      <c r="A91" s="8"/>
      <c r="B91" s="33"/>
      <c r="C91" s="33"/>
      <c r="D91" s="33"/>
      <c r="E91" s="33"/>
      <c r="F91" s="33"/>
      <c r="G91" s="40"/>
      <c r="H91" s="40"/>
      <c r="I91" s="13" t="str">
        <f t="shared" si="1"/>
        <v/>
      </c>
      <c r="J91" s="8" t="b">
        <v>0</v>
      </c>
      <c r="K91" s="14"/>
      <c r="L91" s="19"/>
      <c r="M91" s="41"/>
      <c r="N91" s="33"/>
      <c r="O91" s="19"/>
      <c r="P91" s="19"/>
    </row>
    <row r="92">
      <c r="A92" s="8"/>
      <c r="B92" s="33"/>
      <c r="C92" s="33"/>
      <c r="D92" s="33"/>
      <c r="E92" s="33"/>
      <c r="F92" s="33"/>
      <c r="G92" s="40"/>
      <c r="H92" s="40"/>
      <c r="I92" s="13" t="str">
        <f t="shared" si="1"/>
        <v/>
      </c>
      <c r="J92" s="8" t="b">
        <v>0</v>
      </c>
      <c r="K92" s="14"/>
      <c r="L92" s="19"/>
      <c r="M92" s="41"/>
      <c r="N92" s="33"/>
      <c r="O92" s="19"/>
      <c r="P92" s="19"/>
    </row>
    <row r="93">
      <c r="A93" s="8"/>
      <c r="B93" s="33"/>
      <c r="C93" s="33"/>
      <c r="D93" s="33"/>
      <c r="E93" s="33"/>
      <c r="F93" s="33"/>
      <c r="G93" s="40"/>
      <c r="H93" s="40"/>
      <c r="I93" s="13" t="str">
        <f t="shared" si="1"/>
        <v/>
      </c>
      <c r="J93" s="8" t="b">
        <v>0</v>
      </c>
      <c r="K93" s="14"/>
      <c r="L93" s="19"/>
      <c r="M93" s="41"/>
      <c r="N93" s="33"/>
      <c r="O93" s="19"/>
      <c r="P93" s="19"/>
    </row>
    <row r="94">
      <c r="A94" s="8"/>
      <c r="B94" s="33"/>
      <c r="C94" s="33"/>
      <c r="D94" s="33"/>
      <c r="E94" s="33"/>
      <c r="F94" s="33"/>
      <c r="G94" s="40"/>
      <c r="H94" s="40"/>
      <c r="I94" s="13" t="str">
        <f t="shared" si="1"/>
        <v/>
      </c>
      <c r="J94" s="8" t="b">
        <v>0</v>
      </c>
      <c r="K94" s="14"/>
      <c r="L94" s="19"/>
      <c r="M94" s="41"/>
      <c r="N94" s="33"/>
      <c r="O94" s="19"/>
      <c r="P94" s="19"/>
    </row>
    <row r="95">
      <c r="A95" s="8"/>
      <c r="B95" s="33"/>
      <c r="C95" s="33"/>
      <c r="D95" s="33"/>
      <c r="E95" s="33"/>
      <c r="F95" s="33"/>
      <c r="G95" s="40"/>
      <c r="H95" s="40"/>
      <c r="I95" s="13" t="str">
        <f t="shared" si="1"/>
        <v/>
      </c>
      <c r="J95" s="8" t="b">
        <v>0</v>
      </c>
      <c r="K95" s="14"/>
      <c r="L95" s="19"/>
      <c r="M95" s="41"/>
      <c r="N95" s="33"/>
      <c r="O95" s="19"/>
      <c r="P95" s="19"/>
    </row>
    <row r="96">
      <c r="A96" s="8"/>
      <c r="B96" s="33"/>
      <c r="C96" s="33"/>
      <c r="D96" s="33"/>
      <c r="E96" s="33"/>
      <c r="F96" s="33"/>
      <c r="G96" s="40"/>
      <c r="H96" s="40"/>
      <c r="I96" s="13" t="str">
        <f t="shared" si="1"/>
        <v/>
      </c>
      <c r="J96" s="8" t="b">
        <v>0</v>
      </c>
      <c r="K96" s="14"/>
      <c r="L96" s="19"/>
      <c r="M96" s="41"/>
      <c r="N96" s="33"/>
      <c r="O96" s="19"/>
      <c r="P96" s="19"/>
    </row>
    <row r="97">
      <c r="A97" s="8"/>
      <c r="B97" s="33"/>
      <c r="C97" s="33"/>
      <c r="D97" s="33"/>
      <c r="E97" s="33"/>
      <c r="F97" s="33"/>
      <c r="G97" s="40"/>
      <c r="H97" s="40"/>
      <c r="I97" s="13" t="str">
        <f t="shared" si="1"/>
        <v/>
      </c>
      <c r="J97" s="8" t="b">
        <v>0</v>
      </c>
      <c r="K97" s="14"/>
      <c r="L97" s="19"/>
      <c r="M97" s="41"/>
      <c r="N97" s="33"/>
      <c r="O97" s="19"/>
      <c r="P97" s="19"/>
    </row>
    <row r="98">
      <c r="A98" s="8"/>
      <c r="B98" s="33"/>
      <c r="C98" s="33"/>
      <c r="D98" s="33"/>
      <c r="E98" s="33"/>
      <c r="F98" s="33"/>
      <c r="G98" s="40"/>
      <c r="H98" s="40"/>
      <c r="I98" s="13" t="str">
        <f t="shared" si="1"/>
        <v/>
      </c>
      <c r="J98" s="8" t="b">
        <v>0</v>
      </c>
      <c r="K98" s="14"/>
      <c r="L98" s="19"/>
      <c r="M98" s="41"/>
      <c r="N98" s="33"/>
      <c r="O98" s="19"/>
      <c r="P98" s="19"/>
    </row>
    <row r="99">
      <c r="A99" s="8"/>
      <c r="B99" s="33"/>
      <c r="C99" s="33"/>
      <c r="D99" s="33"/>
      <c r="E99" s="33"/>
      <c r="F99" s="33"/>
      <c r="G99" s="40"/>
      <c r="H99" s="40"/>
      <c r="I99" s="13" t="str">
        <f t="shared" si="1"/>
        <v/>
      </c>
      <c r="J99" s="8" t="b">
        <v>0</v>
      </c>
      <c r="K99" s="14"/>
      <c r="L99" s="19"/>
      <c r="M99" s="41"/>
      <c r="N99" s="33"/>
      <c r="O99" s="19"/>
      <c r="P99" s="19"/>
    </row>
    <row r="100">
      <c r="A100" s="8"/>
      <c r="B100" s="33"/>
      <c r="C100" s="33"/>
      <c r="D100" s="33"/>
      <c r="E100" s="33"/>
      <c r="F100" s="33"/>
      <c r="G100" s="40"/>
      <c r="H100" s="40"/>
      <c r="I100" s="13" t="str">
        <f t="shared" si="1"/>
        <v/>
      </c>
      <c r="J100" s="8" t="b">
        <v>0</v>
      </c>
      <c r="K100" s="14"/>
      <c r="L100" s="19"/>
      <c r="M100" s="41"/>
      <c r="N100" s="33"/>
      <c r="O100" s="19"/>
      <c r="P100" s="19"/>
    </row>
    <row r="101">
      <c r="A101" s="8"/>
      <c r="B101" s="33"/>
      <c r="C101" s="33"/>
      <c r="D101" s="33"/>
      <c r="E101" s="33"/>
      <c r="F101" s="33"/>
      <c r="G101" s="40"/>
      <c r="H101" s="40"/>
      <c r="I101" s="13" t="str">
        <f t="shared" si="1"/>
        <v/>
      </c>
      <c r="J101" s="8" t="b">
        <v>0</v>
      </c>
      <c r="K101" s="14"/>
      <c r="L101" s="19"/>
      <c r="M101" s="41"/>
      <c r="N101" s="33"/>
      <c r="O101" s="19"/>
      <c r="P101" s="19"/>
    </row>
    <row r="102">
      <c r="A102" s="8"/>
      <c r="B102" s="33"/>
      <c r="C102" s="33"/>
      <c r="D102" s="33"/>
      <c r="E102" s="33"/>
      <c r="F102" s="33"/>
      <c r="G102" s="40"/>
      <c r="H102" s="40"/>
      <c r="I102" s="13" t="str">
        <f t="shared" si="1"/>
        <v/>
      </c>
      <c r="J102" s="8" t="b">
        <v>0</v>
      </c>
      <c r="K102" s="14"/>
      <c r="L102" s="19"/>
      <c r="M102" s="41"/>
      <c r="N102" s="33"/>
      <c r="O102" s="19"/>
      <c r="P102" s="19"/>
    </row>
    <row r="103">
      <c r="A103" s="8"/>
      <c r="B103" s="33"/>
      <c r="C103" s="33"/>
      <c r="D103" s="33"/>
      <c r="E103" s="33"/>
      <c r="F103" s="33"/>
      <c r="G103" s="40"/>
      <c r="H103" s="40"/>
      <c r="I103" s="13" t="str">
        <f t="shared" si="1"/>
        <v/>
      </c>
      <c r="J103" s="8" t="b">
        <v>0</v>
      </c>
      <c r="K103" s="14"/>
      <c r="L103" s="19"/>
      <c r="M103" s="41"/>
      <c r="N103" s="33"/>
      <c r="O103" s="19"/>
      <c r="P103" s="19"/>
    </row>
    <row r="104">
      <c r="A104" s="8"/>
      <c r="B104" s="33"/>
      <c r="C104" s="33"/>
      <c r="D104" s="33"/>
      <c r="E104" s="33"/>
      <c r="F104" s="33"/>
      <c r="G104" s="40"/>
      <c r="H104" s="40"/>
      <c r="I104" s="13" t="str">
        <f t="shared" si="1"/>
        <v/>
      </c>
      <c r="J104" s="8" t="b">
        <v>0</v>
      </c>
      <c r="K104" s="14"/>
      <c r="L104" s="19"/>
      <c r="M104" s="41"/>
      <c r="N104" s="33"/>
      <c r="O104" s="19"/>
      <c r="P104" s="19"/>
    </row>
    <row r="105">
      <c r="A105" s="8"/>
      <c r="B105" s="33"/>
      <c r="C105" s="33"/>
      <c r="D105" s="33"/>
      <c r="E105" s="33"/>
      <c r="F105" s="33"/>
      <c r="G105" s="40"/>
      <c r="H105" s="40"/>
      <c r="I105" s="13" t="str">
        <f t="shared" si="1"/>
        <v/>
      </c>
      <c r="J105" s="8" t="b">
        <v>0</v>
      </c>
      <c r="K105" s="14"/>
      <c r="L105" s="19"/>
      <c r="M105" s="41"/>
      <c r="N105" s="33"/>
      <c r="O105" s="19"/>
      <c r="P105" s="19"/>
    </row>
    <row r="106">
      <c r="A106" s="8"/>
      <c r="B106" s="33"/>
      <c r="C106" s="33"/>
      <c r="D106" s="33"/>
      <c r="E106" s="33"/>
      <c r="F106" s="33"/>
      <c r="G106" s="40"/>
      <c r="H106" s="40"/>
      <c r="I106" s="13" t="str">
        <f t="shared" si="1"/>
        <v/>
      </c>
      <c r="J106" s="8" t="b">
        <v>0</v>
      </c>
      <c r="K106" s="14"/>
      <c r="L106" s="19"/>
      <c r="M106" s="41"/>
      <c r="N106" s="33"/>
      <c r="O106" s="19"/>
      <c r="P106" s="19"/>
    </row>
    <row r="107">
      <c r="A107" s="8"/>
      <c r="B107" s="33"/>
      <c r="C107" s="33"/>
      <c r="D107" s="33"/>
      <c r="E107" s="33"/>
      <c r="F107" s="33"/>
      <c r="G107" s="40"/>
      <c r="H107" s="40"/>
      <c r="I107" s="13" t="str">
        <f t="shared" si="1"/>
        <v/>
      </c>
      <c r="J107" s="8" t="b">
        <v>0</v>
      </c>
      <c r="K107" s="14"/>
      <c r="L107" s="19"/>
      <c r="M107" s="41"/>
      <c r="N107" s="33"/>
      <c r="O107" s="19"/>
      <c r="P107" s="19"/>
    </row>
    <row r="108">
      <c r="A108" s="8"/>
      <c r="B108" s="33"/>
      <c r="C108" s="33"/>
      <c r="D108" s="33"/>
      <c r="E108" s="33"/>
      <c r="F108" s="33"/>
      <c r="G108" s="40"/>
      <c r="H108" s="40"/>
      <c r="I108" s="13" t="str">
        <f t="shared" si="1"/>
        <v/>
      </c>
      <c r="J108" s="8" t="b">
        <v>0</v>
      </c>
      <c r="K108" s="14"/>
      <c r="L108" s="19"/>
      <c r="M108" s="41"/>
      <c r="N108" s="33"/>
      <c r="O108" s="19"/>
      <c r="P108" s="19"/>
    </row>
    <row r="109">
      <c r="A109" s="8"/>
      <c r="B109" s="33"/>
      <c r="C109" s="33"/>
      <c r="D109" s="33"/>
      <c r="E109" s="33"/>
      <c r="F109" s="33"/>
      <c r="G109" s="40"/>
      <c r="H109" s="40"/>
      <c r="I109" s="13" t="str">
        <f t="shared" si="1"/>
        <v/>
      </c>
      <c r="J109" s="8" t="b">
        <v>0</v>
      </c>
      <c r="K109" s="14"/>
      <c r="L109" s="19"/>
      <c r="M109" s="41"/>
      <c r="N109" s="33"/>
      <c r="O109" s="19"/>
      <c r="P109" s="19"/>
    </row>
    <row r="110">
      <c r="A110" s="8"/>
      <c r="B110" s="33"/>
      <c r="C110" s="33"/>
      <c r="D110" s="33"/>
      <c r="E110" s="33"/>
      <c r="F110" s="33"/>
      <c r="G110" s="40"/>
      <c r="H110" s="40"/>
      <c r="I110" s="13" t="str">
        <f t="shared" si="1"/>
        <v/>
      </c>
      <c r="J110" s="8" t="b">
        <v>0</v>
      </c>
      <c r="K110" s="14"/>
      <c r="L110" s="19"/>
      <c r="M110" s="41"/>
      <c r="N110" s="33"/>
      <c r="O110" s="19"/>
      <c r="P110" s="19"/>
    </row>
    <row r="111">
      <c r="A111" s="8"/>
      <c r="B111" s="33"/>
      <c r="C111" s="33"/>
      <c r="D111" s="33"/>
      <c r="E111" s="33"/>
      <c r="F111" s="33"/>
      <c r="G111" s="40"/>
      <c r="H111" s="40"/>
      <c r="I111" s="13" t="str">
        <f t="shared" si="1"/>
        <v/>
      </c>
      <c r="J111" s="8" t="b">
        <v>0</v>
      </c>
      <c r="K111" s="14"/>
      <c r="L111" s="19"/>
      <c r="M111" s="41"/>
      <c r="N111" s="33"/>
      <c r="O111" s="19"/>
      <c r="P111" s="19"/>
    </row>
    <row r="112">
      <c r="A112" s="8"/>
      <c r="B112" s="33"/>
      <c r="C112" s="33"/>
      <c r="D112" s="33"/>
      <c r="E112" s="33"/>
      <c r="F112" s="33"/>
      <c r="G112" s="40"/>
      <c r="H112" s="40"/>
      <c r="I112" s="13" t="str">
        <f t="shared" si="1"/>
        <v/>
      </c>
      <c r="J112" s="8" t="b">
        <v>0</v>
      </c>
      <c r="K112" s="14"/>
      <c r="L112" s="19"/>
      <c r="M112" s="41"/>
      <c r="N112" s="33"/>
      <c r="O112" s="19"/>
      <c r="P112" s="19"/>
    </row>
    <row r="113">
      <c r="A113" s="8"/>
      <c r="B113" s="33"/>
      <c r="C113" s="33"/>
      <c r="D113" s="33"/>
      <c r="E113" s="33"/>
      <c r="F113" s="33"/>
      <c r="G113" s="40"/>
      <c r="H113" s="40"/>
      <c r="I113" s="13" t="str">
        <f t="shared" si="1"/>
        <v/>
      </c>
      <c r="J113" s="8" t="b">
        <v>0</v>
      </c>
      <c r="K113" s="14"/>
      <c r="L113" s="19"/>
      <c r="M113" s="41"/>
      <c r="N113" s="33"/>
      <c r="O113" s="19"/>
      <c r="P113" s="19"/>
    </row>
    <row r="114">
      <c r="A114" s="8"/>
      <c r="B114" s="33"/>
      <c r="C114" s="33"/>
      <c r="D114" s="33"/>
      <c r="E114" s="33"/>
      <c r="F114" s="33"/>
      <c r="G114" s="40"/>
      <c r="H114" s="40"/>
      <c r="I114" s="13" t="str">
        <f t="shared" si="1"/>
        <v/>
      </c>
      <c r="J114" s="8" t="b">
        <v>0</v>
      </c>
      <c r="K114" s="14"/>
      <c r="L114" s="19"/>
      <c r="M114" s="41"/>
      <c r="N114" s="33"/>
      <c r="O114" s="19"/>
      <c r="P114" s="19"/>
    </row>
    <row r="115">
      <c r="A115" s="8"/>
      <c r="B115" s="33"/>
      <c r="C115" s="33"/>
      <c r="D115" s="33"/>
      <c r="E115" s="33"/>
      <c r="F115" s="33"/>
      <c r="G115" s="40"/>
      <c r="H115" s="40"/>
      <c r="I115" s="13" t="str">
        <f t="shared" si="1"/>
        <v/>
      </c>
      <c r="J115" s="8" t="b">
        <v>0</v>
      </c>
      <c r="K115" s="14"/>
      <c r="L115" s="19"/>
      <c r="M115" s="41"/>
      <c r="N115" s="33"/>
      <c r="O115" s="19"/>
      <c r="P115" s="19"/>
    </row>
    <row r="116">
      <c r="A116" s="8"/>
      <c r="B116" s="33"/>
      <c r="C116" s="33"/>
      <c r="D116" s="33"/>
      <c r="E116" s="33"/>
      <c r="F116" s="33"/>
      <c r="G116" s="40"/>
      <c r="H116" s="40"/>
      <c r="I116" s="13" t="str">
        <f t="shared" si="1"/>
        <v/>
      </c>
      <c r="J116" s="8" t="b">
        <v>0</v>
      </c>
      <c r="K116" s="14"/>
      <c r="L116" s="19"/>
      <c r="M116" s="41"/>
      <c r="N116" s="33"/>
      <c r="O116" s="19"/>
      <c r="P116" s="19"/>
    </row>
    <row r="117">
      <c r="A117" s="8"/>
      <c r="B117" s="33"/>
      <c r="C117" s="33"/>
      <c r="D117" s="33"/>
      <c r="E117" s="33"/>
      <c r="F117" s="33"/>
      <c r="G117" s="40"/>
      <c r="H117" s="40"/>
      <c r="I117" s="13" t="str">
        <f t="shared" si="1"/>
        <v/>
      </c>
      <c r="J117" s="8" t="b">
        <v>0</v>
      </c>
      <c r="K117" s="14"/>
      <c r="L117" s="19"/>
      <c r="M117" s="41"/>
      <c r="N117" s="33"/>
      <c r="O117" s="19"/>
      <c r="P117" s="19"/>
    </row>
    <row r="118">
      <c r="A118" s="8"/>
      <c r="B118" s="33"/>
      <c r="C118" s="33"/>
      <c r="D118" s="33"/>
      <c r="E118" s="33"/>
      <c r="F118" s="33"/>
      <c r="G118" s="40"/>
      <c r="H118" s="40"/>
      <c r="I118" s="13" t="str">
        <f t="shared" si="1"/>
        <v/>
      </c>
      <c r="J118" s="8" t="b">
        <v>0</v>
      </c>
      <c r="K118" s="14"/>
      <c r="L118" s="19"/>
      <c r="M118" s="41"/>
      <c r="N118" s="33"/>
      <c r="O118" s="19"/>
      <c r="P118" s="19"/>
    </row>
    <row r="119">
      <c r="A119" s="8"/>
      <c r="B119" s="33"/>
      <c r="C119" s="33"/>
      <c r="D119" s="33"/>
      <c r="E119" s="33"/>
      <c r="F119" s="33"/>
      <c r="G119" s="40"/>
      <c r="H119" s="40"/>
      <c r="I119" s="13" t="str">
        <f t="shared" si="1"/>
        <v/>
      </c>
      <c r="J119" s="8" t="b">
        <v>0</v>
      </c>
      <c r="K119" s="14"/>
      <c r="L119" s="19"/>
      <c r="M119" s="41"/>
      <c r="N119" s="33"/>
      <c r="O119" s="19"/>
      <c r="P119" s="19"/>
    </row>
    <row r="120">
      <c r="A120" s="8"/>
      <c r="B120" s="33"/>
      <c r="C120" s="33"/>
      <c r="D120" s="33"/>
      <c r="E120" s="33"/>
      <c r="F120" s="33"/>
      <c r="G120" s="40"/>
      <c r="H120" s="40"/>
      <c r="I120" s="13" t="str">
        <f t="shared" si="1"/>
        <v/>
      </c>
      <c r="J120" s="8" t="b">
        <v>0</v>
      </c>
      <c r="K120" s="14"/>
      <c r="L120" s="19"/>
      <c r="M120" s="41"/>
      <c r="N120" s="33"/>
      <c r="O120" s="19"/>
      <c r="P120" s="19"/>
    </row>
    <row r="121">
      <c r="A121" s="8"/>
      <c r="B121" s="33"/>
      <c r="C121" s="33"/>
      <c r="D121" s="33"/>
      <c r="E121" s="33"/>
      <c r="F121" s="33"/>
      <c r="G121" s="40"/>
      <c r="H121" s="40"/>
      <c r="I121" s="13" t="str">
        <f t="shared" si="1"/>
        <v/>
      </c>
      <c r="J121" s="8" t="b">
        <v>0</v>
      </c>
      <c r="K121" s="14"/>
      <c r="L121" s="19"/>
      <c r="M121" s="41"/>
      <c r="N121" s="33"/>
      <c r="O121" s="19"/>
      <c r="P121" s="19"/>
    </row>
    <row r="122">
      <c r="A122" s="8"/>
      <c r="B122" s="33"/>
      <c r="C122" s="33"/>
      <c r="D122" s="33"/>
      <c r="E122" s="33"/>
      <c r="F122" s="33"/>
      <c r="G122" s="40"/>
      <c r="H122" s="40"/>
      <c r="I122" s="13" t="str">
        <f t="shared" si="1"/>
        <v/>
      </c>
      <c r="J122" s="8" t="b">
        <v>0</v>
      </c>
      <c r="K122" s="14"/>
      <c r="L122" s="19"/>
      <c r="M122" s="41"/>
      <c r="N122" s="33"/>
      <c r="O122" s="19"/>
      <c r="P122" s="19"/>
    </row>
    <row r="123">
      <c r="A123" s="8"/>
      <c r="B123" s="33"/>
      <c r="C123" s="33"/>
      <c r="D123" s="33"/>
      <c r="E123" s="33"/>
      <c r="F123" s="33"/>
      <c r="G123" s="40"/>
      <c r="H123" s="40"/>
      <c r="I123" s="13" t="str">
        <f t="shared" si="1"/>
        <v/>
      </c>
      <c r="J123" s="8" t="b">
        <v>0</v>
      </c>
      <c r="K123" s="14"/>
      <c r="L123" s="19"/>
      <c r="M123" s="41"/>
      <c r="N123" s="33"/>
      <c r="O123" s="19"/>
      <c r="P123" s="19"/>
    </row>
    <row r="124">
      <c r="A124" s="8"/>
      <c r="B124" s="33"/>
      <c r="C124" s="33"/>
      <c r="D124" s="33"/>
      <c r="E124" s="33"/>
      <c r="F124" s="33"/>
      <c r="G124" s="40"/>
      <c r="H124" s="40"/>
      <c r="I124" s="13" t="str">
        <f t="shared" si="1"/>
        <v/>
      </c>
      <c r="J124" s="8" t="b">
        <v>0</v>
      </c>
      <c r="K124" s="14"/>
      <c r="L124" s="19"/>
      <c r="M124" s="41"/>
      <c r="N124" s="33"/>
      <c r="O124" s="19"/>
      <c r="P124" s="19"/>
    </row>
    <row r="125">
      <c r="A125" s="8"/>
      <c r="B125" s="33"/>
      <c r="C125" s="33"/>
      <c r="D125" s="33"/>
      <c r="E125" s="33"/>
      <c r="F125" s="33"/>
      <c r="G125" s="40"/>
      <c r="H125" s="40"/>
      <c r="I125" s="13" t="str">
        <f t="shared" si="1"/>
        <v/>
      </c>
      <c r="J125" s="8" t="b">
        <v>0</v>
      </c>
      <c r="K125" s="14"/>
      <c r="L125" s="19"/>
      <c r="M125" s="41"/>
      <c r="N125" s="33"/>
      <c r="O125" s="19"/>
      <c r="P125" s="19"/>
    </row>
    <row r="126">
      <c r="A126" s="8"/>
      <c r="B126" s="33"/>
      <c r="C126" s="33"/>
      <c r="D126" s="33"/>
      <c r="E126" s="33"/>
      <c r="F126" s="33"/>
      <c r="G126" s="40"/>
      <c r="H126" s="40"/>
      <c r="I126" s="13" t="str">
        <f t="shared" si="1"/>
        <v/>
      </c>
      <c r="J126" s="8" t="b">
        <v>0</v>
      </c>
      <c r="K126" s="14"/>
      <c r="L126" s="19"/>
      <c r="M126" s="41"/>
      <c r="N126" s="33"/>
      <c r="O126" s="19"/>
      <c r="P126" s="19"/>
    </row>
    <row r="127">
      <c r="A127" s="8"/>
      <c r="B127" s="33"/>
      <c r="C127" s="33"/>
      <c r="D127" s="33"/>
      <c r="E127" s="33"/>
      <c r="F127" s="33"/>
      <c r="G127" s="40"/>
      <c r="H127" s="40"/>
      <c r="I127" s="13" t="str">
        <f t="shared" si="1"/>
        <v/>
      </c>
      <c r="J127" s="8" t="b">
        <v>0</v>
      </c>
      <c r="K127" s="14"/>
      <c r="L127" s="19"/>
      <c r="M127" s="41"/>
      <c r="N127" s="33"/>
      <c r="O127" s="19"/>
      <c r="P127" s="19"/>
    </row>
    <row r="128">
      <c r="A128" s="8"/>
      <c r="B128" s="33"/>
      <c r="C128" s="33"/>
      <c r="D128" s="33"/>
      <c r="E128" s="33"/>
      <c r="F128" s="33"/>
      <c r="G128" s="40"/>
      <c r="H128" s="40"/>
      <c r="I128" s="13" t="str">
        <f t="shared" si="1"/>
        <v/>
      </c>
      <c r="J128" s="8" t="b">
        <v>0</v>
      </c>
      <c r="K128" s="14"/>
      <c r="L128" s="19"/>
      <c r="M128" s="41"/>
      <c r="N128" s="33"/>
      <c r="O128" s="19"/>
      <c r="P128" s="19"/>
    </row>
    <row r="129">
      <c r="A129" s="8"/>
      <c r="B129" s="33"/>
      <c r="C129" s="33"/>
      <c r="D129" s="33"/>
      <c r="E129" s="33"/>
      <c r="F129" s="33"/>
      <c r="G129" s="40"/>
      <c r="H129" s="40"/>
      <c r="I129" s="13" t="str">
        <f t="shared" si="1"/>
        <v/>
      </c>
      <c r="J129" s="8" t="b">
        <v>0</v>
      </c>
      <c r="K129" s="14"/>
      <c r="L129" s="19"/>
      <c r="M129" s="41"/>
      <c r="N129" s="33"/>
      <c r="O129" s="19"/>
      <c r="P129" s="19"/>
    </row>
    <row r="130">
      <c r="A130" s="8"/>
      <c r="B130" s="33"/>
      <c r="C130" s="33"/>
      <c r="D130" s="33"/>
      <c r="E130" s="33"/>
      <c r="F130" s="33"/>
      <c r="G130" s="40"/>
      <c r="H130" s="40"/>
      <c r="I130" s="13" t="str">
        <f t="shared" si="1"/>
        <v/>
      </c>
      <c r="J130" s="8" t="b">
        <v>0</v>
      </c>
      <c r="K130" s="14"/>
      <c r="L130" s="19"/>
      <c r="M130" s="41"/>
      <c r="N130" s="33"/>
      <c r="O130" s="19"/>
      <c r="P130" s="19"/>
    </row>
    <row r="131">
      <c r="A131" s="8"/>
      <c r="B131" s="33"/>
      <c r="C131" s="33"/>
      <c r="D131" s="33"/>
      <c r="E131" s="33"/>
      <c r="F131" s="33"/>
      <c r="G131" s="40"/>
      <c r="H131" s="40"/>
      <c r="I131" s="13" t="str">
        <f t="shared" si="1"/>
        <v/>
      </c>
      <c r="J131" s="8" t="b">
        <v>0</v>
      </c>
      <c r="K131" s="14"/>
      <c r="L131" s="19"/>
      <c r="M131" s="41"/>
      <c r="N131" s="33"/>
      <c r="O131" s="19"/>
      <c r="P131" s="19"/>
    </row>
    <row r="132">
      <c r="A132" s="8"/>
      <c r="B132" s="33"/>
      <c r="C132" s="33"/>
      <c r="D132" s="33"/>
      <c r="E132" s="33"/>
      <c r="F132" s="33"/>
      <c r="G132" s="40"/>
      <c r="H132" s="40"/>
      <c r="I132" s="13" t="str">
        <f t="shared" si="1"/>
        <v/>
      </c>
      <c r="J132" s="8" t="b">
        <v>0</v>
      </c>
      <c r="K132" s="14"/>
      <c r="L132" s="19"/>
      <c r="M132" s="41"/>
      <c r="N132" s="33"/>
      <c r="O132" s="19"/>
      <c r="P132" s="19"/>
    </row>
    <row r="133">
      <c r="A133" s="8"/>
      <c r="B133" s="33"/>
      <c r="C133" s="33"/>
      <c r="D133" s="33"/>
      <c r="E133" s="33"/>
      <c r="F133" s="33"/>
      <c r="G133" s="40"/>
      <c r="H133" s="40"/>
      <c r="I133" s="13" t="str">
        <f t="shared" si="1"/>
        <v/>
      </c>
      <c r="J133" s="8" t="b">
        <v>0</v>
      </c>
      <c r="K133" s="14"/>
      <c r="L133" s="19"/>
      <c r="M133" s="41"/>
      <c r="N133" s="33"/>
      <c r="O133" s="19"/>
      <c r="P133" s="19"/>
    </row>
    <row r="134">
      <c r="A134" s="8"/>
      <c r="B134" s="33"/>
      <c r="C134" s="33"/>
      <c r="D134" s="33"/>
      <c r="E134" s="33"/>
      <c r="F134" s="33"/>
      <c r="G134" s="40"/>
      <c r="H134" s="40"/>
      <c r="I134" s="13" t="str">
        <f t="shared" si="1"/>
        <v/>
      </c>
      <c r="J134" s="8" t="b">
        <v>0</v>
      </c>
      <c r="K134" s="14"/>
      <c r="L134" s="19"/>
      <c r="M134" s="41"/>
      <c r="N134" s="33"/>
      <c r="O134" s="19"/>
      <c r="P134" s="19"/>
    </row>
    <row r="135">
      <c r="A135" s="8"/>
      <c r="B135" s="33"/>
      <c r="C135" s="33"/>
      <c r="D135" s="33"/>
      <c r="E135" s="33"/>
      <c r="F135" s="33"/>
      <c r="G135" s="40"/>
      <c r="H135" s="40"/>
      <c r="I135" s="13" t="str">
        <f t="shared" si="1"/>
        <v/>
      </c>
      <c r="J135" s="8" t="b">
        <v>0</v>
      </c>
      <c r="K135" s="14"/>
      <c r="L135" s="19"/>
      <c r="M135" s="41"/>
      <c r="N135" s="33"/>
      <c r="O135" s="19"/>
      <c r="P135" s="19"/>
    </row>
    <row r="136">
      <c r="A136" s="8"/>
      <c r="B136" s="33"/>
      <c r="C136" s="33"/>
      <c r="D136" s="33"/>
      <c r="E136" s="33"/>
      <c r="F136" s="33"/>
      <c r="G136" s="40"/>
      <c r="H136" s="40"/>
      <c r="I136" s="13" t="str">
        <f t="shared" si="1"/>
        <v/>
      </c>
      <c r="J136" s="8" t="b">
        <v>0</v>
      </c>
      <c r="K136" s="14"/>
      <c r="L136" s="19"/>
      <c r="M136" s="41"/>
      <c r="N136" s="33"/>
      <c r="O136" s="19"/>
      <c r="P136" s="19"/>
    </row>
    <row r="137">
      <c r="A137" s="8"/>
      <c r="B137" s="33"/>
      <c r="C137" s="33"/>
      <c r="D137" s="33"/>
      <c r="E137" s="33"/>
      <c r="F137" s="33"/>
      <c r="G137" s="40"/>
      <c r="H137" s="40"/>
      <c r="I137" s="13" t="str">
        <f t="shared" si="1"/>
        <v/>
      </c>
      <c r="J137" s="8" t="b">
        <v>0</v>
      </c>
      <c r="K137" s="14"/>
      <c r="L137" s="19"/>
      <c r="M137" s="41"/>
      <c r="N137" s="33"/>
      <c r="O137" s="19"/>
      <c r="P137" s="19"/>
    </row>
    <row r="138">
      <c r="A138" s="8"/>
      <c r="B138" s="33"/>
      <c r="C138" s="33"/>
      <c r="D138" s="33"/>
      <c r="E138" s="33"/>
      <c r="F138" s="33"/>
      <c r="G138" s="40"/>
      <c r="H138" s="40"/>
      <c r="I138" s="13" t="str">
        <f t="shared" si="1"/>
        <v/>
      </c>
      <c r="J138" s="8" t="b">
        <v>0</v>
      </c>
      <c r="K138" s="14"/>
      <c r="L138" s="19"/>
      <c r="M138" s="41"/>
      <c r="N138" s="33"/>
      <c r="O138" s="19"/>
      <c r="P138" s="19"/>
    </row>
    <row r="139">
      <c r="A139" s="8"/>
      <c r="B139" s="33"/>
      <c r="C139" s="33"/>
      <c r="D139" s="33"/>
      <c r="E139" s="33"/>
      <c r="F139" s="33"/>
      <c r="G139" s="40"/>
      <c r="H139" s="40"/>
      <c r="I139" s="13" t="str">
        <f t="shared" si="1"/>
        <v/>
      </c>
      <c r="J139" s="8" t="b">
        <v>0</v>
      </c>
      <c r="K139" s="14"/>
      <c r="L139" s="19"/>
      <c r="M139" s="41"/>
      <c r="N139" s="33"/>
      <c r="O139" s="19"/>
      <c r="P139" s="19"/>
    </row>
    <row r="140">
      <c r="A140" s="8"/>
      <c r="B140" s="33"/>
      <c r="C140" s="33"/>
      <c r="D140" s="33"/>
      <c r="E140" s="33"/>
      <c r="F140" s="33"/>
      <c r="G140" s="40"/>
      <c r="H140" s="40"/>
      <c r="I140" s="13" t="str">
        <f t="shared" si="1"/>
        <v/>
      </c>
      <c r="J140" s="8" t="b">
        <v>0</v>
      </c>
      <c r="K140" s="14"/>
      <c r="L140" s="19"/>
      <c r="M140" s="41"/>
      <c r="N140" s="33"/>
      <c r="O140" s="19"/>
      <c r="P140" s="19"/>
    </row>
    <row r="141">
      <c r="A141" s="8"/>
      <c r="B141" s="33"/>
      <c r="C141" s="33"/>
      <c r="D141" s="33"/>
      <c r="E141" s="33"/>
      <c r="F141" s="33"/>
      <c r="G141" s="40"/>
      <c r="H141" s="40"/>
      <c r="I141" s="42"/>
      <c r="J141" s="8" t="b">
        <v>0</v>
      </c>
      <c r="K141" s="14"/>
      <c r="L141" s="19"/>
      <c r="M141" s="41"/>
      <c r="N141" s="33"/>
      <c r="O141" s="19"/>
      <c r="P141" s="19"/>
    </row>
    <row r="142">
      <c r="A142" s="8"/>
      <c r="B142" s="33"/>
      <c r="C142" s="33"/>
      <c r="D142" s="33"/>
      <c r="E142" s="33"/>
      <c r="F142" s="33"/>
      <c r="G142" s="40"/>
      <c r="H142" s="40"/>
      <c r="I142" s="42"/>
      <c r="J142" s="8" t="b">
        <v>0</v>
      </c>
      <c r="K142" s="14"/>
      <c r="L142" s="19"/>
      <c r="M142" s="41"/>
      <c r="N142" s="33"/>
      <c r="O142" s="19"/>
      <c r="P142" s="19"/>
    </row>
  </sheetData>
  <conditionalFormatting sqref="I1:I142">
    <cfRule type="containsBlanks" dxfId="0" priority="1">
      <formula>LEN(TRIM(I1))=0</formula>
    </cfRule>
  </conditionalFormatting>
  <dataValidations>
    <dataValidation type="list" allowBlank="1" showErrorMessage="1" sqref="A2:A142">
      <formula1>"Now,Later,Hide"</formula1>
    </dataValidation>
    <dataValidation type="list" allowBlank="1" showErrorMessage="1" sqref="K2:K142">
      <formula1>"Consulting,Development,Solutions Engineering,Strategy"</formula1>
    </dataValidation>
  </dataValidations>
  <printOptions gridLines="1" horizontalCentered="1"/>
  <pageMargins bottom="0.75" footer="0.0" header="0.0" left="0.7" right="0.7" top="0.75"/>
  <pageSetup fitToHeight="0" cellComments="atEnd" orientation="landscape" pageOrder="overThenDown"/>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5.13"/>
    <col customWidth="1" min="2" max="2" width="43.88"/>
    <col customWidth="1" min="3" max="3" width="50.13"/>
    <col customWidth="1" min="4" max="5" width="12.63"/>
  </cols>
  <sheetData>
    <row r="1">
      <c r="A1" s="43" t="s">
        <v>101</v>
      </c>
      <c r="B1" s="43" t="s">
        <v>102</v>
      </c>
      <c r="C1" s="43" t="s">
        <v>103</v>
      </c>
      <c r="D1" s="43" t="s">
        <v>104</v>
      </c>
      <c r="E1" s="43" t="s">
        <v>105</v>
      </c>
    </row>
    <row r="2">
      <c r="A2" s="44" t="s">
        <v>1</v>
      </c>
      <c r="B2" s="44" t="s">
        <v>48</v>
      </c>
      <c r="C2" s="45"/>
      <c r="D2" s="45"/>
      <c r="E2" s="45"/>
    </row>
    <row r="3">
      <c r="A3" s="46" t="s">
        <v>106</v>
      </c>
      <c r="B3" s="46" t="s">
        <v>49</v>
      </c>
      <c r="C3" s="46" t="s">
        <v>107</v>
      </c>
      <c r="D3" s="47">
        <v>8.0</v>
      </c>
      <c r="E3" s="47">
        <v>7.0</v>
      </c>
    </row>
    <row r="4">
      <c r="A4" s="46" t="s">
        <v>106</v>
      </c>
      <c r="B4" s="46" t="s">
        <v>53</v>
      </c>
      <c r="C4" s="46" t="s">
        <v>108</v>
      </c>
      <c r="D4" s="47">
        <v>18.0</v>
      </c>
      <c r="E4" s="47">
        <v>17.0</v>
      </c>
    </row>
    <row r="5">
      <c r="A5" s="46" t="s">
        <v>106</v>
      </c>
      <c r="B5" s="46" t="s">
        <v>57</v>
      </c>
      <c r="C5" s="46" t="s">
        <v>109</v>
      </c>
      <c r="D5" s="47">
        <v>32.0</v>
      </c>
      <c r="E5" s="47">
        <v>30.0</v>
      </c>
    </row>
    <row r="6">
      <c r="A6" s="46" t="s">
        <v>106</v>
      </c>
      <c r="B6" s="46" t="s">
        <v>61</v>
      </c>
      <c r="C6" s="46" t="s">
        <v>110</v>
      </c>
      <c r="D6" s="47">
        <v>14.0</v>
      </c>
      <c r="E6" s="47">
        <v>12.0</v>
      </c>
    </row>
    <row r="7">
      <c r="A7" s="44" t="s">
        <v>1</v>
      </c>
      <c r="B7" s="44" t="s">
        <v>84</v>
      </c>
      <c r="C7" s="45"/>
      <c r="D7" s="45"/>
      <c r="E7" s="45"/>
    </row>
    <row r="8">
      <c r="A8" s="46" t="s">
        <v>106</v>
      </c>
      <c r="B8" s="46" t="s">
        <v>85</v>
      </c>
      <c r="C8" s="46" t="s">
        <v>111</v>
      </c>
      <c r="D8" s="47">
        <v>7.0</v>
      </c>
      <c r="E8" s="47">
        <v>6.0</v>
      </c>
    </row>
    <row r="9">
      <c r="A9" s="46" t="s">
        <v>106</v>
      </c>
      <c r="B9" s="46" t="s">
        <v>89</v>
      </c>
      <c r="C9" s="46" t="s">
        <v>112</v>
      </c>
      <c r="D9" s="47">
        <v>12.0</v>
      </c>
      <c r="E9" s="47">
        <v>11.0</v>
      </c>
    </row>
    <row r="10">
      <c r="A10" s="46" t="s">
        <v>106</v>
      </c>
      <c r="B10" s="46" t="s">
        <v>93</v>
      </c>
      <c r="C10" s="46" t="s">
        <v>113</v>
      </c>
      <c r="D10" s="47">
        <v>14.0</v>
      </c>
      <c r="E10" s="47">
        <v>13.0</v>
      </c>
    </row>
    <row r="11">
      <c r="A11" s="46" t="s">
        <v>106</v>
      </c>
      <c r="B11" s="46" t="s">
        <v>97</v>
      </c>
      <c r="C11" s="46" t="s">
        <v>114</v>
      </c>
      <c r="D11" s="47">
        <v>12.0</v>
      </c>
      <c r="E11" s="47">
        <v>11.0</v>
      </c>
    </row>
    <row r="12">
      <c r="A12" s="44" t="s">
        <v>1</v>
      </c>
      <c r="B12" s="44" t="s">
        <v>27</v>
      </c>
      <c r="C12" s="45"/>
      <c r="D12" s="45"/>
      <c r="E12" s="45"/>
    </row>
    <row r="13">
      <c r="A13" s="46" t="s">
        <v>106</v>
      </c>
      <c r="B13" s="46" t="s">
        <v>28</v>
      </c>
      <c r="C13" s="46" t="s">
        <v>115</v>
      </c>
      <c r="D13" s="47">
        <v>23.0</v>
      </c>
      <c r="E13" s="47">
        <v>22.0</v>
      </c>
    </row>
    <row r="14">
      <c r="A14" s="46" t="s">
        <v>106</v>
      </c>
      <c r="B14" s="46" t="s">
        <v>44</v>
      </c>
      <c r="C14" s="46" t="s">
        <v>116</v>
      </c>
      <c r="D14" s="47">
        <v>15.0</v>
      </c>
      <c r="E14" s="47">
        <v>15.0</v>
      </c>
    </row>
    <row r="15">
      <c r="A15" s="44" t="s">
        <v>1</v>
      </c>
      <c r="B15" s="44" t="s">
        <v>16</v>
      </c>
      <c r="C15" s="45"/>
      <c r="D15" s="45"/>
      <c r="E15" s="45"/>
    </row>
    <row r="16">
      <c r="A16" s="46" t="s">
        <v>106</v>
      </c>
      <c r="B16" s="46" t="s">
        <v>17</v>
      </c>
      <c r="C16" s="46" t="s">
        <v>117</v>
      </c>
      <c r="D16" s="47">
        <v>10.0</v>
      </c>
      <c r="E16" s="47">
        <v>9.0</v>
      </c>
    </row>
    <row r="17">
      <c r="A17" s="46" t="s">
        <v>106</v>
      </c>
      <c r="B17" s="46" t="s">
        <v>23</v>
      </c>
      <c r="C17" s="46" t="s">
        <v>118</v>
      </c>
      <c r="D17" s="47">
        <v>15.0</v>
      </c>
      <c r="E17" s="47">
        <v>14.0</v>
      </c>
    </row>
    <row r="18">
      <c r="A18" s="44" t="s">
        <v>1</v>
      </c>
      <c r="B18" s="44" t="s">
        <v>119</v>
      </c>
      <c r="C18" s="45"/>
      <c r="D18" s="45"/>
      <c r="E18" s="48">
        <v>33.0</v>
      </c>
    </row>
    <row r="19">
      <c r="A19" s="46" t="s">
        <v>106</v>
      </c>
      <c r="B19" s="46" t="s">
        <v>120</v>
      </c>
    </row>
    <row r="20">
      <c r="A20" s="46" t="s">
        <v>106</v>
      </c>
      <c r="B20" s="46" t="s">
        <v>121</v>
      </c>
    </row>
    <row r="21">
      <c r="A21" s="46" t="s">
        <v>106</v>
      </c>
      <c r="B21" s="46" t="s">
        <v>122</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7.5"/>
    <col customWidth="1" min="2" max="2" width="29.0"/>
    <col customWidth="1" min="3" max="3" width="40.38"/>
    <col customWidth="1" min="4" max="4" width="20.0"/>
  </cols>
  <sheetData>
    <row r="1">
      <c r="A1" s="49" t="s">
        <v>123</v>
      </c>
      <c r="B1" s="49" t="s">
        <v>124</v>
      </c>
      <c r="C1" s="49" t="s">
        <v>125</v>
      </c>
      <c r="D1" s="49" t="s">
        <v>126</v>
      </c>
    </row>
    <row r="2">
      <c r="A2" s="50" t="s">
        <v>127</v>
      </c>
      <c r="B2" s="51"/>
      <c r="C2" s="52"/>
      <c r="D2" s="52"/>
    </row>
    <row r="3">
      <c r="A3" s="53" t="s">
        <v>128</v>
      </c>
      <c r="B3" s="54" t="s">
        <v>129</v>
      </c>
      <c r="C3" s="55" t="s">
        <v>130</v>
      </c>
      <c r="D3" s="56"/>
    </row>
    <row r="4">
      <c r="A4" s="57" t="s">
        <v>131</v>
      </c>
      <c r="B4" s="58"/>
      <c r="C4" s="59" t="s">
        <v>132</v>
      </c>
      <c r="D4" s="56"/>
    </row>
    <row r="5">
      <c r="A5" s="53" t="s">
        <v>133</v>
      </c>
      <c r="B5" s="54">
        <v>3.8372104066E10</v>
      </c>
      <c r="C5" s="59" t="s">
        <v>134</v>
      </c>
      <c r="D5" s="56"/>
    </row>
    <row r="6">
      <c r="A6" s="57" t="s">
        <v>135</v>
      </c>
      <c r="B6" s="60">
        <v>45975.62275462963</v>
      </c>
      <c r="C6" s="59" t="s">
        <v>136</v>
      </c>
      <c r="D6" s="56"/>
    </row>
    <row r="7">
      <c r="A7" s="61" t="s">
        <v>137</v>
      </c>
      <c r="B7" s="62"/>
      <c r="C7" s="59" t="s">
        <v>138</v>
      </c>
      <c r="D7" s="56"/>
    </row>
    <row r="8">
      <c r="A8" s="61" t="s">
        <v>139</v>
      </c>
      <c r="B8" s="63" t="s">
        <v>140</v>
      </c>
      <c r="C8" s="58"/>
      <c r="D8" s="64" t="s">
        <v>141</v>
      </c>
    </row>
    <row r="9">
      <c r="A9" s="61" t="s">
        <v>142</v>
      </c>
      <c r="B9" s="65" t="s">
        <v>143</v>
      </c>
      <c r="C9" s="59" t="s">
        <v>144</v>
      </c>
      <c r="D9" s="56"/>
    </row>
    <row r="10">
      <c r="A10" s="66"/>
      <c r="B10" s="67"/>
      <c r="C10" s="58"/>
      <c r="D10" s="56"/>
    </row>
    <row r="11">
      <c r="A11" s="50" t="s">
        <v>145</v>
      </c>
      <c r="B11" s="51"/>
      <c r="C11" s="52"/>
      <c r="D11" s="52"/>
    </row>
    <row r="12">
      <c r="A12" s="57" t="s">
        <v>146</v>
      </c>
      <c r="B12" s="68" t="s">
        <v>147</v>
      </c>
      <c r="C12" s="59" t="s">
        <v>148</v>
      </c>
      <c r="D12" s="69" t="s">
        <v>149</v>
      </c>
    </row>
    <row r="13">
      <c r="A13" s="57" t="s">
        <v>150</v>
      </c>
      <c r="B13" s="70">
        <v>45959.36066305556</v>
      </c>
      <c r="C13" s="59" t="s">
        <v>151</v>
      </c>
      <c r="D13" s="56"/>
    </row>
    <row r="14">
      <c r="A14" s="57" t="s">
        <v>152</v>
      </c>
      <c r="B14" s="63" t="s">
        <v>153</v>
      </c>
      <c r="C14" s="59" t="s">
        <v>154</v>
      </c>
      <c r="D14" s="56"/>
    </row>
    <row r="15">
      <c r="A15" s="66"/>
      <c r="B15" s="58"/>
      <c r="C15" s="58"/>
      <c r="D15" s="58"/>
    </row>
    <row r="16">
      <c r="A16" s="71" t="s">
        <v>155</v>
      </c>
      <c r="B16" s="51"/>
      <c r="C16" s="52"/>
      <c r="D16" s="52"/>
    </row>
    <row r="17">
      <c r="A17" s="53" t="s">
        <v>156</v>
      </c>
      <c r="B17" s="72">
        <v>245.0</v>
      </c>
      <c r="C17" s="55" t="s">
        <v>157</v>
      </c>
      <c r="D17" s="69" t="s">
        <v>158</v>
      </c>
    </row>
    <row r="18">
      <c r="A18" s="53" t="s">
        <v>159</v>
      </c>
      <c r="B18" s="73">
        <v>0.2</v>
      </c>
      <c r="C18" s="55" t="s">
        <v>160</v>
      </c>
      <c r="D18" s="56"/>
    </row>
    <row r="19">
      <c r="A19" s="53" t="s">
        <v>161</v>
      </c>
      <c r="B19" s="74" t="s">
        <v>162</v>
      </c>
      <c r="C19" s="75" t="s">
        <v>163</v>
      </c>
      <c r="D19" s="76"/>
    </row>
    <row r="20">
      <c r="A20" s="57" t="s">
        <v>164</v>
      </c>
      <c r="B20" s="77">
        <v>45936.0</v>
      </c>
      <c r="C20" s="55" t="s">
        <v>165</v>
      </c>
      <c r="D20" s="56"/>
    </row>
    <row r="21">
      <c r="A21" s="57" t="s">
        <v>166</v>
      </c>
      <c r="B21" s="78">
        <v>6.0</v>
      </c>
      <c r="C21" s="55" t="s">
        <v>167</v>
      </c>
      <c r="D21" s="69" t="s">
        <v>168</v>
      </c>
    </row>
    <row r="22">
      <c r="A22" s="15"/>
      <c r="B22" s="56"/>
      <c r="C22" s="56"/>
      <c r="D22" s="56"/>
    </row>
    <row r="23">
      <c r="A23" s="71" t="s">
        <v>169</v>
      </c>
      <c r="B23" s="51"/>
      <c r="C23" s="52"/>
      <c r="D23" s="52"/>
    </row>
    <row r="24">
      <c r="A24" s="53" t="s">
        <v>170</v>
      </c>
      <c r="B24" s="79">
        <v>245.0</v>
      </c>
      <c r="C24" s="59" t="s">
        <v>171</v>
      </c>
      <c r="D24" s="69" t="s">
        <v>172</v>
      </c>
    </row>
    <row r="25">
      <c r="A25" s="53" t="s">
        <v>173</v>
      </c>
      <c r="B25" s="78">
        <v>30.0</v>
      </c>
      <c r="C25" s="59" t="s">
        <v>174</v>
      </c>
      <c r="D25" s="69" t="s">
        <v>175</v>
      </c>
    </row>
    <row r="26">
      <c r="A26" s="53" t="s">
        <v>176</v>
      </c>
      <c r="B26" s="78">
        <v>1.0</v>
      </c>
      <c r="C26" s="59" t="s">
        <v>177</v>
      </c>
      <c r="D26" s="69" t="s">
        <v>178</v>
      </c>
    </row>
    <row r="27">
      <c r="A27" s="53" t="s">
        <v>179</v>
      </c>
      <c r="B27" s="80" t="s">
        <v>180</v>
      </c>
      <c r="C27" s="81" t="s">
        <v>181</v>
      </c>
      <c r="D27" s="76"/>
    </row>
    <row r="28">
      <c r="A28" s="15"/>
      <c r="B28" s="56"/>
      <c r="C28" s="56"/>
      <c r="D28" s="56"/>
    </row>
    <row r="29">
      <c r="A29" s="15"/>
      <c r="B29" s="56"/>
      <c r="C29" s="56"/>
      <c r="D29" s="56"/>
    </row>
    <row r="30">
      <c r="A30" s="82" t="s">
        <v>182</v>
      </c>
      <c r="B30" s="51"/>
      <c r="C30" s="52"/>
      <c r="D30" s="52"/>
    </row>
    <row r="31">
      <c r="A31" s="83" t="s">
        <v>183</v>
      </c>
      <c r="B31" s="84" t="s">
        <v>184</v>
      </c>
      <c r="C31" s="75" t="s">
        <v>185</v>
      </c>
      <c r="D31" s="56"/>
    </row>
    <row r="32">
      <c r="A32" s="56"/>
      <c r="B32" s="56"/>
      <c r="C32" s="56"/>
      <c r="D32" s="56"/>
    </row>
  </sheetData>
  <dataValidations>
    <dataValidation type="list" allowBlank="1" showErrorMessage="1" sqref="B14">
      <formula1>"Draft,Hide Hours + Financials,Show Estimates + Ranges,Show Estimates + Ranges + Medians,Final Presentation,Archived"</formula1>
    </dataValidation>
    <dataValidation type="list" allowBlank="1" showErrorMessage="1" sqref="B8">
      <formula1>"Not Started,Technical Disco,SA Building,Scope Confirmation,Complete,Road Blocked,Rescoping"</formula1>
    </dataValidation>
  </dataValidations>
  <hyperlinks>
    <hyperlink r:id="rId1" ref="B12"/>
  </hyperlinks>
  <drawing r:id="rId2"/>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2.25"/>
    <col customWidth="1" min="2" max="4" width="25.75"/>
  </cols>
  <sheetData>
    <row r="1">
      <c r="A1" s="85"/>
      <c r="B1" s="85"/>
      <c r="C1" s="85"/>
      <c r="D1" s="49" t="s">
        <v>126</v>
      </c>
      <c r="E1" s="86"/>
      <c r="F1" s="86"/>
      <c r="G1" s="86"/>
      <c r="H1" s="86"/>
      <c r="I1" s="86"/>
      <c r="J1" s="86"/>
      <c r="K1" s="86"/>
      <c r="L1" s="86"/>
      <c r="M1" s="86"/>
      <c r="N1" s="86"/>
      <c r="O1" s="86"/>
      <c r="P1" s="86"/>
      <c r="Q1" s="86"/>
      <c r="R1" s="86"/>
      <c r="S1" s="86"/>
      <c r="T1" s="86"/>
      <c r="U1" s="86"/>
      <c r="V1" s="86"/>
      <c r="W1" s="86"/>
      <c r="X1" s="86"/>
      <c r="Y1" s="86"/>
      <c r="Z1" s="86"/>
    </row>
    <row r="2">
      <c r="A2" s="87" t="s">
        <v>186</v>
      </c>
      <c r="B2" s="88"/>
      <c r="C2" s="88"/>
      <c r="D2" s="88"/>
      <c r="E2" s="86"/>
      <c r="F2" s="86"/>
      <c r="G2" s="86"/>
      <c r="H2" s="86"/>
      <c r="I2" s="86"/>
      <c r="J2" s="86"/>
      <c r="K2" s="86"/>
      <c r="L2" s="86"/>
      <c r="M2" s="86"/>
      <c r="N2" s="86"/>
      <c r="O2" s="86"/>
      <c r="P2" s="86"/>
      <c r="Q2" s="86"/>
      <c r="R2" s="86"/>
      <c r="S2" s="86"/>
      <c r="T2" s="86"/>
      <c r="U2" s="86"/>
      <c r="V2" s="86"/>
      <c r="W2" s="86"/>
      <c r="X2" s="86"/>
      <c r="Y2" s="86"/>
      <c r="Z2" s="86"/>
    </row>
    <row r="3">
      <c r="A3" s="89" t="s">
        <v>187</v>
      </c>
      <c r="B3" s="90">
        <f>SUMIF(Input!A:A,"Now",Input!I:I)</f>
        <v>167</v>
      </c>
      <c r="C3" s="59" t="s">
        <v>188</v>
      </c>
      <c r="D3" s="91"/>
      <c r="E3" s="86"/>
      <c r="F3" s="86"/>
      <c r="G3" s="86"/>
      <c r="H3" s="86"/>
      <c r="I3" s="86"/>
      <c r="J3" s="86"/>
      <c r="K3" s="86"/>
      <c r="L3" s="86"/>
      <c r="M3" s="86"/>
      <c r="N3" s="86"/>
      <c r="O3" s="86"/>
      <c r="P3" s="86"/>
      <c r="Q3" s="86"/>
      <c r="R3" s="86"/>
      <c r="S3" s="86"/>
      <c r="T3" s="86"/>
      <c r="U3" s="86"/>
      <c r="V3" s="86"/>
      <c r="W3" s="86"/>
      <c r="X3" s="86"/>
      <c r="Y3" s="86"/>
      <c r="Z3" s="86"/>
    </row>
    <row r="4">
      <c r="A4" s="89" t="s">
        <v>189</v>
      </c>
      <c r="B4" s="90">
        <f>round(B3*Config!B18,0)</f>
        <v>33</v>
      </c>
      <c r="C4" s="59" t="s">
        <v>190</v>
      </c>
      <c r="D4" s="86"/>
      <c r="E4" s="86"/>
      <c r="F4" s="86"/>
      <c r="G4" s="86"/>
      <c r="H4" s="86"/>
      <c r="I4" s="86"/>
      <c r="J4" s="86"/>
      <c r="K4" s="86"/>
      <c r="L4" s="86"/>
      <c r="M4" s="86"/>
      <c r="N4" s="86"/>
      <c r="O4" s="86"/>
      <c r="P4" s="86"/>
      <c r="Q4" s="86"/>
      <c r="R4" s="86"/>
      <c r="S4" s="86"/>
      <c r="T4" s="86"/>
      <c r="U4" s="86"/>
      <c r="V4" s="86"/>
      <c r="W4" s="86"/>
      <c r="X4" s="86"/>
      <c r="Y4" s="86"/>
      <c r="Z4" s="86"/>
    </row>
    <row r="5">
      <c r="A5" s="89" t="s">
        <v>191</v>
      </c>
      <c r="B5" s="90">
        <f>sum(B3:B4)</f>
        <v>200</v>
      </c>
      <c r="C5" s="59" t="s">
        <v>192</v>
      </c>
      <c r="D5" s="92" t="s">
        <v>193</v>
      </c>
      <c r="E5" s="86"/>
      <c r="F5" s="86"/>
      <c r="G5" s="86"/>
      <c r="H5" s="86"/>
      <c r="I5" s="86"/>
      <c r="J5" s="86"/>
      <c r="K5" s="86"/>
      <c r="L5" s="86"/>
      <c r="M5" s="86"/>
      <c r="N5" s="86"/>
      <c r="O5" s="86"/>
      <c r="P5" s="86"/>
      <c r="Q5" s="86"/>
      <c r="R5" s="86"/>
      <c r="S5" s="86"/>
      <c r="T5" s="86"/>
      <c r="U5" s="86"/>
      <c r="V5" s="86"/>
      <c r="W5" s="86"/>
      <c r="X5" s="86"/>
      <c r="Y5" s="86"/>
      <c r="Z5" s="86"/>
    </row>
    <row r="6">
      <c r="A6" s="89" t="s">
        <v>194</v>
      </c>
      <c r="B6" s="90">
        <f>Config!B25 * Config!B26</f>
        <v>30</v>
      </c>
      <c r="C6" s="86"/>
      <c r="D6" s="86"/>
      <c r="E6" s="86"/>
      <c r="F6" s="86"/>
      <c r="G6" s="86"/>
      <c r="H6" s="86"/>
      <c r="I6" s="86"/>
      <c r="J6" s="86"/>
      <c r="K6" s="86"/>
      <c r="L6" s="86"/>
      <c r="M6" s="86"/>
      <c r="N6" s="86"/>
      <c r="O6" s="86"/>
      <c r="P6" s="86"/>
      <c r="Q6" s="86"/>
      <c r="R6" s="86"/>
      <c r="S6" s="86"/>
      <c r="T6" s="86"/>
      <c r="U6" s="86"/>
      <c r="V6" s="86"/>
      <c r="W6" s="86"/>
      <c r="X6" s="86"/>
      <c r="Y6" s="86"/>
      <c r="Z6" s="86"/>
    </row>
    <row r="7">
      <c r="A7" s="89" t="s">
        <v>195</v>
      </c>
      <c r="B7" s="93">
        <f>sum(B5:B6)</f>
        <v>230</v>
      </c>
      <c r="C7" s="59" t="s">
        <v>196</v>
      </c>
      <c r="D7" s="92" t="s">
        <v>197</v>
      </c>
      <c r="E7" s="86"/>
      <c r="F7" s="86"/>
      <c r="G7" s="86"/>
      <c r="H7" s="86"/>
      <c r="I7" s="86"/>
      <c r="J7" s="86"/>
      <c r="K7" s="86"/>
      <c r="L7" s="86"/>
      <c r="M7" s="86"/>
      <c r="N7" s="86"/>
      <c r="O7" s="86"/>
      <c r="P7" s="86"/>
      <c r="Q7" s="86"/>
      <c r="R7" s="86"/>
      <c r="S7" s="86"/>
      <c r="T7" s="86"/>
      <c r="U7" s="86"/>
      <c r="V7" s="86"/>
      <c r="W7" s="86"/>
      <c r="X7" s="86"/>
      <c r="Y7" s="86"/>
      <c r="Z7" s="86"/>
    </row>
    <row r="8">
      <c r="A8" s="89" t="s">
        <v>198</v>
      </c>
      <c r="B8" s="94">
        <f>(B5*Config!B17)+(B6*Config!B24)</f>
        <v>56350</v>
      </c>
      <c r="C8" s="59" t="s">
        <v>196</v>
      </c>
      <c r="D8" s="92" t="s">
        <v>199</v>
      </c>
      <c r="E8" s="86"/>
      <c r="F8" s="86"/>
      <c r="G8" s="86"/>
      <c r="H8" s="86"/>
      <c r="I8" s="86"/>
      <c r="J8" s="86"/>
      <c r="K8" s="86"/>
      <c r="L8" s="86"/>
      <c r="M8" s="86"/>
      <c r="N8" s="86"/>
      <c r="O8" s="86"/>
      <c r="P8" s="86"/>
      <c r="Q8" s="86"/>
      <c r="R8" s="86"/>
      <c r="S8" s="86"/>
      <c r="T8" s="86"/>
      <c r="U8" s="86"/>
      <c r="V8" s="86"/>
      <c r="W8" s="86"/>
      <c r="X8" s="86"/>
      <c r="Y8" s="86"/>
      <c r="Z8" s="86"/>
    </row>
    <row r="9">
      <c r="A9" s="89" t="s">
        <v>200</v>
      </c>
      <c r="B9" s="95">
        <f>EDATE(Config!B20, Config!B21)</f>
        <v>46118</v>
      </c>
      <c r="C9" s="86"/>
      <c r="D9" s="86"/>
      <c r="E9" s="86"/>
      <c r="F9" s="86"/>
      <c r="G9" s="86"/>
      <c r="H9" s="86"/>
      <c r="I9" s="86"/>
      <c r="J9" s="86"/>
      <c r="K9" s="86"/>
      <c r="L9" s="86"/>
      <c r="M9" s="86"/>
      <c r="N9" s="86"/>
      <c r="O9" s="86"/>
      <c r="P9" s="86"/>
      <c r="Q9" s="86"/>
      <c r="R9" s="86"/>
      <c r="S9" s="86"/>
      <c r="T9" s="86"/>
      <c r="U9" s="86"/>
      <c r="V9" s="86"/>
      <c r="W9" s="86"/>
      <c r="X9" s="86"/>
      <c r="Y9" s="86"/>
      <c r="Z9" s="86"/>
    </row>
    <row r="10">
      <c r="A10" s="89" t="s">
        <v>201</v>
      </c>
      <c r="B10" s="90">
        <f>roundup(B3/Config!B21,0)</f>
        <v>28</v>
      </c>
      <c r="C10" s="86"/>
      <c r="D10" s="86"/>
      <c r="E10" s="86"/>
      <c r="F10" s="86"/>
      <c r="G10" s="86"/>
      <c r="H10" s="86"/>
      <c r="I10" s="86"/>
      <c r="J10" s="86"/>
      <c r="K10" s="86"/>
      <c r="L10" s="86"/>
      <c r="M10" s="86"/>
      <c r="N10" s="86"/>
      <c r="O10" s="86"/>
      <c r="P10" s="86"/>
      <c r="Q10" s="86"/>
      <c r="R10" s="86"/>
      <c r="S10" s="86"/>
      <c r="T10" s="86"/>
      <c r="U10" s="86"/>
      <c r="V10" s="86"/>
      <c r="W10" s="86"/>
      <c r="X10" s="86"/>
      <c r="Y10" s="86"/>
      <c r="Z10" s="86"/>
    </row>
    <row r="11">
      <c r="A11" s="89" t="s">
        <v>202</v>
      </c>
      <c r="B11" s="90">
        <f>roundup(B10/4.3,0)</f>
        <v>7</v>
      </c>
      <c r="C11" s="86"/>
      <c r="D11" s="86"/>
      <c r="E11" s="86"/>
      <c r="F11" s="86"/>
      <c r="G11" s="86"/>
      <c r="H11" s="86"/>
      <c r="I11" s="86"/>
      <c r="J11" s="86"/>
      <c r="K11" s="86"/>
      <c r="L11" s="86"/>
      <c r="M11" s="86"/>
      <c r="N11" s="86"/>
      <c r="O11" s="86"/>
      <c r="P11" s="86"/>
      <c r="Q11" s="86"/>
      <c r="R11" s="86"/>
      <c r="S11" s="86"/>
      <c r="T11" s="86"/>
      <c r="U11" s="86"/>
      <c r="V11" s="86"/>
      <c r="W11" s="86"/>
      <c r="X11" s="86"/>
      <c r="Y11" s="86"/>
      <c r="Z11" s="86"/>
    </row>
    <row r="12">
      <c r="A12" s="89" t="s">
        <v>203</v>
      </c>
      <c r="B12" s="90">
        <f>B11*1.2</f>
        <v>8.4</v>
      </c>
      <c r="C12" s="91"/>
      <c r="D12" s="91"/>
      <c r="E12" s="86"/>
      <c r="F12" s="86"/>
      <c r="G12" s="86"/>
      <c r="H12" s="86"/>
      <c r="I12" s="86"/>
      <c r="J12" s="86"/>
      <c r="K12" s="86"/>
      <c r="L12" s="86"/>
      <c r="M12" s="86"/>
      <c r="N12" s="86"/>
      <c r="O12" s="86"/>
      <c r="P12" s="86"/>
      <c r="Q12" s="86"/>
      <c r="R12" s="86"/>
      <c r="S12" s="86"/>
      <c r="T12" s="86"/>
      <c r="U12" s="86"/>
      <c r="V12" s="86"/>
      <c r="W12" s="86"/>
      <c r="X12" s="86"/>
      <c r="Y12" s="86"/>
      <c r="Z12" s="86"/>
    </row>
    <row r="13">
      <c r="A13" s="89" t="s">
        <v>204</v>
      </c>
      <c r="B13" s="90">
        <f>B11*0.5</f>
        <v>3.5</v>
      </c>
      <c r="C13" s="91"/>
      <c r="D13" s="91"/>
      <c r="E13" s="86"/>
      <c r="F13" s="86"/>
      <c r="G13" s="86"/>
      <c r="H13" s="86"/>
      <c r="I13" s="86"/>
      <c r="J13" s="86"/>
      <c r="K13" s="86"/>
      <c r="L13" s="86"/>
      <c r="M13" s="86"/>
      <c r="N13" s="86"/>
      <c r="O13" s="86"/>
      <c r="P13" s="86"/>
      <c r="Q13" s="86"/>
      <c r="R13" s="86"/>
      <c r="S13" s="86"/>
      <c r="T13" s="86"/>
      <c r="U13" s="86"/>
      <c r="V13" s="86"/>
      <c r="W13" s="86"/>
      <c r="X13" s="86"/>
      <c r="Y13" s="86"/>
      <c r="Z13" s="86"/>
    </row>
    <row r="14">
      <c r="A14" s="89" t="s">
        <v>205</v>
      </c>
      <c r="B14" s="96">
        <f>C21</f>
        <v>0.59</v>
      </c>
      <c r="C14" s="91"/>
      <c r="D14" s="92" t="s">
        <v>206</v>
      </c>
      <c r="E14" s="86"/>
      <c r="F14" s="86"/>
      <c r="G14" s="86"/>
      <c r="H14" s="86"/>
      <c r="I14" s="86"/>
      <c r="J14" s="86"/>
      <c r="K14" s="86"/>
      <c r="L14" s="86"/>
      <c r="M14" s="86"/>
      <c r="N14" s="86"/>
      <c r="O14" s="86"/>
      <c r="P14" s="86"/>
      <c r="Q14" s="86"/>
      <c r="R14" s="86"/>
      <c r="S14" s="86"/>
      <c r="T14" s="86"/>
      <c r="U14" s="86"/>
      <c r="V14" s="86"/>
      <c r="W14" s="86"/>
      <c r="X14" s="86"/>
      <c r="Y14" s="86"/>
      <c r="Z14" s="86"/>
    </row>
    <row r="15">
      <c r="A15" s="89" t="s">
        <v>207</v>
      </c>
      <c r="B15" s="96">
        <f>C23</f>
        <v>0.15</v>
      </c>
      <c r="C15" s="91"/>
      <c r="D15" s="92" t="s">
        <v>208</v>
      </c>
      <c r="E15" s="86"/>
      <c r="F15" s="86"/>
      <c r="G15" s="86"/>
      <c r="H15" s="86"/>
      <c r="I15" s="86"/>
      <c r="J15" s="86"/>
      <c r="K15" s="86"/>
      <c r="L15" s="86"/>
      <c r="M15" s="86"/>
      <c r="N15" s="86"/>
      <c r="O15" s="86"/>
      <c r="P15" s="86"/>
      <c r="Q15" s="86"/>
      <c r="R15" s="86"/>
      <c r="S15" s="86"/>
      <c r="T15" s="86"/>
      <c r="U15" s="86"/>
      <c r="V15" s="86"/>
      <c r="W15" s="86"/>
      <c r="X15" s="86"/>
      <c r="Y15" s="86"/>
      <c r="Z15" s="86"/>
    </row>
    <row r="16">
      <c r="A16" s="86"/>
      <c r="B16" s="86"/>
      <c r="C16" s="86"/>
      <c r="D16" s="86"/>
      <c r="E16" s="86"/>
      <c r="F16" s="86"/>
      <c r="G16" s="86"/>
      <c r="H16" s="86"/>
      <c r="I16" s="86"/>
      <c r="J16" s="86"/>
      <c r="K16" s="86"/>
      <c r="L16" s="86"/>
      <c r="M16" s="86"/>
      <c r="N16" s="86"/>
      <c r="O16" s="86"/>
      <c r="P16" s="86"/>
      <c r="Q16" s="86"/>
      <c r="R16" s="86"/>
      <c r="S16" s="86"/>
      <c r="T16" s="86"/>
      <c r="U16" s="86"/>
      <c r="V16" s="86"/>
      <c r="W16" s="86"/>
      <c r="X16" s="86"/>
      <c r="Y16" s="86"/>
      <c r="Z16" s="86"/>
    </row>
    <row r="17">
      <c r="A17" s="86"/>
      <c r="B17" s="86"/>
      <c r="C17" s="86"/>
      <c r="D17" s="86"/>
      <c r="E17" s="86"/>
      <c r="F17" s="86"/>
      <c r="G17" s="86"/>
      <c r="H17" s="86"/>
      <c r="I17" s="86"/>
      <c r="J17" s="86"/>
      <c r="K17" s="86"/>
      <c r="L17" s="86"/>
      <c r="M17" s="86"/>
      <c r="N17" s="86"/>
      <c r="O17" s="86"/>
      <c r="P17" s="86"/>
      <c r="Q17" s="86"/>
      <c r="R17" s="86"/>
      <c r="S17" s="86"/>
      <c r="T17" s="86"/>
      <c r="U17" s="86"/>
      <c r="V17" s="86"/>
      <c r="W17" s="86"/>
      <c r="X17" s="86"/>
      <c r="Y17" s="86"/>
      <c r="Z17" s="86"/>
    </row>
    <row r="18">
      <c r="A18" s="87" t="s">
        <v>209</v>
      </c>
      <c r="B18" s="88"/>
      <c r="C18" s="88"/>
      <c r="D18" s="88"/>
      <c r="E18" s="86"/>
      <c r="F18" s="86"/>
      <c r="G18" s="86"/>
      <c r="H18" s="86"/>
      <c r="I18" s="86"/>
      <c r="J18" s="86"/>
      <c r="K18" s="86"/>
      <c r="L18" s="86"/>
      <c r="M18" s="86"/>
      <c r="N18" s="86"/>
      <c r="O18" s="86"/>
      <c r="P18" s="86"/>
      <c r="Q18" s="86"/>
      <c r="R18" s="86"/>
      <c r="S18" s="86"/>
      <c r="T18" s="86"/>
      <c r="U18" s="86"/>
      <c r="V18" s="86"/>
      <c r="W18" s="86"/>
      <c r="X18" s="86"/>
      <c r="Y18" s="86"/>
      <c r="Z18" s="86"/>
    </row>
    <row r="19">
      <c r="A19" s="97"/>
      <c r="B19" s="98" t="s">
        <v>210</v>
      </c>
      <c r="C19" s="98" t="s">
        <v>211</v>
      </c>
      <c r="D19" s="86"/>
      <c r="E19" s="86"/>
      <c r="F19" s="86"/>
      <c r="G19" s="86"/>
      <c r="H19" s="86"/>
      <c r="I19" s="86"/>
      <c r="J19" s="86"/>
      <c r="K19" s="86"/>
      <c r="L19" s="86"/>
      <c r="M19" s="86"/>
      <c r="N19" s="86"/>
      <c r="O19" s="86"/>
      <c r="P19" s="86"/>
      <c r="Q19" s="86"/>
      <c r="R19" s="86"/>
      <c r="S19" s="86"/>
      <c r="T19" s="86"/>
      <c r="U19" s="86"/>
      <c r="V19" s="86"/>
      <c r="W19" s="86"/>
      <c r="X19" s="86"/>
      <c r="Y19" s="86"/>
      <c r="Z19" s="86"/>
    </row>
    <row r="20">
      <c r="A20" s="89" t="s">
        <v>71</v>
      </c>
      <c r="B20" s="99">
        <f>SUMIFS(Input!I:I,Input!K:K,"Consulting",Input!A:A,"Now")</f>
        <v>19</v>
      </c>
      <c r="C20" s="96">
        <f>B20/B26</f>
        <v>0.095</v>
      </c>
      <c r="D20" s="91"/>
      <c r="E20" s="91"/>
      <c r="F20" s="86"/>
      <c r="G20" s="86"/>
      <c r="H20" s="86"/>
      <c r="I20" s="86"/>
      <c r="J20" s="86"/>
      <c r="K20" s="86"/>
      <c r="L20" s="86"/>
      <c r="M20" s="86"/>
      <c r="N20" s="86"/>
      <c r="O20" s="86"/>
      <c r="P20" s="86"/>
      <c r="Q20" s="86"/>
      <c r="R20" s="86"/>
      <c r="S20" s="86"/>
      <c r="T20" s="86"/>
      <c r="U20" s="86"/>
      <c r="V20" s="86"/>
      <c r="W20" s="86"/>
      <c r="X20" s="86"/>
      <c r="Y20" s="86"/>
      <c r="Z20" s="86"/>
    </row>
    <row r="21">
      <c r="A21" s="89" t="s">
        <v>32</v>
      </c>
      <c r="B21" s="99">
        <f>SUMIFS(Input!I:I,Input!K:K,"Development",Input!A:A,"Now")</f>
        <v>118</v>
      </c>
      <c r="C21" s="96">
        <f>B21/B26</f>
        <v>0.59</v>
      </c>
      <c r="D21" s="91"/>
      <c r="E21" s="86"/>
      <c r="F21" s="86"/>
      <c r="G21" s="86"/>
      <c r="H21" s="86"/>
      <c r="I21" s="86"/>
      <c r="J21" s="86"/>
      <c r="K21" s="86"/>
      <c r="L21" s="86"/>
      <c r="M21" s="86"/>
      <c r="N21" s="86"/>
      <c r="O21" s="86"/>
      <c r="P21" s="86"/>
      <c r="Q21" s="86"/>
      <c r="R21" s="86"/>
      <c r="S21" s="86"/>
      <c r="T21" s="86"/>
      <c r="U21" s="86"/>
      <c r="V21" s="86"/>
      <c r="W21" s="86"/>
      <c r="X21" s="86"/>
      <c r="Y21" s="86"/>
      <c r="Z21" s="86"/>
    </row>
    <row r="22">
      <c r="A22" s="89" t="s">
        <v>119</v>
      </c>
      <c r="B22" s="99">
        <f>B4</f>
        <v>33</v>
      </c>
      <c r="C22" s="96">
        <f>B22/B26</f>
        <v>0.165</v>
      </c>
      <c r="D22" s="91"/>
      <c r="E22" s="86"/>
      <c r="F22" s="86"/>
      <c r="G22" s="86"/>
      <c r="H22" s="86"/>
      <c r="I22" s="86"/>
      <c r="J22" s="86"/>
      <c r="K22" s="86"/>
      <c r="L22" s="86"/>
      <c r="M22" s="86"/>
      <c r="N22" s="86"/>
      <c r="O22" s="86"/>
      <c r="P22" s="86"/>
      <c r="Q22" s="86"/>
      <c r="R22" s="86"/>
      <c r="S22" s="86"/>
      <c r="T22" s="86"/>
      <c r="U22" s="86"/>
      <c r="V22" s="86"/>
      <c r="W22" s="86"/>
      <c r="X22" s="86"/>
      <c r="Y22" s="86"/>
      <c r="Z22" s="86"/>
    </row>
    <row r="23">
      <c r="A23" s="89" t="s">
        <v>21</v>
      </c>
      <c r="B23" s="99">
        <f>SUMIFS(Input!I:I,Input!K:K,"Solutions Engineering",Input!A:A,"Now")</f>
        <v>30</v>
      </c>
      <c r="C23" s="96">
        <f>B23/B26</f>
        <v>0.15</v>
      </c>
      <c r="D23" s="91"/>
      <c r="E23" s="86"/>
      <c r="F23" s="86"/>
      <c r="G23" s="86"/>
      <c r="H23" s="86"/>
      <c r="I23" s="86"/>
      <c r="J23" s="86"/>
      <c r="K23" s="86"/>
      <c r="L23" s="86"/>
      <c r="M23" s="86"/>
      <c r="N23" s="86"/>
      <c r="O23" s="86"/>
      <c r="P23" s="86"/>
      <c r="Q23" s="86"/>
      <c r="R23" s="86"/>
      <c r="S23" s="86"/>
      <c r="T23" s="86"/>
      <c r="U23" s="86"/>
      <c r="V23" s="86"/>
      <c r="W23" s="86"/>
      <c r="X23" s="86"/>
      <c r="Y23" s="86"/>
      <c r="Z23" s="86"/>
    </row>
    <row r="24">
      <c r="A24" s="89" t="s">
        <v>212</v>
      </c>
      <c r="B24" s="99">
        <f>SUMIFS(Input!I:I,Input!K:K,"Strategy",Input!A:A,"Now")</f>
        <v>0</v>
      </c>
      <c r="C24" s="96">
        <f>B24/B26</f>
        <v>0</v>
      </c>
      <c r="D24" s="91"/>
      <c r="E24" s="86"/>
      <c r="F24" s="86"/>
      <c r="G24" s="86"/>
      <c r="H24" s="86"/>
      <c r="I24" s="86"/>
      <c r="J24" s="86"/>
      <c r="K24" s="86"/>
      <c r="L24" s="86"/>
      <c r="M24" s="86"/>
      <c r="N24" s="86"/>
      <c r="O24" s="86"/>
      <c r="P24" s="86"/>
      <c r="Q24" s="86"/>
      <c r="R24" s="86"/>
      <c r="S24" s="86"/>
      <c r="T24" s="86"/>
      <c r="U24" s="86"/>
      <c r="V24" s="86"/>
      <c r="W24" s="86"/>
      <c r="X24" s="86"/>
      <c r="Y24" s="86"/>
      <c r="Z24" s="86"/>
    </row>
    <row r="25">
      <c r="A25" s="86"/>
      <c r="B25" s="100"/>
      <c r="C25" s="101"/>
      <c r="D25" s="86"/>
      <c r="E25" s="86"/>
      <c r="F25" s="86"/>
      <c r="G25" s="86"/>
      <c r="H25" s="86"/>
      <c r="I25" s="86"/>
      <c r="J25" s="86"/>
      <c r="K25" s="86"/>
      <c r="L25" s="86"/>
      <c r="M25" s="86"/>
      <c r="N25" s="86"/>
      <c r="O25" s="86"/>
      <c r="P25" s="86"/>
      <c r="Q25" s="86"/>
      <c r="R25" s="86"/>
      <c r="S25" s="86"/>
      <c r="T25" s="86"/>
      <c r="U25" s="86"/>
      <c r="V25" s="86"/>
      <c r="W25" s="86"/>
      <c r="X25" s="86"/>
      <c r="Y25" s="86"/>
      <c r="Z25" s="86"/>
    </row>
    <row r="26">
      <c r="A26" s="89" t="s">
        <v>213</v>
      </c>
      <c r="B26" s="99">
        <f t="shared" ref="B26:C26" si="1">sum(B20:B24)</f>
        <v>200</v>
      </c>
      <c r="C26" s="96">
        <f t="shared" si="1"/>
        <v>1</v>
      </c>
      <c r="D26" s="91"/>
      <c r="E26" s="86"/>
      <c r="F26" s="86"/>
      <c r="G26" s="86"/>
      <c r="H26" s="86"/>
      <c r="I26" s="86"/>
      <c r="J26" s="86"/>
      <c r="K26" s="86"/>
      <c r="L26" s="86"/>
      <c r="M26" s="86"/>
      <c r="N26" s="86"/>
      <c r="O26" s="86"/>
      <c r="P26" s="86"/>
      <c r="Q26" s="86"/>
      <c r="R26" s="86"/>
      <c r="S26" s="86"/>
      <c r="T26" s="86"/>
      <c r="U26" s="86"/>
      <c r="V26" s="86"/>
      <c r="W26" s="86"/>
      <c r="X26" s="86"/>
      <c r="Y26" s="86"/>
      <c r="Z26" s="86"/>
    </row>
    <row r="27">
      <c r="A27" s="86"/>
      <c r="B27" s="86"/>
      <c r="C27" s="86"/>
      <c r="D27" s="86"/>
      <c r="E27" s="86"/>
      <c r="F27" s="86"/>
      <c r="G27" s="86"/>
      <c r="H27" s="86"/>
      <c r="I27" s="86"/>
      <c r="J27" s="86"/>
      <c r="K27" s="86"/>
      <c r="L27" s="86"/>
      <c r="M27" s="86"/>
      <c r="N27" s="86"/>
      <c r="O27" s="86"/>
      <c r="P27" s="86"/>
      <c r="Q27" s="86"/>
      <c r="R27" s="86"/>
      <c r="S27" s="86"/>
      <c r="T27" s="86"/>
      <c r="U27" s="86"/>
      <c r="V27" s="86"/>
      <c r="W27" s="86"/>
      <c r="X27" s="86"/>
      <c r="Y27" s="86"/>
      <c r="Z27" s="86"/>
    </row>
    <row r="28">
      <c r="A28" s="86"/>
      <c r="B28" s="86"/>
      <c r="C28" s="86"/>
      <c r="D28" s="86"/>
      <c r="E28" s="86"/>
      <c r="F28" s="86"/>
      <c r="G28" s="86"/>
      <c r="H28" s="86"/>
      <c r="I28" s="86"/>
      <c r="J28" s="86"/>
      <c r="K28" s="86"/>
      <c r="L28" s="86"/>
      <c r="M28" s="86"/>
      <c r="N28" s="86"/>
      <c r="O28" s="86"/>
      <c r="P28" s="86"/>
      <c r="Q28" s="86"/>
      <c r="R28" s="86"/>
      <c r="S28" s="86"/>
      <c r="T28" s="86"/>
      <c r="U28" s="86"/>
      <c r="V28" s="86"/>
      <c r="W28" s="86"/>
      <c r="X28" s="86"/>
      <c r="Y28" s="86"/>
      <c r="Z28" s="86"/>
    </row>
    <row r="29">
      <c r="A29" s="87" t="s">
        <v>214</v>
      </c>
      <c r="B29" s="102" t="s">
        <v>215</v>
      </c>
      <c r="C29" s="103" t="s">
        <v>216</v>
      </c>
      <c r="D29" s="88"/>
      <c r="E29" s="86"/>
      <c r="F29" s="86"/>
      <c r="G29" s="86"/>
      <c r="H29" s="86"/>
      <c r="I29" s="86"/>
      <c r="J29" s="86"/>
      <c r="K29" s="86"/>
      <c r="L29" s="86"/>
      <c r="M29" s="86"/>
      <c r="N29" s="86"/>
      <c r="O29" s="86"/>
      <c r="P29" s="86"/>
      <c r="Q29" s="86"/>
      <c r="R29" s="86"/>
      <c r="S29" s="86"/>
      <c r="T29" s="86"/>
      <c r="U29" s="86"/>
      <c r="V29" s="86"/>
      <c r="W29" s="86"/>
      <c r="X29" s="86"/>
      <c r="Y29" s="86"/>
      <c r="Z29" s="86"/>
    </row>
    <row r="30">
      <c r="A30" s="89" t="s">
        <v>217</v>
      </c>
      <c r="B30" s="104">
        <f>SUMIF(Input!A:A,"Now",Input!G:G)</f>
        <v>151</v>
      </c>
      <c r="C30" s="104">
        <f>SUMIF(Input!A:A,"Now",Input!H:H)</f>
        <v>180</v>
      </c>
      <c r="D30" s="91"/>
      <c r="E30" s="86"/>
      <c r="F30" s="86"/>
      <c r="G30" s="86"/>
      <c r="H30" s="86"/>
      <c r="I30" s="86"/>
      <c r="J30" s="86"/>
      <c r="K30" s="86"/>
      <c r="L30" s="86"/>
      <c r="M30" s="86"/>
      <c r="N30" s="86"/>
      <c r="O30" s="86"/>
      <c r="P30" s="86"/>
      <c r="Q30" s="86"/>
      <c r="R30" s="86"/>
      <c r="S30" s="86"/>
      <c r="T30" s="86"/>
      <c r="U30" s="86"/>
      <c r="V30" s="86"/>
      <c r="W30" s="86"/>
      <c r="X30" s="86"/>
      <c r="Y30" s="86"/>
      <c r="Z30" s="86"/>
    </row>
    <row r="31">
      <c r="A31" s="89" t="s">
        <v>218</v>
      </c>
      <c r="B31" s="105">
        <f>round(B30*Config!B18,0)</f>
        <v>30</v>
      </c>
      <c r="C31" s="105">
        <f>round(C30*Config!B18,0)</f>
        <v>36</v>
      </c>
      <c r="D31" s="86"/>
      <c r="E31" s="86"/>
      <c r="F31" s="86"/>
      <c r="G31" s="86"/>
      <c r="H31" s="86"/>
      <c r="I31" s="86"/>
      <c r="J31" s="86"/>
      <c r="K31" s="86"/>
      <c r="L31" s="86"/>
      <c r="M31" s="86"/>
      <c r="N31" s="86"/>
      <c r="O31" s="86"/>
      <c r="P31" s="86"/>
      <c r="Q31" s="86"/>
      <c r="R31" s="86"/>
      <c r="S31" s="86"/>
      <c r="T31" s="86"/>
      <c r="U31" s="86"/>
      <c r="V31" s="86"/>
      <c r="W31" s="86"/>
      <c r="X31" s="86"/>
      <c r="Y31" s="86"/>
      <c r="Z31" s="86"/>
    </row>
    <row r="32">
      <c r="A32" s="89" t="s">
        <v>219</v>
      </c>
      <c r="B32" s="104">
        <f>B6</f>
        <v>30</v>
      </c>
      <c r="C32" s="104">
        <f>B6</f>
        <v>30</v>
      </c>
      <c r="D32" s="86"/>
      <c r="E32" s="86"/>
      <c r="F32" s="86"/>
      <c r="G32" s="86"/>
      <c r="H32" s="86"/>
      <c r="I32" s="86"/>
      <c r="J32" s="86"/>
      <c r="K32" s="86"/>
      <c r="L32" s="86"/>
      <c r="M32" s="86"/>
      <c r="N32" s="86"/>
      <c r="O32" s="86"/>
      <c r="P32" s="86"/>
      <c r="Q32" s="86"/>
      <c r="R32" s="86"/>
      <c r="S32" s="86"/>
      <c r="T32" s="86"/>
      <c r="U32" s="86"/>
      <c r="V32" s="86"/>
      <c r="W32" s="86"/>
      <c r="X32" s="86"/>
      <c r="Y32" s="86"/>
      <c r="Z32" s="86"/>
    </row>
    <row r="33">
      <c r="A33" s="89" t="s">
        <v>220</v>
      </c>
      <c r="B33" s="104">
        <f t="shared" ref="B33:C33" si="2">SUM(B30:B32)</f>
        <v>211</v>
      </c>
      <c r="C33" s="90">
        <f t="shared" si="2"/>
        <v>246</v>
      </c>
      <c r="D33" s="91"/>
      <c r="E33" s="86"/>
      <c r="F33" s="86"/>
      <c r="G33" s="86"/>
      <c r="H33" s="86"/>
      <c r="I33" s="86"/>
      <c r="J33" s="86"/>
      <c r="K33" s="86"/>
      <c r="L33" s="86"/>
      <c r="M33" s="86"/>
      <c r="N33" s="86"/>
      <c r="O33" s="86"/>
      <c r="P33" s="86"/>
      <c r="Q33" s="86"/>
      <c r="R33" s="86"/>
      <c r="S33" s="86"/>
      <c r="T33" s="86"/>
      <c r="U33" s="86"/>
      <c r="V33" s="86"/>
      <c r="W33" s="86"/>
      <c r="X33" s="86"/>
      <c r="Y33" s="86"/>
      <c r="Z33" s="86"/>
    </row>
    <row r="34">
      <c r="A34" s="89" t="s">
        <v>221</v>
      </c>
      <c r="B34" s="106">
        <f>(sum(B30:B31)*Config!B17)+(B32*Config!B24)</f>
        <v>51695</v>
      </c>
      <c r="C34" s="106">
        <f>(sum(C30:C31)*Config!B17)+(C32*Config!B24)</f>
        <v>60270</v>
      </c>
      <c r="D34" s="86"/>
      <c r="E34" s="107"/>
      <c r="F34" s="86"/>
      <c r="G34" s="86"/>
      <c r="H34" s="86"/>
      <c r="I34" s="86"/>
      <c r="J34" s="86"/>
      <c r="K34" s="86"/>
      <c r="L34" s="86"/>
      <c r="M34" s="86"/>
      <c r="N34" s="86"/>
      <c r="O34" s="86"/>
      <c r="P34" s="86"/>
      <c r="Q34" s="86"/>
      <c r="R34" s="86"/>
      <c r="S34" s="86"/>
      <c r="T34" s="86"/>
      <c r="U34" s="86"/>
      <c r="V34" s="86"/>
      <c r="W34" s="86"/>
      <c r="X34" s="86"/>
      <c r="Y34" s="86"/>
      <c r="Z34" s="86"/>
    </row>
    <row r="35">
      <c r="A35" s="86"/>
      <c r="B35" s="108"/>
      <c r="C35" s="108"/>
      <c r="D35" s="86"/>
      <c r="E35" s="107"/>
      <c r="F35" s="86"/>
      <c r="G35" s="86"/>
      <c r="H35" s="86"/>
      <c r="I35" s="86"/>
      <c r="J35" s="86"/>
      <c r="K35" s="86"/>
      <c r="L35" s="86"/>
      <c r="M35" s="86"/>
      <c r="N35" s="86"/>
      <c r="O35" s="86"/>
      <c r="P35" s="86"/>
      <c r="Q35" s="86"/>
      <c r="R35" s="86"/>
      <c r="S35" s="86"/>
      <c r="T35" s="86"/>
      <c r="U35" s="86"/>
      <c r="V35" s="86"/>
      <c r="W35" s="86"/>
      <c r="X35" s="86"/>
      <c r="Y35" s="86"/>
      <c r="Z35" s="86"/>
    </row>
    <row r="36">
      <c r="A36" s="87" t="s">
        <v>222</v>
      </c>
      <c r="B36" s="88"/>
      <c r="C36" s="88"/>
      <c r="D36" s="88"/>
      <c r="E36" s="86"/>
      <c r="F36" s="86"/>
      <c r="G36" s="86"/>
      <c r="H36" s="86"/>
      <c r="I36" s="86"/>
      <c r="J36" s="86"/>
      <c r="K36" s="86"/>
      <c r="L36" s="86"/>
      <c r="M36" s="86"/>
      <c r="N36" s="86"/>
      <c r="O36" s="86"/>
      <c r="P36" s="86"/>
      <c r="Q36" s="86"/>
      <c r="R36" s="86"/>
      <c r="S36" s="86"/>
      <c r="T36" s="86"/>
      <c r="U36" s="86"/>
      <c r="V36" s="86"/>
      <c r="W36" s="86"/>
      <c r="X36" s="86"/>
      <c r="Y36" s="86"/>
      <c r="Z36" s="86"/>
    </row>
    <row r="37">
      <c r="A37" s="109" t="str">
        <f>IFERROR(__xludf.DUMMYFUNCTION("VSTACK(
  QUERY(Input!A:I,""SELECT B, SUM(I), SUM(I)*""&amp;Config!B17&amp;"" WHERE B IS NOT NULL AND A = 'Now' GROUP BY B LABEL B 'Workstream', SUM(I) 'Total Hours', SUM(I)*""&amp;Config!B17&amp;"" 'Total Investment'"",1),
  {""Project Management"", ROUND(SUMPRODUCT(QUE"&amp;"RY(Input!A:I,""SELECT SUM(I) WHERE B IS NOT NULL AND A = 'Now' GROUP BY B LABEL SUM(I) ''"",0))*Config!B18,0), ROUND(SUMPRODUCT(QUERY(Input!A:I,""SELECT SUM(I) WHERE B IS NOT NULL AND A = 'Now' GROUP BY B LABEL SUM(I) ''"",0))*Config!B18,0)*Config!B17},
 "&amp;" {""Post-Launch Support"", Config!B25*Config!B26, Config!B25*Config!B26*Config!B24}
)"),"Workstream")</f>
        <v>Workstream</v>
      </c>
      <c r="B37" s="110" t="str">
        <f>IFERROR(__xludf.DUMMYFUNCTION("""COMPUTED_VALUE"""),"Total Hours")</f>
        <v>Total Hours</v>
      </c>
      <c r="C37" s="111" t="str">
        <f>IFERROR(__xludf.DUMMYFUNCTION("""COMPUTED_VALUE"""),"Total Investment")</f>
        <v>Total Investment</v>
      </c>
      <c r="D37" s="91"/>
      <c r="E37" s="86"/>
      <c r="F37" s="86"/>
      <c r="G37" s="86"/>
      <c r="H37" s="86"/>
      <c r="I37" s="86"/>
      <c r="J37" s="86"/>
      <c r="K37" s="86"/>
      <c r="L37" s="86"/>
      <c r="M37" s="86"/>
      <c r="N37" s="86"/>
      <c r="O37" s="86"/>
      <c r="P37" s="86"/>
      <c r="Q37" s="86"/>
      <c r="R37" s="86"/>
      <c r="S37" s="86"/>
      <c r="T37" s="86"/>
      <c r="U37" s="86"/>
      <c r="V37" s="86"/>
      <c r="W37" s="86"/>
      <c r="X37" s="86"/>
      <c r="Y37" s="86"/>
      <c r="Z37" s="86"/>
    </row>
    <row r="38">
      <c r="A38" s="86" t="str">
        <f>IFERROR(__xludf.DUMMYFUNCTION("""COMPUTED_VALUE"""),"Dealer Bulk Submission Spreadsheet Process")</f>
        <v>Dealer Bulk Submission Spreadsheet Process</v>
      </c>
      <c r="B38" s="90">
        <f>IFERROR(__xludf.DUMMYFUNCTION("""COMPUTED_VALUE"""),66.0)</f>
        <v>66</v>
      </c>
      <c r="C38" s="112">
        <f>IFERROR(__xludf.DUMMYFUNCTION("""COMPUTED_VALUE"""),16170.0)</f>
        <v>16170</v>
      </c>
      <c r="D38" s="86"/>
      <c r="E38" s="86"/>
      <c r="F38" s="86"/>
      <c r="G38" s="86"/>
      <c r="H38" s="86"/>
      <c r="I38" s="86"/>
      <c r="J38" s="86"/>
      <c r="K38" s="86"/>
      <c r="L38" s="86"/>
      <c r="M38" s="86"/>
      <c r="N38" s="86"/>
      <c r="O38" s="86"/>
      <c r="P38" s="86"/>
      <c r="Q38" s="86"/>
      <c r="R38" s="86"/>
      <c r="S38" s="86"/>
      <c r="T38" s="86"/>
      <c r="U38" s="86"/>
      <c r="V38" s="86"/>
      <c r="W38" s="86"/>
      <c r="X38" s="86"/>
      <c r="Y38" s="86"/>
      <c r="Z38" s="86"/>
    </row>
    <row r="39">
      <c r="A39" s="86" t="str">
        <f>IFERROR(__xludf.DUMMYFUNCTION("""COMPUTED_VALUE"""),"Launch, Training &amp; Handoff")</f>
        <v>Launch, Training &amp; Handoff</v>
      </c>
      <c r="B39" s="90">
        <f>IFERROR(__xludf.DUMMYFUNCTION("""COMPUTED_VALUE"""),41.0)</f>
        <v>41</v>
      </c>
      <c r="C39" s="112">
        <f>IFERROR(__xludf.DUMMYFUNCTION("""COMPUTED_VALUE"""),10045.0)</f>
        <v>10045</v>
      </c>
      <c r="D39" s="86"/>
      <c r="E39" s="86"/>
      <c r="F39" s="86"/>
      <c r="G39" s="86"/>
      <c r="H39" s="86"/>
      <c r="I39" s="86"/>
      <c r="J39" s="86"/>
      <c r="K39" s="86"/>
      <c r="L39" s="86"/>
      <c r="M39" s="86"/>
      <c r="N39" s="86"/>
      <c r="O39" s="86"/>
      <c r="P39" s="86"/>
      <c r="Q39" s="86"/>
      <c r="R39" s="86"/>
      <c r="S39" s="86"/>
      <c r="T39" s="86"/>
      <c r="U39" s="86"/>
      <c r="V39" s="86"/>
      <c r="W39" s="86"/>
      <c r="X39" s="86"/>
      <c r="Y39" s="86"/>
      <c r="Z39" s="86"/>
    </row>
    <row r="40">
      <c r="A40" s="86" t="str">
        <f>IFERROR(__xludf.DUMMYFUNCTION("""COMPUTED_VALUE"""),"USPS Address Validation ")</f>
        <v>USPS Address Validation </v>
      </c>
      <c r="B40" s="90">
        <f>IFERROR(__xludf.DUMMYFUNCTION("""COMPUTED_VALUE"""),37.0)</f>
        <v>37</v>
      </c>
      <c r="C40" s="112">
        <f>IFERROR(__xludf.DUMMYFUNCTION("""COMPUTED_VALUE"""),9065.0)</f>
        <v>9065</v>
      </c>
      <c r="D40" s="86"/>
      <c r="E40" s="86"/>
      <c r="F40" s="86"/>
      <c r="G40" s="86"/>
      <c r="H40" s="86"/>
      <c r="I40" s="86"/>
      <c r="J40" s="86"/>
      <c r="K40" s="86"/>
      <c r="L40" s="86"/>
      <c r="M40" s="86"/>
      <c r="N40" s="86"/>
      <c r="O40" s="86"/>
      <c r="P40" s="86"/>
      <c r="Q40" s="86"/>
      <c r="R40" s="86"/>
      <c r="S40" s="86"/>
      <c r="T40" s="86"/>
      <c r="U40" s="86"/>
      <c r="V40" s="86"/>
      <c r="W40" s="86"/>
      <c r="X40" s="86"/>
      <c r="Y40" s="86"/>
      <c r="Z40" s="86"/>
    </row>
    <row r="41">
      <c r="A41" s="86" t="str">
        <f>IFERROR(__xludf.DUMMYFUNCTION("""COMPUTED_VALUE"""),"USPS Address Validation &amp; Shipping Automation")</f>
        <v>USPS Address Validation &amp; Shipping Automation</v>
      </c>
      <c r="B41" s="90">
        <f>IFERROR(__xludf.DUMMYFUNCTION("""COMPUTED_VALUE"""),23.0)</f>
        <v>23</v>
      </c>
      <c r="C41" s="112">
        <f>IFERROR(__xludf.DUMMYFUNCTION("""COMPUTED_VALUE"""),5635.0)</f>
        <v>5635</v>
      </c>
      <c r="D41" s="86"/>
      <c r="E41" s="86"/>
      <c r="F41" s="86"/>
      <c r="G41" s="86"/>
      <c r="H41" s="86"/>
      <c r="I41" s="86"/>
      <c r="J41" s="86"/>
      <c r="K41" s="86"/>
      <c r="L41" s="86"/>
      <c r="M41" s="86"/>
      <c r="N41" s="86"/>
      <c r="O41" s="86"/>
      <c r="P41" s="86"/>
      <c r="Q41" s="86"/>
      <c r="R41" s="86"/>
      <c r="S41" s="86"/>
      <c r="T41" s="86"/>
      <c r="U41" s="86"/>
      <c r="V41" s="86"/>
      <c r="W41" s="86"/>
      <c r="X41" s="86"/>
      <c r="Y41" s="86"/>
      <c r="Z41" s="86"/>
    </row>
    <row r="42">
      <c r="A42" s="86" t="str">
        <f>IFERROR(__xludf.DUMMYFUNCTION("""COMPUTED_VALUE"""),"Project Management")</f>
        <v>Project Management</v>
      </c>
      <c r="B42" s="90">
        <f>IFERROR(__xludf.DUMMYFUNCTION("""COMPUTED_VALUE"""),33.0)</f>
        <v>33</v>
      </c>
      <c r="C42" s="112">
        <f>IFERROR(__xludf.DUMMYFUNCTION("""COMPUTED_VALUE"""),8085.0)</f>
        <v>8085</v>
      </c>
      <c r="D42" s="86"/>
      <c r="E42" s="86"/>
      <c r="F42" s="86"/>
      <c r="G42" s="86"/>
      <c r="H42" s="86"/>
      <c r="I42" s="86"/>
      <c r="J42" s="86"/>
      <c r="K42" s="86"/>
      <c r="L42" s="86"/>
      <c r="M42" s="86"/>
      <c r="N42" s="86"/>
      <c r="O42" s="86"/>
      <c r="P42" s="86"/>
      <c r="Q42" s="86"/>
      <c r="R42" s="86"/>
      <c r="S42" s="86"/>
      <c r="T42" s="86"/>
      <c r="U42" s="86"/>
      <c r="V42" s="86"/>
      <c r="W42" s="86"/>
      <c r="X42" s="86"/>
      <c r="Y42" s="86"/>
      <c r="Z42" s="86"/>
    </row>
    <row r="43">
      <c r="A43" s="86" t="str">
        <f>IFERROR(__xludf.DUMMYFUNCTION("""COMPUTED_VALUE"""),"Post-Launch Support")</f>
        <v>Post-Launch Support</v>
      </c>
      <c r="B43" s="90">
        <f>IFERROR(__xludf.DUMMYFUNCTION("""COMPUTED_VALUE"""),30.0)</f>
        <v>30</v>
      </c>
      <c r="C43" s="112">
        <f>IFERROR(__xludf.DUMMYFUNCTION("""COMPUTED_VALUE"""),7350.0)</f>
        <v>7350</v>
      </c>
      <c r="D43" s="86"/>
      <c r="E43" s="86"/>
      <c r="F43" s="86"/>
      <c r="G43" s="86"/>
      <c r="H43" s="86"/>
      <c r="I43" s="86"/>
      <c r="J43" s="86"/>
      <c r="K43" s="86"/>
      <c r="L43" s="86"/>
      <c r="M43" s="86"/>
      <c r="N43" s="86"/>
      <c r="O43" s="86"/>
      <c r="P43" s="86"/>
      <c r="Q43" s="86"/>
      <c r="R43" s="86"/>
      <c r="S43" s="86"/>
      <c r="T43" s="86"/>
      <c r="U43" s="86"/>
      <c r="V43" s="86"/>
      <c r="W43" s="86"/>
      <c r="X43" s="86"/>
      <c r="Y43" s="86"/>
      <c r="Z43" s="86"/>
    </row>
    <row r="44">
      <c r="A44" s="86"/>
      <c r="B44" s="90"/>
      <c r="C44" s="112"/>
      <c r="D44" s="86"/>
      <c r="E44" s="86"/>
      <c r="F44" s="86"/>
      <c r="G44" s="86"/>
      <c r="H44" s="86"/>
      <c r="I44" s="86"/>
      <c r="J44" s="86"/>
      <c r="K44" s="86"/>
      <c r="L44" s="86"/>
      <c r="M44" s="86"/>
      <c r="N44" s="86"/>
      <c r="O44" s="86"/>
      <c r="P44" s="86"/>
      <c r="Q44" s="86"/>
      <c r="R44" s="86"/>
      <c r="S44" s="86"/>
      <c r="T44" s="86"/>
      <c r="U44" s="86"/>
      <c r="V44" s="86"/>
      <c r="W44" s="86"/>
      <c r="X44" s="86"/>
      <c r="Y44" s="86"/>
      <c r="Z44" s="86"/>
    </row>
    <row r="45">
      <c r="A45" s="86"/>
      <c r="B45" s="90"/>
      <c r="C45" s="112"/>
      <c r="D45" s="86"/>
      <c r="E45" s="86"/>
      <c r="F45" s="86"/>
      <c r="G45" s="86"/>
      <c r="H45" s="86"/>
      <c r="I45" s="86"/>
      <c r="J45" s="86"/>
      <c r="K45" s="86"/>
      <c r="L45" s="86"/>
      <c r="M45" s="86"/>
      <c r="N45" s="86"/>
      <c r="O45" s="86"/>
      <c r="P45" s="86"/>
      <c r="Q45" s="86"/>
      <c r="R45" s="86"/>
      <c r="S45" s="86"/>
      <c r="T45" s="86"/>
      <c r="U45" s="86"/>
      <c r="V45" s="86"/>
      <c r="W45" s="86"/>
      <c r="X45" s="86"/>
      <c r="Y45" s="86"/>
      <c r="Z45" s="86"/>
    </row>
    <row r="46">
      <c r="A46" s="86"/>
      <c r="B46" s="90"/>
      <c r="C46" s="112"/>
      <c r="D46" s="86"/>
      <c r="E46" s="86"/>
      <c r="F46" s="86"/>
      <c r="G46" s="86"/>
      <c r="H46" s="86"/>
      <c r="I46" s="86"/>
      <c r="J46" s="86"/>
      <c r="K46" s="86"/>
      <c r="L46" s="86"/>
      <c r="M46" s="86"/>
      <c r="N46" s="86"/>
      <c r="O46" s="86"/>
      <c r="P46" s="86"/>
      <c r="Q46" s="86"/>
      <c r="R46" s="86"/>
      <c r="S46" s="86"/>
      <c r="T46" s="86"/>
      <c r="U46" s="86"/>
      <c r="V46" s="86"/>
      <c r="W46" s="86"/>
      <c r="X46" s="86"/>
      <c r="Y46" s="86"/>
      <c r="Z46" s="86"/>
    </row>
    <row r="47">
      <c r="A47" s="86"/>
      <c r="B47" s="90"/>
      <c r="C47" s="112"/>
      <c r="D47" s="86"/>
      <c r="E47" s="86"/>
      <c r="F47" s="86"/>
      <c r="G47" s="86"/>
      <c r="H47" s="86"/>
      <c r="I47" s="86"/>
      <c r="J47" s="86"/>
      <c r="K47" s="86"/>
      <c r="L47" s="86"/>
      <c r="M47" s="86"/>
      <c r="N47" s="86"/>
      <c r="O47" s="86"/>
      <c r="P47" s="86"/>
      <c r="Q47" s="86"/>
      <c r="R47" s="86"/>
      <c r="S47" s="86"/>
      <c r="T47" s="86"/>
      <c r="U47" s="86"/>
      <c r="V47" s="86"/>
      <c r="W47" s="86"/>
      <c r="X47" s="86"/>
      <c r="Y47" s="86"/>
      <c r="Z47" s="86"/>
    </row>
    <row r="48">
      <c r="A48" s="86"/>
      <c r="B48" s="90"/>
      <c r="C48" s="112"/>
      <c r="D48" s="86"/>
      <c r="E48" s="86"/>
      <c r="F48" s="86"/>
      <c r="G48" s="86"/>
      <c r="H48" s="86"/>
      <c r="I48" s="86"/>
      <c r="J48" s="86"/>
      <c r="K48" s="86"/>
      <c r="L48" s="86"/>
      <c r="M48" s="86"/>
      <c r="N48" s="86"/>
      <c r="O48" s="86"/>
      <c r="P48" s="86"/>
      <c r="Q48" s="86"/>
      <c r="R48" s="86"/>
      <c r="S48" s="86"/>
      <c r="T48" s="86"/>
      <c r="U48" s="86"/>
      <c r="V48" s="86"/>
      <c r="W48" s="86"/>
      <c r="X48" s="86"/>
      <c r="Y48" s="86"/>
      <c r="Z48" s="86"/>
    </row>
    <row r="49">
      <c r="A49" s="86"/>
      <c r="B49" s="86"/>
      <c r="C49" s="113"/>
      <c r="D49" s="86"/>
      <c r="E49" s="86"/>
      <c r="F49" s="86"/>
      <c r="G49" s="86"/>
      <c r="H49" s="86"/>
      <c r="I49" s="86"/>
      <c r="J49" s="86"/>
      <c r="K49" s="86"/>
      <c r="L49" s="86"/>
      <c r="M49" s="86"/>
      <c r="N49" s="86"/>
      <c r="O49" s="86"/>
      <c r="P49" s="86"/>
      <c r="Q49" s="86"/>
      <c r="R49" s="86"/>
      <c r="S49" s="86"/>
      <c r="T49" s="86"/>
      <c r="U49" s="86"/>
      <c r="V49" s="86"/>
      <c r="W49" s="86"/>
      <c r="X49" s="86"/>
      <c r="Y49" s="86"/>
      <c r="Z49" s="86"/>
    </row>
    <row r="50">
      <c r="A50" s="86"/>
      <c r="B50" s="86"/>
      <c r="C50" s="113"/>
      <c r="D50" s="86"/>
      <c r="E50" s="86"/>
      <c r="F50" s="86"/>
      <c r="G50" s="86"/>
      <c r="H50" s="86"/>
      <c r="I50" s="86"/>
      <c r="J50" s="86"/>
      <c r="K50" s="86"/>
      <c r="L50" s="86"/>
      <c r="M50" s="86"/>
      <c r="N50" s="86"/>
      <c r="O50" s="86"/>
      <c r="P50" s="86"/>
      <c r="Q50" s="86"/>
      <c r="R50" s="86"/>
      <c r="S50" s="86"/>
      <c r="T50" s="86"/>
      <c r="U50" s="86"/>
      <c r="V50" s="86"/>
      <c r="W50" s="86"/>
      <c r="X50" s="86"/>
      <c r="Y50" s="86"/>
      <c r="Z50" s="86"/>
    </row>
    <row r="51">
      <c r="A51" s="86"/>
      <c r="B51" s="86"/>
      <c r="C51" s="113"/>
      <c r="D51" s="86"/>
      <c r="E51" s="86"/>
      <c r="F51" s="86"/>
      <c r="G51" s="86"/>
      <c r="H51" s="86"/>
      <c r="I51" s="86"/>
      <c r="J51" s="86"/>
      <c r="K51" s="86"/>
      <c r="L51" s="86"/>
      <c r="M51" s="86"/>
      <c r="N51" s="86"/>
      <c r="O51" s="86"/>
      <c r="P51" s="86"/>
      <c r="Q51" s="86"/>
      <c r="R51" s="86"/>
      <c r="S51" s="86"/>
      <c r="T51" s="86"/>
      <c r="U51" s="86"/>
      <c r="V51" s="86"/>
      <c r="W51" s="86"/>
      <c r="X51" s="86"/>
      <c r="Y51" s="86"/>
      <c r="Z51" s="86"/>
    </row>
    <row r="52">
      <c r="A52" s="86"/>
      <c r="B52" s="86"/>
      <c r="C52" s="113"/>
      <c r="D52" s="86"/>
      <c r="E52" s="86"/>
      <c r="F52" s="86"/>
      <c r="G52" s="86"/>
      <c r="H52" s="86"/>
      <c r="I52" s="86"/>
      <c r="J52" s="86"/>
      <c r="K52" s="86"/>
      <c r="L52" s="86"/>
      <c r="M52" s="86"/>
      <c r="N52" s="86"/>
      <c r="O52" s="86"/>
      <c r="P52" s="86"/>
      <c r="Q52" s="86"/>
      <c r="R52" s="86"/>
      <c r="S52" s="86"/>
      <c r="T52" s="86"/>
      <c r="U52" s="86"/>
      <c r="V52" s="86"/>
      <c r="W52" s="86"/>
      <c r="X52" s="86"/>
      <c r="Y52" s="86"/>
      <c r="Z52" s="86"/>
    </row>
    <row r="53">
      <c r="A53" s="86"/>
      <c r="B53" s="86"/>
      <c r="C53" s="113"/>
      <c r="D53" s="86"/>
      <c r="E53" s="86"/>
      <c r="F53" s="86"/>
      <c r="G53" s="86"/>
      <c r="H53" s="86"/>
      <c r="I53" s="86"/>
      <c r="J53" s="86"/>
      <c r="K53" s="86"/>
      <c r="L53" s="86"/>
      <c r="M53" s="86"/>
      <c r="N53" s="86"/>
      <c r="O53" s="86"/>
      <c r="P53" s="86"/>
      <c r="Q53" s="86"/>
      <c r="R53" s="86"/>
      <c r="S53" s="86"/>
      <c r="T53" s="86"/>
      <c r="U53" s="86"/>
      <c r="V53" s="86"/>
      <c r="W53" s="86"/>
      <c r="X53" s="86"/>
      <c r="Y53" s="86"/>
      <c r="Z53" s="86"/>
    </row>
    <row r="54">
      <c r="A54" s="86"/>
      <c r="B54" s="86"/>
      <c r="C54" s="113"/>
      <c r="D54" s="86"/>
      <c r="E54" s="86"/>
      <c r="F54" s="86"/>
      <c r="G54" s="86"/>
      <c r="H54" s="86"/>
      <c r="I54" s="86"/>
      <c r="J54" s="86"/>
      <c r="K54" s="86"/>
      <c r="L54" s="86"/>
      <c r="M54" s="86"/>
      <c r="N54" s="86"/>
      <c r="O54" s="86"/>
      <c r="P54" s="86"/>
      <c r="Q54" s="86"/>
      <c r="R54" s="86"/>
      <c r="S54" s="86"/>
      <c r="T54" s="86"/>
      <c r="U54" s="86"/>
      <c r="V54" s="86"/>
      <c r="W54" s="86"/>
      <c r="X54" s="86"/>
      <c r="Y54" s="86"/>
      <c r="Z54" s="86"/>
    </row>
    <row r="55">
      <c r="A55" s="86"/>
      <c r="B55" s="86"/>
      <c r="C55" s="113"/>
      <c r="D55" s="86"/>
      <c r="E55" s="86"/>
      <c r="F55" s="86"/>
      <c r="G55" s="86"/>
      <c r="H55" s="86"/>
      <c r="I55" s="86"/>
      <c r="J55" s="86"/>
      <c r="K55" s="86"/>
      <c r="L55" s="86"/>
      <c r="M55" s="86"/>
      <c r="N55" s="86"/>
      <c r="O55" s="86"/>
      <c r="P55" s="86"/>
      <c r="Q55" s="86"/>
      <c r="R55" s="86"/>
      <c r="S55" s="86"/>
      <c r="T55" s="86"/>
      <c r="U55" s="86"/>
      <c r="V55" s="86"/>
      <c r="W55" s="86"/>
      <c r="X55" s="86"/>
      <c r="Y55" s="86"/>
      <c r="Z55" s="86"/>
    </row>
    <row r="56">
      <c r="A56" s="86"/>
      <c r="B56" s="86"/>
      <c r="C56" s="113"/>
      <c r="D56" s="86"/>
      <c r="E56" s="86"/>
      <c r="F56" s="86"/>
      <c r="G56" s="86"/>
      <c r="H56" s="86"/>
      <c r="I56" s="86"/>
      <c r="J56" s="86"/>
      <c r="K56" s="86"/>
      <c r="L56" s="86"/>
      <c r="M56" s="86"/>
      <c r="N56" s="86"/>
      <c r="O56" s="86"/>
      <c r="P56" s="86"/>
      <c r="Q56" s="86"/>
      <c r="R56" s="86"/>
      <c r="S56" s="86"/>
      <c r="T56" s="86"/>
      <c r="U56" s="86"/>
      <c r="V56" s="86"/>
      <c r="W56" s="86"/>
      <c r="X56" s="86"/>
      <c r="Y56" s="86"/>
      <c r="Z56" s="86"/>
    </row>
    <row r="57">
      <c r="A57" s="86"/>
      <c r="B57" s="86"/>
      <c r="C57" s="113"/>
      <c r="D57" s="86"/>
      <c r="E57" s="86"/>
      <c r="F57" s="86"/>
      <c r="G57" s="86"/>
      <c r="H57" s="86"/>
      <c r="I57" s="86"/>
      <c r="J57" s="86"/>
      <c r="K57" s="86"/>
      <c r="L57" s="86"/>
      <c r="M57" s="86"/>
      <c r="N57" s="86"/>
      <c r="O57" s="86"/>
      <c r="P57" s="86"/>
      <c r="Q57" s="86"/>
      <c r="R57" s="86"/>
      <c r="S57" s="86"/>
      <c r="T57" s="86"/>
      <c r="U57" s="86"/>
      <c r="V57" s="86"/>
      <c r="W57" s="86"/>
      <c r="X57" s="86"/>
      <c r="Y57" s="86"/>
      <c r="Z57" s="86"/>
    </row>
    <row r="58">
      <c r="A58" s="86"/>
      <c r="B58" s="86"/>
      <c r="C58" s="113"/>
      <c r="D58" s="86"/>
      <c r="E58" s="86"/>
      <c r="F58" s="86"/>
      <c r="G58" s="86"/>
      <c r="H58" s="86"/>
      <c r="I58" s="86"/>
      <c r="J58" s="86"/>
      <c r="K58" s="86"/>
      <c r="L58" s="86"/>
      <c r="M58" s="86"/>
      <c r="N58" s="86"/>
      <c r="O58" s="86"/>
      <c r="P58" s="86"/>
      <c r="Q58" s="86"/>
      <c r="R58" s="86"/>
      <c r="S58" s="86"/>
      <c r="T58" s="86"/>
      <c r="U58" s="86"/>
      <c r="V58" s="86"/>
      <c r="W58" s="86"/>
      <c r="X58" s="86"/>
      <c r="Y58" s="86"/>
      <c r="Z58" s="86"/>
    </row>
    <row r="59">
      <c r="A59" s="86"/>
      <c r="B59" s="86"/>
      <c r="C59" s="113"/>
      <c r="D59" s="86"/>
      <c r="E59" s="86"/>
      <c r="F59" s="86"/>
      <c r="G59" s="86"/>
      <c r="H59" s="86"/>
      <c r="I59" s="86"/>
      <c r="J59" s="86"/>
      <c r="K59" s="86"/>
      <c r="L59" s="86"/>
      <c r="M59" s="86"/>
      <c r="N59" s="86"/>
      <c r="O59" s="86"/>
      <c r="P59" s="86"/>
      <c r="Q59" s="86"/>
      <c r="R59" s="86"/>
      <c r="S59" s="86"/>
      <c r="T59" s="86"/>
      <c r="U59" s="86"/>
      <c r="V59" s="86"/>
      <c r="W59" s="86"/>
      <c r="X59" s="86"/>
      <c r="Y59" s="86"/>
      <c r="Z59" s="86"/>
    </row>
    <row r="60">
      <c r="A60" s="86"/>
      <c r="B60" s="86"/>
      <c r="C60" s="113"/>
      <c r="D60" s="86"/>
      <c r="E60" s="86"/>
      <c r="F60" s="86"/>
      <c r="G60" s="86"/>
      <c r="H60" s="86"/>
      <c r="I60" s="86"/>
      <c r="J60" s="86"/>
      <c r="K60" s="86"/>
      <c r="L60" s="86"/>
      <c r="M60" s="86"/>
      <c r="N60" s="86"/>
      <c r="O60" s="86"/>
      <c r="P60" s="86"/>
      <c r="Q60" s="86"/>
      <c r="R60" s="86"/>
      <c r="S60" s="86"/>
      <c r="T60" s="86"/>
      <c r="U60" s="86"/>
      <c r="V60" s="86"/>
      <c r="W60" s="86"/>
      <c r="X60" s="86"/>
      <c r="Y60" s="86"/>
      <c r="Z60" s="86"/>
    </row>
    <row r="61">
      <c r="A61" s="86"/>
      <c r="B61" s="86"/>
      <c r="C61" s="113"/>
      <c r="D61" s="86"/>
      <c r="E61" s="86"/>
      <c r="F61" s="86"/>
      <c r="G61" s="86"/>
      <c r="H61" s="86"/>
      <c r="I61" s="86"/>
      <c r="J61" s="86"/>
      <c r="K61" s="86"/>
      <c r="L61" s="86"/>
      <c r="M61" s="86"/>
      <c r="N61" s="86"/>
      <c r="O61" s="86"/>
      <c r="P61" s="86"/>
      <c r="Q61" s="86"/>
      <c r="R61" s="86"/>
      <c r="S61" s="86"/>
      <c r="T61" s="86"/>
      <c r="U61" s="86"/>
      <c r="V61" s="86"/>
      <c r="W61" s="86"/>
      <c r="X61" s="86"/>
      <c r="Y61" s="86"/>
      <c r="Z61" s="86"/>
    </row>
    <row r="62">
      <c r="A62" s="86"/>
      <c r="B62" s="86"/>
      <c r="C62" s="113"/>
      <c r="D62" s="86"/>
      <c r="E62" s="86"/>
      <c r="F62" s="86"/>
      <c r="G62" s="86"/>
      <c r="H62" s="86"/>
      <c r="I62" s="86"/>
      <c r="J62" s="86"/>
      <c r="K62" s="86"/>
      <c r="L62" s="86"/>
      <c r="M62" s="86"/>
      <c r="N62" s="86"/>
      <c r="O62" s="86"/>
      <c r="P62" s="86"/>
      <c r="Q62" s="86"/>
      <c r="R62" s="86"/>
      <c r="S62" s="86"/>
      <c r="T62" s="86"/>
      <c r="U62" s="86"/>
      <c r="V62" s="86"/>
      <c r="W62" s="86"/>
      <c r="X62" s="86"/>
      <c r="Y62" s="86"/>
      <c r="Z62" s="86"/>
    </row>
    <row r="63">
      <c r="A63" s="86"/>
      <c r="B63" s="86"/>
      <c r="C63" s="113"/>
      <c r="D63" s="86"/>
      <c r="E63" s="86"/>
      <c r="F63" s="86"/>
      <c r="G63" s="86"/>
      <c r="H63" s="86"/>
      <c r="I63" s="86"/>
      <c r="J63" s="86"/>
      <c r="K63" s="86"/>
      <c r="L63" s="86"/>
      <c r="M63" s="86"/>
      <c r="N63" s="86"/>
      <c r="O63" s="86"/>
      <c r="P63" s="86"/>
      <c r="Q63" s="86"/>
      <c r="R63" s="86"/>
      <c r="S63" s="86"/>
      <c r="T63" s="86"/>
      <c r="U63" s="86"/>
      <c r="V63" s="86"/>
      <c r="W63" s="86"/>
      <c r="X63" s="86"/>
      <c r="Y63" s="86"/>
      <c r="Z63" s="86"/>
    </row>
    <row r="64">
      <c r="A64" s="86"/>
      <c r="B64" s="86"/>
      <c r="C64" s="113"/>
      <c r="D64" s="86"/>
      <c r="E64" s="86"/>
      <c r="F64" s="86"/>
      <c r="G64" s="86"/>
      <c r="H64" s="86"/>
      <c r="I64" s="86"/>
      <c r="J64" s="86"/>
      <c r="K64" s="86"/>
      <c r="L64" s="86"/>
      <c r="M64" s="86"/>
      <c r="N64" s="86"/>
      <c r="O64" s="86"/>
      <c r="P64" s="86"/>
      <c r="Q64" s="86"/>
      <c r="R64" s="86"/>
      <c r="S64" s="86"/>
      <c r="T64" s="86"/>
      <c r="U64" s="86"/>
      <c r="V64" s="86"/>
      <c r="W64" s="86"/>
      <c r="X64" s="86"/>
      <c r="Y64" s="86"/>
      <c r="Z64" s="86"/>
    </row>
    <row r="65">
      <c r="A65" s="86"/>
      <c r="B65" s="86"/>
      <c r="C65" s="113"/>
      <c r="D65" s="86"/>
      <c r="E65" s="86"/>
      <c r="F65" s="86"/>
      <c r="G65" s="86"/>
      <c r="H65" s="86"/>
      <c r="I65" s="86"/>
      <c r="J65" s="86"/>
      <c r="K65" s="86"/>
      <c r="L65" s="86"/>
      <c r="M65" s="86"/>
      <c r="N65" s="86"/>
      <c r="O65" s="86"/>
      <c r="P65" s="86"/>
      <c r="Q65" s="86"/>
      <c r="R65" s="86"/>
      <c r="S65" s="86"/>
      <c r="T65" s="86"/>
      <c r="U65" s="86"/>
      <c r="V65" s="86"/>
      <c r="W65" s="86"/>
      <c r="X65" s="86"/>
      <c r="Y65" s="86"/>
      <c r="Z65" s="86"/>
    </row>
    <row r="66">
      <c r="A66" s="86"/>
      <c r="B66" s="86"/>
      <c r="C66" s="113"/>
      <c r="D66" s="86"/>
      <c r="E66" s="86"/>
      <c r="F66" s="86"/>
      <c r="G66" s="86"/>
      <c r="H66" s="86"/>
      <c r="I66" s="86"/>
      <c r="J66" s="86"/>
      <c r="K66" s="86"/>
      <c r="L66" s="86"/>
      <c r="M66" s="86"/>
      <c r="N66" s="86"/>
      <c r="O66" s="86"/>
      <c r="P66" s="86"/>
      <c r="Q66" s="86"/>
      <c r="R66" s="86"/>
      <c r="S66" s="86"/>
      <c r="T66" s="86"/>
      <c r="U66" s="86"/>
      <c r="V66" s="86"/>
      <c r="W66" s="86"/>
      <c r="X66" s="86"/>
      <c r="Y66" s="86"/>
      <c r="Z66" s="86"/>
    </row>
    <row r="67">
      <c r="A67" s="86"/>
      <c r="B67" s="86"/>
      <c r="C67" s="113"/>
      <c r="D67" s="86"/>
      <c r="E67" s="86"/>
      <c r="F67" s="86"/>
      <c r="G67" s="86"/>
      <c r="H67" s="86"/>
      <c r="I67" s="86"/>
      <c r="J67" s="86"/>
      <c r="K67" s="86"/>
      <c r="L67" s="86"/>
      <c r="M67" s="86"/>
      <c r="N67" s="86"/>
      <c r="O67" s="86"/>
      <c r="P67" s="86"/>
      <c r="Q67" s="86"/>
      <c r="R67" s="86"/>
      <c r="S67" s="86"/>
      <c r="T67" s="86"/>
      <c r="U67" s="86"/>
      <c r="V67" s="86"/>
      <c r="W67" s="86"/>
      <c r="X67" s="86"/>
      <c r="Y67" s="86"/>
      <c r="Z67" s="86"/>
    </row>
    <row r="68">
      <c r="A68" s="86"/>
      <c r="B68" s="86"/>
      <c r="C68" s="113"/>
      <c r="D68" s="86"/>
      <c r="E68" s="86"/>
      <c r="F68" s="86"/>
      <c r="G68" s="86"/>
      <c r="H68" s="86"/>
      <c r="I68" s="86"/>
      <c r="J68" s="86"/>
      <c r="K68" s="86"/>
      <c r="L68" s="86"/>
      <c r="M68" s="86"/>
      <c r="N68" s="86"/>
      <c r="O68" s="86"/>
      <c r="P68" s="86"/>
      <c r="Q68" s="86"/>
      <c r="R68" s="86"/>
      <c r="S68" s="86"/>
      <c r="T68" s="86"/>
      <c r="U68" s="86"/>
      <c r="V68" s="86"/>
      <c r="W68" s="86"/>
      <c r="X68" s="86"/>
      <c r="Y68" s="86"/>
      <c r="Z68" s="86"/>
    </row>
    <row r="69">
      <c r="A69" s="86"/>
      <c r="B69" s="86"/>
      <c r="C69" s="113"/>
      <c r="D69" s="86"/>
      <c r="E69" s="86"/>
      <c r="F69" s="86"/>
      <c r="G69" s="86"/>
      <c r="H69" s="86"/>
      <c r="I69" s="86"/>
      <c r="J69" s="86"/>
      <c r="K69" s="86"/>
      <c r="L69" s="86"/>
      <c r="M69" s="86"/>
      <c r="N69" s="86"/>
      <c r="O69" s="86"/>
      <c r="P69" s="86"/>
      <c r="Q69" s="86"/>
      <c r="R69" s="86"/>
      <c r="S69" s="86"/>
      <c r="T69" s="86"/>
      <c r="U69" s="86"/>
      <c r="V69" s="86"/>
      <c r="W69" s="86"/>
      <c r="X69" s="86"/>
      <c r="Y69" s="86"/>
      <c r="Z69" s="86"/>
    </row>
    <row r="70">
      <c r="A70" s="86"/>
      <c r="B70" s="86"/>
      <c r="C70" s="113"/>
      <c r="D70" s="86"/>
      <c r="E70" s="86"/>
      <c r="F70" s="86"/>
      <c r="G70" s="86"/>
      <c r="H70" s="86"/>
      <c r="I70" s="86"/>
      <c r="J70" s="86"/>
      <c r="K70" s="86"/>
      <c r="L70" s="86"/>
      <c r="M70" s="86"/>
      <c r="N70" s="86"/>
      <c r="O70" s="86"/>
      <c r="P70" s="86"/>
      <c r="Q70" s="86"/>
      <c r="R70" s="86"/>
      <c r="S70" s="86"/>
      <c r="T70" s="86"/>
      <c r="U70" s="86"/>
      <c r="V70" s="86"/>
      <c r="W70" s="86"/>
      <c r="X70" s="86"/>
      <c r="Y70" s="86"/>
      <c r="Z70" s="86"/>
    </row>
    <row r="71">
      <c r="A71" s="86"/>
      <c r="B71" s="86"/>
      <c r="C71" s="113"/>
      <c r="D71" s="86"/>
      <c r="E71" s="86"/>
      <c r="F71" s="86"/>
      <c r="G71" s="86"/>
      <c r="H71" s="86"/>
      <c r="I71" s="86"/>
      <c r="J71" s="86"/>
      <c r="K71" s="86"/>
      <c r="L71" s="86"/>
      <c r="M71" s="86"/>
      <c r="N71" s="86"/>
      <c r="O71" s="86"/>
      <c r="P71" s="86"/>
      <c r="Q71" s="86"/>
      <c r="R71" s="86"/>
      <c r="S71" s="86"/>
      <c r="T71" s="86"/>
      <c r="U71" s="86"/>
      <c r="V71" s="86"/>
      <c r="W71" s="86"/>
      <c r="X71" s="86"/>
      <c r="Y71" s="86"/>
      <c r="Z71" s="86"/>
    </row>
    <row r="72">
      <c r="A72" s="86"/>
      <c r="B72" s="86"/>
      <c r="C72" s="113"/>
      <c r="D72" s="86"/>
      <c r="E72" s="86"/>
      <c r="F72" s="86"/>
      <c r="G72" s="86"/>
      <c r="H72" s="86"/>
      <c r="I72" s="86"/>
      <c r="J72" s="86"/>
      <c r="K72" s="86"/>
      <c r="L72" s="86"/>
      <c r="M72" s="86"/>
      <c r="N72" s="86"/>
      <c r="O72" s="86"/>
      <c r="P72" s="86"/>
      <c r="Q72" s="86"/>
      <c r="R72" s="86"/>
      <c r="S72" s="86"/>
      <c r="T72" s="86"/>
      <c r="U72" s="86"/>
      <c r="V72" s="86"/>
      <c r="W72" s="86"/>
      <c r="X72" s="86"/>
      <c r="Y72" s="86"/>
      <c r="Z72" s="86"/>
    </row>
    <row r="73">
      <c r="A73" s="86"/>
      <c r="B73" s="86"/>
      <c r="C73" s="86"/>
      <c r="D73" s="86"/>
      <c r="E73" s="86"/>
      <c r="F73" s="86"/>
      <c r="G73" s="86"/>
      <c r="H73" s="86"/>
      <c r="I73" s="86"/>
      <c r="J73" s="86"/>
      <c r="K73" s="86"/>
      <c r="L73" s="86"/>
      <c r="M73" s="86"/>
      <c r="N73" s="86"/>
      <c r="O73" s="86"/>
      <c r="P73" s="86"/>
      <c r="Q73" s="86"/>
      <c r="R73" s="86"/>
      <c r="S73" s="86"/>
      <c r="T73" s="86"/>
      <c r="U73" s="86"/>
      <c r="V73" s="86"/>
      <c r="W73" s="86"/>
      <c r="X73" s="86"/>
      <c r="Y73" s="86"/>
      <c r="Z73" s="86"/>
    </row>
    <row r="74">
      <c r="A74" s="86"/>
      <c r="B74" s="86"/>
      <c r="C74" s="86"/>
      <c r="D74" s="86"/>
      <c r="E74" s="86"/>
      <c r="F74" s="86"/>
      <c r="G74" s="86"/>
      <c r="H74" s="86"/>
      <c r="I74" s="86"/>
      <c r="J74" s="86"/>
      <c r="K74" s="86"/>
      <c r="L74" s="86"/>
      <c r="M74" s="86"/>
      <c r="N74" s="86"/>
      <c r="O74" s="86"/>
      <c r="P74" s="86"/>
      <c r="Q74" s="86"/>
      <c r="R74" s="86"/>
      <c r="S74" s="86"/>
      <c r="T74" s="86"/>
      <c r="U74" s="86"/>
      <c r="V74" s="86"/>
      <c r="W74" s="86"/>
      <c r="X74" s="86"/>
      <c r="Y74" s="86"/>
      <c r="Z74" s="86"/>
    </row>
    <row r="75">
      <c r="A75" s="86"/>
      <c r="B75" s="86"/>
      <c r="C75" s="86"/>
      <c r="D75" s="86"/>
      <c r="E75" s="86"/>
      <c r="F75" s="86"/>
      <c r="G75" s="86"/>
      <c r="H75" s="86"/>
      <c r="I75" s="86"/>
      <c r="J75" s="86"/>
      <c r="K75" s="86"/>
      <c r="L75" s="86"/>
      <c r="M75" s="86"/>
      <c r="N75" s="86"/>
      <c r="O75" s="86"/>
      <c r="P75" s="86"/>
      <c r="Q75" s="86"/>
      <c r="R75" s="86"/>
      <c r="S75" s="86"/>
      <c r="T75" s="86"/>
      <c r="U75" s="86"/>
      <c r="V75" s="86"/>
      <c r="W75" s="86"/>
      <c r="X75" s="86"/>
      <c r="Y75" s="86"/>
      <c r="Z75" s="86"/>
    </row>
  </sheetData>
  <drawing r:id="rId1"/>
</worksheet>
</file>