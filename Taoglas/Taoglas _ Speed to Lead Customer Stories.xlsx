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Config" sheetId="2" r:id="rId5"/>
    <sheet state="visible" name="Calculations" sheetId="3" r:id="rId6"/>
  </sheets>
  <definedNames/>
  <calcPr/>
</workbook>
</file>

<file path=xl/sharedStrings.xml><?xml version="1.0" encoding="utf-8"?>
<sst xmlns="http://schemas.openxmlformats.org/spreadsheetml/2006/main" count="219" uniqueCount="182">
  <si>
    <t>Display</t>
  </si>
  <si>
    <t>Workstream</t>
  </si>
  <si>
    <t>Service_Title</t>
  </si>
  <si>
    <t>Customer_Story</t>
  </si>
  <si>
    <t>Suggested_Path</t>
  </si>
  <si>
    <t>Assumptions</t>
  </si>
  <si>
    <t>Estimated_Low_Hours</t>
  </si>
  <si>
    <t>Estimated_High_Hours</t>
  </si>
  <si>
    <t>Contracted_Hours</t>
  </si>
  <si>
    <t>Requires_Clarification</t>
  </si>
  <si>
    <t>Function</t>
  </si>
  <si>
    <t>Library_ID</t>
  </si>
  <si>
    <t>Project_ID</t>
  </si>
  <si>
    <t>Internal_Notes</t>
  </si>
  <si>
    <t>Task_Link</t>
  </si>
  <si>
    <t>Now</t>
  </si>
  <si>
    <t>Speed-to-Lead Architecture &amp; Routing</t>
  </si>
  <si>
    <t>Lead Scoring Architecture Audit, Optimization &amp; Alignment to Speed-to-Lead</t>
  </si>
  <si>
    <t>As a Marketing Operations leader, I need a validated and optimized lead scoring model that accurately reflects buyer intent and fit, so high-value opportunities are routed at the right time while unqualified contacts remain in nurture.</t>
  </si>
  <si>
    <t>• Audit existing scoring architecture and workflows built by NXT
• Validate current Taoglas scoring model (see Demand to Deal doc)
• Align scoring thresholds to Speed-to-Lead framework
• Rebuild or optimize scoring weights, values, and decay rules as needed
• Configure scoring triggers tied to Clay/RB2B enrichment
• Ensure model supports Tier classification</t>
  </si>
  <si>
    <t>• RB2B &amp; Clay are configured by Cadre
• NXT to provide workflow documentation and technical walkthrough (recorded for reference)
• Content creation is out of scope
• Scoring model focuses on Speed-to-Lead needs</t>
  </si>
  <si>
    <t>Consulting</t>
  </si>
  <si>
    <t>Speed-to-Lead Qualification, Routing Logic &amp; Tier Assignment</t>
  </si>
  <si>
    <t>As a revops team, we need a unified Speed-to-Lead process in HubSpot that qualifies leads consistently, captures the information Inside Sales needs to determine Tier and vertical, and routes opportunities automatically to the right Sales owners, so that no high-intent lead is missed, Tier 3 and Unknown opportunities remain with Inside Sales, and Tier 1 and Tier 2 opportunities are quickly assigned to the correct Sales team.</t>
  </si>
  <si>
    <t>• Build workflows to route scored leads to Inside Sales once they reach threshold criteria
• Implement Speed to Lead routing logic
• Build Inside Sales qualification process
• Build automated routing from Inside Sales to the correct Sales owners (OEM, A&amp;D, PSCI) for accept/reject
• Build Sales accept/reject workflow with required rejection reason
• Build automated routing for accepted leads based on Tier and regional routing rules
• Build nurture-return workflow
• Implement automated handoff notifications</t>
  </si>
  <si>
    <t>• Final routing rules provided and approved by Taoglas
• Downstream sales pipeline is out of scope for this engagement
• Tools outside HubSpot are out of scope for setup or configuration</t>
  </si>
  <si>
    <t>Record Customization &amp; Custom Views for Speed-to-Lead</t>
  </si>
  <si>
    <t>As an Inside Sales and Sales team, we need HubSpot record layouts and custom views designed around the Speed-to-Lead process so that qualification fields are easy to find, scored leads are easy to work, and Tiered opportunities can be managed efficiently without missing any high-intent leads.</t>
  </si>
  <si>
    <t>• Customize Contact, Company, and Deal record layouts to surface the qualification fields, Tier indicators, vertical, project value, and Speed-to-Lead routing fields
• Build custom views and queues for Inside Sales (scored leads, Tier 3/Unknown leads, newly assigned leads)
• Build custom views/queues for Sales teams (Tier 1/2 assignments by region and vertical)
• Create views for Accept/Reject, nurture returns, and leads requiring follow-up
• Ensure all views support segmentation, territory logic, and Speed-to-Lead workflow triggers</t>
  </si>
  <si>
    <t>• A8 configures layouts and views only in HubSpot
• Taoglas provides final approval of required fields and layout preferences
• Record customization limited to Contact, Company and Deal objects only
• Views are created for Inside Sales, Sales, and Marketing Ops</t>
  </si>
  <si>
    <t>HubSpot Data Hygiene and Remediation</t>
  </si>
  <si>
    <t>Legacy Workflow &amp; List Remediation for Speed-to-Lead Readiness</t>
  </si>
  <si>
    <t>As a Marketing Operations team, we need to safely remediate legacy workflows, lists, and automation structures left over from the previous scoring system so the new Speed-to-Lead and nurture architecture can operate cleanly, without unintended triggers, broken dependencies, or conflicting logic. This ensures we avoid duplicate nurture enrollment, misrouted leads, and automation failures when the new scoring and routing go live.</t>
  </si>
  <si>
    <t>• Export and triage all lists; identify those used as workflow triggers, suppression lists, nurture segments, and routing inputs
• Audit legacy workflows to identify list-based triggers, re-enrollment risks, and unused scoring dependencies
• Disable or archive legacy scoring workflows; remediate only active workflows that must remain operational
• Rebuild or update essential lists required for nurture, qualification, or routing (minimal edits only)
• Validate and adjust nurture workflow entry and suppression logic to prevent duplicate or unintended enrollment</t>
  </si>
  <si>
    <t>• Taoglas will approve list archive recommendations
• Scoring logic changes are handled entirely in the Lead Scoring story
• Nurture content is provided by Taoglas
• Routing logic changes are handled in the Speed-to-Lead story
• Full list re-architecture is out of scope
• Full workflow rebuilds are out of scope unless specified in the Speed-to-Lead or Nurture Architecture stories
• Downstream sales process changes are out of scope</t>
  </si>
  <si>
    <t>Extended Workflow, List &amp; Property Cleanup (Post-Triage Hygiene)</t>
  </si>
  <si>
    <t>As a Marketing Operations team, we need to complete extended cleanup of unused workflows, legacy lists, outdated properties, and leftover automation dependencies that fall outside of the minimal remediation required for Speed-to-Lead readiness. This work reduces technical debt, prevents future logic conflicts, and improves long-term system performance and maintainability across HubSpot.</t>
  </si>
  <si>
    <t>• Audit and archive unused, outdated, or redundant workflows not required for Speed-to-Lead.
• Audit and archive obsolete lists; consolidate or update lists with outdated or conflicting logic.
• Audit custom properties for duplication, legacy scoring leftovers, or unused fields; archive or standardize as appropriate.
• Update or remove broken automation dependencies (legacy triggers, unused list references, obsolete property logic).
• Document cleanup actions and provide recommendations for ongoing governance.</t>
  </si>
  <si>
    <t>• Speed-to-Lead–critical lists, workflows, routing logic, and scoring changes remain in their respective stories
• No new nurture strategy, segmentation logic, or scoring models will be created as part of this story
• All archives/removals require Taoglas approval prior to execution
• Large workflow rebuilds or new automation design are not in scope for this story
• This cleanup is not required for Speed-to-Lead go-live; it is optional hygiene work to reduce technical debt</t>
  </si>
  <si>
    <t>Nurture &amp; Segmentation Architecture</t>
  </si>
  <si>
    <t>Audience Segmentation Framework &amp; Subscription Governance</t>
  </si>
  <si>
    <t>As a Marketing team, we need accurate segmentation and subscription structures so the right contacts receive the right campaigns and GDPR compliance is maintained across regions.</t>
  </si>
  <si>
    <t>• Audit and refine segmentation (OEM, A&amp;D, PSCI, GNSS)
• Align subscription types to segmentation
• Define opt-in vs. legitimate-interest rules by region
• Standardize lead source taxonomy for Clay, RB2B, Web, Downloads</t>
  </si>
  <si>
    <t>• Legal-approved GDPR rules provided by Taoglas
• Sales sequences governed separately from marketing emails</t>
  </si>
  <si>
    <t>Email Deliverability Audit &amp; Warm-Up Strategy</t>
  </si>
  <si>
    <t>As a Marketing Operations owner, I need correct domain configuration and warm-up planning to safely scale nurture and outbound campaigns without risking deliverability.</t>
  </si>
  <si>
    <t>• Audit SPF, DKIM, DMARC, bounce rules, and domain alignment
• Review sending patterns and subscription use
• Create warm-up plan for nurture and outbound
• Establish deliverability monitoring thresholds
• Remediate any configuration issues</t>
  </si>
  <si>
    <t>• Taoglas IT executes DNS changes
• A8 only audits HubSpot email infrastructure</t>
  </si>
  <si>
    <t>Nurture Workflow Architecture &amp; Multi-Vertical Enablement</t>
  </si>
  <si>
    <t>As a Marketing team, we need scalable nurture workflows that guide contacts through awareness, evaluation, and readiness stages, tailored to each vertical.</t>
  </si>
  <si>
    <t>• Audit existing nurture workflows built by NXT
• Build scalable nurture model for OEM, A&amp;D, PSCI, GNSS
• Identify vertical-specific content gaps
• Build nurture workflows with behavior- and score-based enrollment</t>
  </si>
  <si>
    <t>• Taoglas provides all content</t>
  </si>
  <si>
    <t>Clay → HubSpot Integration</t>
  </si>
  <si>
    <t>Clay → HubSpot Mapping, Property Governance &amp; Data Readiness</t>
  </si>
  <si>
    <t>As a Marketing Operations owner, I need Clay’s enriched data flowing into HubSpot with correct property mapping so it is usable for scoring, routing, and segmentation.</t>
  </si>
  <si>
    <t>• Define HubSpot properties required for Clay → HubSpot ingestion
• Create naming conventions and governance
• Provide mapping rules to Cadre
• Configure workflows triggered by Clay-enriched contacts
• Validate data supports scoring, segmentation, and routing</t>
  </si>
  <si>
    <t>• Cadre owns Clay configuration
• A8 governs HubSpot-side data structures and workflows</t>
  </si>
  <si>
    <t>Solutions Engineering</t>
  </si>
  <si>
    <t>Clay → HubSpot Integration Configuration, Activation &amp; Data Flow Enablement</t>
  </si>
  <si>
    <t>As a Marketing Operations team, we need Clay’s enriched and scored contacts flowing into HubSpot reliably, mapped to the correct fields, and triggering scoring and routing workflows, so that high-intent and enriched leads can enter the Speed-to-Lead process without manual intervention.</t>
  </si>
  <si>
    <t>• Configure the incoming Clay → HubSpot integration connection, including authentication, API setup, and connection validation
• Coordinate with Cadre to finalize the Clay → HubSpot data structure, payload format, and field mapping
• Validate that Clay-delivered data correctly populates HubSpot properties according to the agreed schema.
• Conduct integration testing with Cadre, including sample payload tests and validation of edge cases (e.g., updates, new contacts, missing data).</t>
  </si>
  <si>
    <t>• Cadre is responsible for all Clay-side configuration, scoring models, data enrichment, and outbound payload structure
• A8 is responsible for ensuring HubSpot can correctly receive, store, and operationalize Clay’s data, but does not build or maintain Clay
• Any Clay-side changes requested by Taoglas must be implemented by Cadre
• Integration will rely on HubSpot’s native API limits and available features; middleware or custom integrations are out of scope
• Testing includes validation of sample payloads provided by Cadre but does not include ongoing monitoring of Clay’s data quality</t>
  </si>
  <si>
    <t>HubSpot Reporting</t>
  </si>
  <si>
    <t>Reporting &amp; Analytics Architecture</t>
  </si>
  <si>
    <t>As a leadership team, we need dashboards that clearly show funnel performance, conversion rates, lead quality, and revenue contribution across tiers and verticals.</t>
  </si>
  <si>
    <t>• Build operational dashboards (volume, scoring, routing, acceptance)
• Build sales conversion dashboards (Tier 1/2 → Deal)
• Build nurture engagement dashboards
• Build executive forecasting (traffic → leads → pipeline)</t>
  </si>
  <si>
    <t>• Reporting relies on HubSpot data only
• No external BI tools are included in scope</t>
  </si>
  <si>
    <t>Training &amp; Documentation</t>
  </si>
  <si>
    <t>Data Dictionary, Architecture Maps &amp; Process Documentation</t>
  </si>
  <si>
    <t>As an organization, we need clear, centralized documentation that explains our data structures, scoring logic, routing rules, workflows, segmentation, and GDPR/subscription governance so Marketing, Inside Sales, Sales, and Cadre understand and are aligned on the infrastructure and can operate the Speed-to-Lead model consistently.</t>
  </si>
  <si>
    <t>• Create a Data Dictionary of all A8-created properties, workflows, reports &amp; forms
• Create Speed to Lead Architecture and Process Map
• Document routing logic
• Document segmentation and subscription governance</t>
  </si>
  <si>
    <t>• A8 will document data structures and workflows as built or optimized within this engagement; documentation of unrelated/legacy objects is out of scope.
• NXT will provide workflow documentation inputs, which A8 will validate and correct as needed
• Taoglas is responsible for final approval of segmentation, GDPR rules, and subscription governance
• A8 will deliver documentation in a digital editable format (likely to include google docs, lucidcharts and tango docs)
• Any additional documentation for external systems (Clay, RB2B, IT-owned systems) must be provided by Cadre or Taoglas and is not authored by A8</t>
  </si>
  <si>
    <t>Inside Sales Training on Qualification Process, Tiering &amp; Routing</t>
  </si>
  <si>
    <t>As an Inside Sales team, we need hands-on training in HubSpot so we know exactly how to work scored leads, update qualification fields, determine Tier, and understand how our actions trigger automated routing—so we can follow the Speed-to-Lead process correctly and avoid misrouting or lead leakage.</t>
  </si>
  <si>
    <t>• Deliver a live HubSpot training session for Inside Sales focused on the qualification and routing tools built in this engagement
• Train users on where scored leads appear in HubSpot and how to work them using the qualification properties (vertical, project value, discovery details, Tier determination)
• Demonstrate how qualification inputs feed the automated routing logic (i.e., what happens when fields are updated)
• Show Inside Sales how to identify leads that remain owned by them (Tier 3 and Unknown) and how to create and work deals in HubSpot</t>
  </si>
  <si>
    <t>• Training covers HubSpot usage only—A8 does not provide sales methodology, discovery coaching, objection handling, or training on any external tools
• A8 provides one virtual session (recorded); additional sessions must be scoped separately
• Taoglas is responsible for ensuring attendance and internal adoption of the training content
• Training covers the tools and workflows created in this engagement
• HubSpot onboarding, CRM basics, or non–Speed-to-Lead training topics must be scoped separately</t>
  </si>
  <si>
    <t>Flex Hours</t>
  </si>
  <si>
    <t xml:space="preserve">Taoglas needs additional consulting capacity to take advantage of quick win opportunities in their current HubSpot instance. </t>
  </si>
  <si>
    <t xml:space="preserve">• Hours may be used to supplement any of the above customer stories. </t>
  </si>
  <si>
    <t>• Hours must be used for this scope of work and do not roll over to any subsequent projects</t>
  </si>
  <si>
    <t>Configuration</t>
  </si>
  <si>
    <t>Value</t>
  </si>
  <si>
    <t>Description</t>
  </si>
  <si>
    <t>HubSpot Property</t>
  </si>
  <si>
    <t>GDrive + Deal Inputs</t>
  </si>
  <si>
    <t>Company Name</t>
  </si>
  <si>
    <t>Taoglas</t>
  </si>
  <si>
    <t>Client company name for proposals</t>
  </si>
  <si>
    <t>Google Folder</t>
  </si>
  <si>
    <t>Needs to be manually input for the time being, will be set by the Pipedream automation</t>
  </si>
  <si>
    <t>Deal Record ID</t>
  </si>
  <si>
    <t>HubSpot deal record ID, needs to be manually input for the time being, will be set by the Pipedream automation</t>
  </si>
  <si>
    <t>Last Sync to HubSpot</t>
  </si>
  <si>
    <t>The last time the story doc was sync'd to the HubSpot deal record</t>
  </si>
  <si>
    <t>Solutions Architect</t>
  </si>
  <si>
    <t>SA assigned to this project</t>
  </si>
  <si>
    <t>Scoping Status</t>
  </si>
  <si>
    <t>SA Building</t>
  </si>
  <si>
    <t>scoping_status</t>
  </si>
  <si>
    <t>Project ID</t>
  </si>
  <si>
    <t>------</t>
  </si>
  <si>
    <t>TBD on usage to facilitate project creation</t>
  </si>
  <si>
    <t>Client HTML Page</t>
  </si>
  <si>
    <t>Client Page URL</t>
  </si>
  <si>
    <t>https://script.google.com/macros/s/AKfycbzGfZXXrB8GB7kt-FSeTA8sL0Rw3BzaXwifNA9CDpjsqe8NBn4EL159NLqLBYwGjqUw/exec?sheetId=1Rv87qq0mva5T4EEFp-Cnvy8NeE5SDgMmX41OR8i6z2I</t>
  </si>
  <si>
    <t>The URL of the page that will be shared in Trumpet</t>
  </si>
  <si>
    <t>customer_stories_client_url</t>
  </si>
  <si>
    <t>Last Client Page URL Generated</t>
  </si>
  <si>
    <t>The last time you created/updated a URL so we can understand deployment app versions</t>
  </si>
  <si>
    <t>Client Page Status</t>
  </si>
  <si>
    <t>Final Presentation</t>
  </si>
  <si>
    <t>Determines page status for the shared link</t>
  </si>
  <si>
    <t>NOW Project</t>
  </si>
  <si>
    <t>Hourly Project Rate</t>
  </si>
  <si>
    <t>Standard hourly rate for most services</t>
  </si>
  <si>
    <t>project_hourly_rate</t>
  </si>
  <si>
    <t>Project Management Factor</t>
  </si>
  <si>
    <t>Percentage markup for project management</t>
  </si>
  <si>
    <t>Project Management Content</t>
  </si>
  <si>
    <t xml:space="preserve">To support management and communication, a project manager and delivery lead will own all A8 tasks and clearly communicate needs.
- Visibility to budget spend will be provided during the duration of the project
- A8 will provide check-in agenda items and follow-ups
- [Company] to communicate to A8's shared inbox for easier collaboration and timely responses
- [Company] driven delay will result in additional PM time billed to manage timeline
</t>
  </si>
  <si>
    <t>Description text for the PM section. editable by you.</t>
  </si>
  <si>
    <t>SA Expected Start Date</t>
  </si>
  <si>
    <t>Project start date</t>
  </si>
  <si>
    <t>Total Project Months</t>
  </si>
  <si>
    <t>Expected project duration</t>
  </si>
  <si>
    <t>project_duration</t>
  </si>
  <si>
    <t>NEXT Support Retainer</t>
  </si>
  <si>
    <t>Post-Launch Hourly Rate</t>
  </si>
  <si>
    <t>Post-launch rate, a zero here will hide the workstream/section</t>
  </si>
  <si>
    <t>retainer_hourly_rate</t>
  </si>
  <si>
    <t>Post-Launch Hours Per Month</t>
  </si>
  <si>
    <t>Post-launch hours per month, a zero here will hide the workstream/section</t>
  </si>
  <si>
    <t>retainer_hours_per_month_sold</t>
  </si>
  <si>
    <t>Post-Launch # of Months</t>
  </si>
  <si>
    <t>Post-launch months, a zero here will hide the workstream/section</t>
  </si>
  <si>
    <t>retainer_months_sold</t>
  </si>
  <si>
    <t>Post-Launch Support Content</t>
  </si>
  <si>
    <t>Hours dedicated to post go-live support. These hours can be used for anything HubSpot related (reporting, training, iterations, additional asks, etc.)</t>
  </si>
  <si>
    <t>Description text for the post-launch section</t>
  </si>
  <si>
    <t>Additional Notes + Considerations</t>
  </si>
  <si>
    <t>Additional Notes</t>
  </si>
  <si>
    <t>- The assumptions content in this scope is based on information and discovery during the sales evaluation and is subject to change during the project if additional challenges or barriers are discovered.
- A8 is a Time &amp; Materials agency, we will provide transparent budget tracking throughout the project and change orders will require approvals. 
- We interchange between A8 and Aptitude 8 in this document.</t>
  </si>
  <si>
    <t>Description text for below the investment summaries, but above the later phase workstreams</t>
  </si>
  <si>
    <t>Calculated Project Details</t>
  </si>
  <si>
    <t>Total Service Hours Hours</t>
  </si>
  <si>
    <t>Total amount of Input rows</t>
  </si>
  <si>
    <t>Total Project Management Hours</t>
  </si>
  <si>
    <t>Based on PM % in Config Sheet</t>
  </si>
  <si>
    <t>Total Project Hours Sold</t>
  </si>
  <si>
    <t>Service + PM</t>
  </si>
  <si>
    <t>project_hours_sold</t>
  </si>
  <si>
    <t>Total Retainer Hours Sold</t>
  </si>
  <si>
    <t>Total Engagement Hours Sold</t>
  </si>
  <si>
    <t>This should match exactly to the investment block on the HTML Page</t>
  </si>
  <si>
    <t>sold_hours</t>
  </si>
  <si>
    <t>Deal Amount</t>
  </si>
  <si>
    <t>amount</t>
  </si>
  <si>
    <t>Expected End Date</t>
  </si>
  <si>
    <t>Expected Project Hours/Month</t>
  </si>
  <si>
    <t>Linear Expected Project Hours/Week</t>
  </si>
  <si>
    <t>Peak Project Expected Hours/Week</t>
  </si>
  <si>
    <t>Low Project Expected Hours/Week</t>
  </si>
  <si>
    <t>Dev Work Percentage</t>
  </si>
  <si>
    <t>dev_work_pct</t>
  </si>
  <si>
    <t>SE Work Percentage</t>
  </si>
  <si>
    <t>se_work_pct</t>
  </si>
  <si>
    <t>Calculated Function Summary</t>
  </si>
  <si>
    <t>Sum of Hours</t>
  </si>
  <si>
    <t>Percent of</t>
  </si>
  <si>
    <t>Development</t>
  </si>
  <si>
    <t>Project Management</t>
  </si>
  <si>
    <t>Strategy</t>
  </si>
  <si>
    <t>Sum of Function-Based Hours</t>
  </si>
  <si>
    <t>Calculated Ranges</t>
  </si>
  <si>
    <t>Low Hours</t>
  </si>
  <si>
    <t>High Hours</t>
  </si>
  <si>
    <t>Project Service Estimates:</t>
  </si>
  <si>
    <t>Project Management:</t>
  </si>
  <si>
    <t>Post-Project Support:</t>
  </si>
  <si>
    <t>Hour Estimates:</t>
  </si>
  <si>
    <t>Investment Ranges:</t>
  </si>
  <si>
    <t>SOW Summarized Line Items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</si>
</sst>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mm/dd/yyyy, h:mm:ss am/pm"/>
    <numFmt numFmtId="166" formatCode="M/d/yyyy H:mm:ss"/>
    <numFmt numFmtId="167" formatCode="m/d/yyyy"/>
    <numFmt numFmtId="168" formatCode="&quot;$&quot;#,##0.00"/>
  </numFmts>
  <fonts count="12">
    <font>
      <sz val="10.0"/>
      <color rgb="FF000000"/>
      <name val="Arial"/>
      <scheme val="minor"/>
    </font>
    <font>
      <b/>
      <color theme="1"/>
      <name val="Arial"/>
    </font>
    <font>
      <b/>
      <color rgb="FF000000"/>
      <name val="Arial"/>
    </font>
    <font>
      <color theme="1"/>
      <name val="Arial"/>
    </font>
    <font>
      <color theme="1"/>
      <name val="Arial"/>
      <scheme val="minor"/>
    </font>
    <font>
      <b/>
      <sz val="12.0"/>
      <color theme="1"/>
      <name val="Rubik"/>
    </font>
    <font>
      <b/>
      <color theme="1"/>
      <name val="Rubik"/>
    </font>
    <font>
      <i/>
      <color rgb="FF999999"/>
      <name val="Rubik"/>
    </font>
    <font>
      <color theme="1"/>
      <name val="Rubik"/>
    </font>
    <font>
      <color rgb="FFB7B7B7"/>
      <name val="Rubik"/>
    </font>
    <font>
      <u/>
      <color rgb="FF0000FF"/>
      <name val="Arial"/>
    </font>
    <font>
      <color rgb="FF999999"/>
      <name val="Rubik"/>
    </font>
  </fonts>
  <fills count="6">
    <fill>
      <patternFill patternType="none"/>
    </fill>
    <fill>
      <patternFill patternType="lightGray"/>
    </fill>
    <fill>
      <patternFill patternType="solid">
        <fgColor rgb="FFFBBC04"/>
        <bgColor rgb="FFFBBC04"/>
      </patternFill>
    </fill>
    <fill>
      <patternFill patternType="solid">
        <fgColor rgb="FFCCCCCC"/>
        <bgColor rgb="FFCCCCCC"/>
      </patternFill>
    </fill>
    <fill>
      <patternFill patternType="solid">
        <fgColor rgb="FFB7B7B7"/>
        <bgColor rgb="FFB7B7B7"/>
      </patternFill>
    </fill>
    <fill>
      <patternFill patternType="solid">
        <fgColor rgb="FFF3F3F3"/>
        <bgColor rgb="FFF3F3F3"/>
      </patternFill>
    </fill>
  </fills>
  <borders count="2">
    <border/>
    <border>
      <top style="medium">
        <color rgb="FF000000"/>
      </top>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1" numFmtId="1" xfId="0" applyAlignment="1" applyFont="1" applyNumberFormat="1">
      <alignment horizontal="center" shrinkToFit="0" vertical="center" wrapText="1"/>
    </xf>
    <xf borderId="0" fillId="3" fontId="2" numFmtId="49" xfId="0" applyAlignment="1" applyFill="1" applyFont="1" applyNumberFormat="1">
      <alignment horizontal="center" shrinkToFit="0" vertical="center" wrapText="1"/>
    </xf>
    <xf borderId="0" fillId="2" fontId="1" numFmtId="0" xfId="0" applyAlignment="1" applyFont="1">
      <alignment readingOrder="0" shrinkToFit="0" vertical="center" wrapText="1"/>
    </xf>
    <xf borderId="0" fillId="2" fontId="1" numFmtId="0" xfId="0" applyAlignment="1" applyFont="1">
      <alignment horizontal="left" shrinkToFit="0" vertical="center" wrapText="1"/>
    </xf>
    <xf borderId="0" fillId="3" fontId="2" numFmtId="0" xfId="0" applyAlignment="1" applyFont="1">
      <alignment shrinkToFit="0" vertical="center" wrapText="1"/>
    </xf>
    <xf borderId="0" fillId="3" fontId="2" numFmtId="0" xfId="0" applyAlignment="1" applyFont="1">
      <alignment horizontal="left" readingOrder="0" shrinkToFit="0" vertical="center" wrapText="1"/>
    </xf>
    <xf borderId="0" fillId="0" fontId="3" numFmtId="0" xfId="0" applyAlignment="1" applyFont="1">
      <alignment readingOrder="0" vertical="center"/>
    </xf>
    <xf borderId="0" fillId="0" fontId="1"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1" xfId="0" applyAlignment="1" applyFont="1" applyNumberFormat="1">
      <alignment horizontal="center" readingOrder="0" vertical="center"/>
    </xf>
    <xf borderId="0" fillId="0" fontId="3" numFmtId="49" xfId="0" applyAlignment="1" applyFont="1" applyNumberFormat="1">
      <alignment horizontal="center" vertical="center"/>
    </xf>
    <xf borderId="0" fillId="0" fontId="3" numFmtId="0" xfId="0" applyAlignment="1" applyFont="1">
      <alignment horizontal="left" readingOrder="0" shrinkToFit="0" vertical="center" wrapText="1"/>
    </xf>
    <xf borderId="0" fillId="0" fontId="3" numFmtId="0" xfId="0" applyAlignment="1" applyFont="1">
      <alignment vertical="center"/>
    </xf>
    <xf borderId="0" fillId="0" fontId="3" numFmtId="0" xfId="0" applyAlignment="1" applyFont="1">
      <alignment horizontal="left" readingOrder="0" vertical="center"/>
    </xf>
    <xf borderId="0" fillId="0" fontId="4" numFmtId="0" xfId="0" applyAlignment="1" applyFont="1">
      <alignment readingOrder="0" shrinkToFit="0" vertical="center" wrapText="1"/>
    </xf>
    <xf borderId="0" fillId="0" fontId="4" numFmtId="0" xfId="0" applyAlignment="1" applyFont="1">
      <alignment readingOrder="0" vertical="center"/>
    </xf>
    <xf borderId="0" fillId="0" fontId="4" numFmtId="0" xfId="0" applyAlignment="1" applyFont="1">
      <alignment vertical="center"/>
    </xf>
    <xf borderId="0" fillId="0" fontId="3" numFmtId="0" xfId="0" applyAlignment="1" applyFont="1">
      <alignment horizontal="center" readingOrder="0" vertical="center"/>
    </xf>
    <xf borderId="0" fillId="0" fontId="4" numFmtId="0" xfId="0" applyAlignment="1" applyFont="1">
      <alignment shrinkToFit="0" vertical="center" wrapText="1"/>
    </xf>
    <xf borderId="0" fillId="0" fontId="3" numFmtId="0" xfId="0" applyAlignment="1" applyFont="1">
      <alignment horizontal="left" vertical="center"/>
    </xf>
    <xf borderId="0" fillId="0" fontId="4" numFmtId="0" xfId="0" applyAlignment="1" applyFont="1">
      <alignment horizontal="center" readingOrder="0" vertical="center"/>
    </xf>
    <xf borderId="0" fillId="0" fontId="4" numFmtId="0" xfId="0" applyAlignment="1" applyFont="1">
      <alignment horizontal="center" vertical="center"/>
    </xf>
    <xf borderId="0" fillId="0" fontId="4" numFmtId="0" xfId="0" applyAlignment="1" applyFont="1">
      <alignment horizontal="left" vertical="center"/>
    </xf>
    <xf borderId="0" fillId="0" fontId="4" numFmtId="49" xfId="0" applyAlignment="1" applyFont="1" applyNumberFormat="1">
      <alignment horizontal="center" vertical="center"/>
    </xf>
    <xf borderId="0" fillId="2" fontId="5" numFmtId="0" xfId="0" applyAlignment="1" applyFont="1">
      <alignment horizontal="center" vertical="bottom"/>
    </xf>
    <xf borderId="0" fillId="4" fontId="5" numFmtId="0" xfId="0" applyAlignment="1" applyFill="1" applyFont="1">
      <alignment horizontal="right" readingOrder="0" vertical="center"/>
    </xf>
    <xf borderId="0" fillId="4" fontId="3" numFmtId="164" xfId="0" applyAlignment="1" applyFont="1" applyNumberFormat="1">
      <alignment vertical="bottom"/>
    </xf>
    <xf borderId="0" fillId="4" fontId="3" numFmtId="0" xfId="0" applyAlignment="1" applyFont="1">
      <alignment vertical="bottom"/>
    </xf>
    <xf borderId="0" fillId="0" fontId="6" numFmtId="0" xfId="0" applyAlignment="1" applyFont="1">
      <alignment horizontal="right" vertical="center"/>
    </xf>
    <xf borderId="0" fillId="0" fontId="3" numFmtId="0" xfId="0" applyAlignment="1" applyFont="1">
      <alignment readingOrder="0" vertical="bottom"/>
    </xf>
    <xf borderId="0" fillId="0" fontId="7" numFmtId="0" xfId="0" applyAlignment="1" applyFont="1">
      <alignment shrinkToFit="0" vertical="bottom" wrapText="1"/>
    </xf>
    <xf borderId="0" fillId="0" fontId="3" numFmtId="0" xfId="0" applyAlignment="1" applyFont="1">
      <alignment vertical="bottom"/>
    </xf>
    <xf borderId="0" fillId="0" fontId="6" numFmtId="0" xfId="0" applyAlignment="1" applyFont="1">
      <alignment horizontal="right" vertical="center"/>
    </xf>
    <xf borderId="0" fillId="0" fontId="3" numFmtId="0" xfId="0" applyAlignment="1" applyFont="1">
      <alignment vertical="bottom"/>
    </xf>
    <xf borderId="0" fillId="0" fontId="7" numFmtId="0" xfId="0" applyAlignment="1" applyFont="1">
      <alignment shrinkToFit="0" vertical="bottom" wrapText="1"/>
    </xf>
    <xf borderId="0" fillId="0" fontId="3" numFmtId="165" xfId="0" applyAlignment="1" applyFont="1" applyNumberFormat="1">
      <alignment readingOrder="0" vertical="bottom"/>
    </xf>
    <xf borderId="0" fillId="0" fontId="6" numFmtId="0" xfId="0" applyAlignment="1" applyFont="1">
      <alignment horizontal="right"/>
    </xf>
    <xf borderId="0" fillId="0" fontId="3" numFmtId="165" xfId="0" applyFont="1" applyNumberFormat="1"/>
    <xf borderId="0" fillId="0" fontId="8" numFmtId="0" xfId="0" applyAlignment="1" applyFont="1">
      <alignment horizontal="center" readingOrder="0"/>
    </xf>
    <xf borderId="0" fillId="0" fontId="9" numFmtId="0" xfId="0" applyAlignment="1" applyFont="1">
      <alignment horizontal="right" vertical="bottom"/>
    </xf>
    <xf borderId="0" fillId="0" fontId="8" numFmtId="165" xfId="0" applyAlignment="1" applyFont="1" applyNumberFormat="1">
      <alignment horizontal="center"/>
    </xf>
    <xf borderId="0" fillId="0" fontId="3" numFmtId="0" xfId="0" applyAlignment="1" applyFont="1">
      <alignment vertical="center"/>
    </xf>
    <xf borderId="0" fillId="0" fontId="3" numFmtId="165" xfId="0" applyAlignment="1" applyFont="1" applyNumberFormat="1">
      <alignment vertical="bottom"/>
    </xf>
    <xf borderId="0" fillId="0" fontId="10" numFmtId="0" xfId="0" applyAlignment="1" applyFont="1">
      <alignment readingOrder="0" vertical="bottom"/>
    </xf>
    <xf borderId="0" fillId="0" fontId="9" numFmtId="0" xfId="0" applyAlignment="1" applyFont="1">
      <alignment horizontal="right" vertical="bottom"/>
    </xf>
    <xf borderId="0" fillId="0" fontId="3" numFmtId="166" xfId="0" applyAlignment="1" applyFont="1" applyNumberFormat="1">
      <alignment readingOrder="0" vertical="bottom"/>
    </xf>
    <xf borderId="0" fillId="4" fontId="5" numFmtId="0" xfId="0" applyAlignment="1" applyFont="1">
      <alignment horizontal="right" vertical="center"/>
    </xf>
    <xf borderId="0" fillId="0" fontId="8" numFmtId="164" xfId="0" applyAlignment="1" applyFont="1" applyNumberFormat="1">
      <alignment horizontal="right" vertical="bottom"/>
    </xf>
    <xf borderId="0" fillId="0" fontId="8" numFmtId="9" xfId="0" applyAlignment="1" applyFont="1" applyNumberFormat="1">
      <alignment horizontal="right" readingOrder="0" vertical="bottom"/>
    </xf>
    <xf borderId="0" fillId="0" fontId="8" numFmtId="0" xfId="0" applyAlignment="1" applyFont="1">
      <alignment shrinkToFit="0" wrapText="1"/>
    </xf>
    <xf borderId="0" fillId="0" fontId="7" numFmtId="0" xfId="0" applyAlignment="1" applyFont="1">
      <alignment shrinkToFit="0" wrapText="1"/>
    </xf>
    <xf borderId="0" fillId="0" fontId="3" numFmtId="0" xfId="0" applyFont="1"/>
    <xf borderId="0" fillId="0" fontId="8" numFmtId="167" xfId="0" applyAlignment="1" applyFont="1" applyNumberFormat="1">
      <alignment horizontal="right" readingOrder="0" vertical="bottom"/>
    </xf>
    <xf borderId="0" fillId="0" fontId="8" numFmtId="0" xfId="0" applyAlignment="1" applyFont="1">
      <alignment horizontal="right" readingOrder="0" vertical="bottom"/>
    </xf>
    <xf borderId="0" fillId="0" fontId="8" numFmtId="164" xfId="0" applyAlignment="1" applyFont="1" applyNumberFormat="1">
      <alignment horizontal="right" readingOrder="0" vertical="bottom"/>
    </xf>
    <xf borderId="0" fillId="0" fontId="7" numFmtId="0" xfId="0" applyAlignment="1" applyFont="1">
      <alignment shrinkToFit="0" wrapText="1"/>
    </xf>
    <xf borderId="0" fillId="4" fontId="5" numFmtId="0" xfId="0" applyAlignment="1" applyFont="1">
      <alignment vertical="center"/>
    </xf>
    <xf borderId="0" fillId="0" fontId="6" numFmtId="0" xfId="0" applyAlignment="1" applyFont="1">
      <alignment horizontal="right" shrinkToFit="0" vertical="center" wrapText="1"/>
    </xf>
    <xf borderId="0" fillId="0" fontId="8" numFmtId="0" xfId="0" applyAlignment="1" applyFont="1">
      <alignment shrinkToFit="0" vertical="bottom" wrapText="1"/>
    </xf>
    <xf borderId="0" fillId="2" fontId="8" numFmtId="0" xfId="0" applyAlignment="1" applyFont="1">
      <alignment vertical="bottom"/>
    </xf>
    <xf borderId="0" fillId="0" fontId="8" numFmtId="0" xfId="0" applyAlignment="1" applyFont="1">
      <alignment vertical="bottom"/>
    </xf>
    <xf borderId="1" fillId="3" fontId="5" numFmtId="0" xfId="0" applyAlignment="1" applyBorder="1" applyFont="1">
      <alignment vertical="bottom"/>
    </xf>
    <xf borderId="1" fillId="3" fontId="8" numFmtId="0" xfId="0" applyAlignment="1" applyBorder="1" applyFont="1">
      <alignment vertical="bottom"/>
    </xf>
    <xf borderId="0" fillId="0" fontId="6" numFmtId="0" xfId="0" applyAlignment="1" applyFont="1">
      <alignment horizontal="right" vertical="bottom"/>
    </xf>
    <xf borderId="0" fillId="0" fontId="8" numFmtId="0" xfId="0" applyAlignment="1" applyFont="1">
      <alignment horizontal="center" vertical="bottom"/>
    </xf>
    <xf borderId="0" fillId="0" fontId="8" numFmtId="0" xfId="0" applyAlignment="1" applyFont="1">
      <alignment vertical="bottom"/>
    </xf>
    <xf borderId="0" fillId="0" fontId="11" numFmtId="0" xfId="0" applyAlignment="1" applyFont="1">
      <alignment horizontal="right" vertical="bottom"/>
    </xf>
    <xf borderId="0" fillId="0" fontId="8" numFmtId="0" xfId="0" applyAlignment="1" applyFont="1">
      <alignment horizontal="center" vertical="bottom"/>
    </xf>
    <xf borderId="0" fillId="0" fontId="8" numFmtId="168" xfId="0" applyAlignment="1" applyFont="1" applyNumberFormat="1">
      <alignment horizontal="center" vertical="bottom"/>
    </xf>
    <xf borderId="0" fillId="0" fontId="8" numFmtId="14" xfId="0" applyAlignment="1" applyFont="1" applyNumberFormat="1">
      <alignment horizontal="center" vertical="bottom"/>
    </xf>
    <xf borderId="0" fillId="0" fontId="8" numFmtId="9" xfId="0" applyAlignment="1" applyFont="1" applyNumberFormat="1">
      <alignment horizontal="center" vertical="bottom"/>
    </xf>
    <xf borderId="0" fillId="5" fontId="8" numFmtId="0" xfId="0" applyAlignment="1" applyFill="1" applyFont="1">
      <alignment vertical="bottom"/>
    </xf>
    <xf borderId="0" fillId="5" fontId="6" numFmtId="0" xfId="0" applyAlignment="1" applyFont="1">
      <alignment horizontal="center" vertical="bottom"/>
    </xf>
    <xf borderId="0" fillId="0" fontId="8" numFmtId="1" xfId="0" applyAlignment="1" applyFont="1" applyNumberFormat="1">
      <alignment horizontal="center" vertical="bottom"/>
    </xf>
    <xf borderId="0" fillId="0" fontId="8" numFmtId="1" xfId="0" applyAlignment="1" applyFont="1" applyNumberFormat="1">
      <alignment vertical="bottom"/>
    </xf>
    <xf borderId="0" fillId="0" fontId="8" numFmtId="9" xfId="0" applyAlignment="1" applyFont="1" applyNumberFormat="1">
      <alignment vertical="bottom"/>
    </xf>
    <xf borderId="1" fillId="3" fontId="5" numFmtId="0" xfId="0" applyAlignment="1" applyBorder="1" applyFont="1">
      <alignment horizontal="center" shrinkToFit="0" vertical="bottom" wrapText="0"/>
    </xf>
    <xf borderId="1" fillId="3" fontId="5" numFmtId="0" xfId="0" applyAlignment="1" applyBorder="1" applyFont="1">
      <alignment horizontal="center" vertical="bottom"/>
    </xf>
    <xf borderId="0" fillId="0" fontId="8" numFmtId="0" xfId="0" applyAlignment="1" applyFont="1">
      <alignment horizontal="center" shrinkToFit="0" vertical="bottom" wrapText="0"/>
    </xf>
    <xf borderId="0" fillId="0" fontId="8" numFmtId="0" xfId="0" applyAlignment="1" applyFont="1">
      <alignment horizontal="center" shrinkToFit="0" vertical="bottom" wrapText="0"/>
    </xf>
    <xf borderId="0" fillId="0" fontId="8" numFmtId="164" xfId="0" applyAlignment="1" applyFont="1" applyNumberFormat="1">
      <alignment horizontal="center" shrinkToFit="0" vertical="bottom" wrapText="0"/>
    </xf>
    <xf borderId="0" fillId="0" fontId="8" numFmtId="10" xfId="0" applyAlignment="1" applyFont="1" applyNumberFormat="1">
      <alignment vertical="bottom"/>
    </xf>
    <xf borderId="0" fillId="0" fontId="8" numFmtId="3" xfId="0" applyAlignment="1" applyFont="1" applyNumberFormat="1">
      <alignment vertical="bottom"/>
    </xf>
    <xf borderId="0" fillId="0" fontId="6" numFmtId="0" xfId="0" applyAlignment="1" applyFont="1">
      <alignment shrinkToFit="0" vertical="bottom" wrapText="0"/>
    </xf>
    <xf borderId="0" fillId="0" fontId="6" numFmtId="0" xfId="0" applyAlignment="1" applyFont="1">
      <alignment horizontal="center" shrinkToFit="0" vertical="bottom" wrapText="0"/>
    </xf>
    <xf borderId="0" fillId="0" fontId="6" numFmtId="164" xfId="0" applyAlignment="1" applyFont="1" applyNumberFormat="1">
      <alignment horizontal="center" vertical="bottom"/>
    </xf>
    <xf borderId="0" fillId="0" fontId="8" numFmtId="164" xfId="0" applyAlignment="1" applyFont="1" applyNumberFormat="1">
      <alignment horizontal="center" vertical="bottom"/>
    </xf>
    <xf borderId="0" fillId="0" fontId="8" numFmtId="164" xfId="0" applyAlignment="1" applyFont="1" applyNumberFormat="1">
      <alignment vertical="bottom"/>
    </xf>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cript.google.com/macros/s/AKfycbzGfZXXrB8GB7kt-FSeTA8sL0Rw3BzaXwifNA9CDpjsqe8NBn4EL159NLqLBYwGjqUw/exec?sheetId=1Rv87qq0mva5T4EEFp-Cnvy8NeE5SDgMmX41OR8i6z2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38"/>
    <col customWidth="1" min="3" max="3" width="23.88"/>
    <col customWidth="1" min="4" max="4" width="38.0"/>
    <col customWidth="1" min="5" max="5" width="43.0"/>
    <col customWidth="1" min="6" max="6" width="40.0"/>
    <col customWidth="1" min="7" max="9" width="10.38"/>
    <col customWidth="1" min="10" max="10" width="10.5"/>
    <col customWidth="1" min="11" max="11" width="15.75"/>
    <col customWidth="1" min="12" max="12" width="6.63"/>
    <col customWidth="1" min="13" max="13" width="7.38"/>
    <col customWidth="1" min="14" max="15" width="26.0"/>
    <col customWidth="1" min="16" max="16" width="20.13"/>
  </cols>
  <sheetData>
    <row r="1">
      <c r="A1" s="1" t="s">
        <v>0</v>
      </c>
      <c r="B1" s="1" t="s">
        <v>1</v>
      </c>
      <c r="C1" s="1" t="s">
        <v>2</v>
      </c>
      <c r="D1" s="1" t="s">
        <v>3</v>
      </c>
      <c r="E1" s="1" t="s">
        <v>4</v>
      </c>
      <c r="F1" s="1" t="s">
        <v>5</v>
      </c>
      <c r="G1" s="2" t="s">
        <v>6</v>
      </c>
      <c r="H1" s="2" t="s">
        <v>7</v>
      </c>
      <c r="I1" s="3" t="s">
        <v>8</v>
      </c>
      <c r="J1" s="4" t="s">
        <v>9</v>
      </c>
      <c r="K1" s="5" t="s">
        <v>10</v>
      </c>
      <c r="L1" s="6" t="s">
        <v>11</v>
      </c>
      <c r="M1" s="7" t="s">
        <v>12</v>
      </c>
      <c r="N1" s="4" t="s">
        <v>13</v>
      </c>
      <c r="O1" s="4" t="s">
        <v>14</v>
      </c>
      <c r="P1" s="4"/>
    </row>
    <row r="2" ht="147.0" customHeight="1">
      <c r="A2" s="8" t="s">
        <v>15</v>
      </c>
      <c r="B2" s="9" t="s">
        <v>16</v>
      </c>
      <c r="C2" s="10" t="s">
        <v>17</v>
      </c>
      <c r="D2" s="10" t="s">
        <v>18</v>
      </c>
      <c r="E2" s="11" t="s">
        <v>19</v>
      </c>
      <c r="F2" s="11" t="s">
        <v>20</v>
      </c>
      <c r="G2" s="12">
        <v>18.0</v>
      </c>
      <c r="H2" s="12">
        <v>22.0</v>
      </c>
      <c r="I2" s="13">
        <f t="shared" ref="I2:I14" si="1">IF(AND(G2&lt;&gt;"",H2&lt;&gt;""),ROUNDUP(AVERAGE(G2:H2),0),"")</f>
        <v>20</v>
      </c>
      <c r="J2" s="8" t="b">
        <v>0</v>
      </c>
      <c r="K2" s="14" t="s">
        <v>21</v>
      </c>
      <c r="L2" s="15"/>
      <c r="M2" s="16"/>
      <c r="N2" s="17"/>
      <c r="O2" s="18"/>
      <c r="P2" s="18"/>
    </row>
    <row r="3" ht="159.0" customHeight="1">
      <c r="A3" s="8" t="s">
        <v>15</v>
      </c>
      <c r="B3" s="9" t="s">
        <v>16</v>
      </c>
      <c r="C3" s="17" t="s">
        <v>22</v>
      </c>
      <c r="D3" s="17" t="s">
        <v>23</v>
      </c>
      <c r="E3" s="11" t="s">
        <v>24</v>
      </c>
      <c r="F3" s="11" t="s">
        <v>25</v>
      </c>
      <c r="G3" s="12">
        <v>40.0</v>
      </c>
      <c r="H3" s="12">
        <v>55.0</v>
      </c>
      <c r="I3" s="13">
        <f t="shared" si="1"/>
        <v>48</v>
      </c>
      <c r="J3" s="8" t="b">
        <v>0</v>
      </c>
      <c r="K3" s="14" t="s">
        <v>21</v>
      </c>
      <c r="L3" s="15"/>
      <c r="M3" s="16"/>
      <c r="N3" s="17"/>
      <c r="O3" s="19"/>
      <c r="P3" s="19"/>
    </row>
    <row r="4" ht="165.75" customHeight="1">
      <c r="A4" s="8" t="s">
        <v>15</v>
      </c>
      <c r="B4" s="9" t="s">
        <v>16</v>
      </c>
      <c r="C4" s="11" t="s">
        <v>26</v>
      </c>
      <c r="D4" s="11" t="s">
        <v>27</v>
      </c>
      <c r="E4" s="11" t="s">
        <v>28</v>
      </c>
      <c r="F4" s="11" t="s">
        <v>29</v>
      </c>
      <c r="G4" s="20">
        <v>2.0</v>
      </c>
      <c r="H4" s="20">
        <v>4.0</v>
      </c>
      <c r="I4" s="13">
        <f t="shared" si="1"/>
        <v>3</v>
      </c>
      <c r="J4" s="8" t="b">
        <v>0</v>
      </c>
      <c r="K4" s="14" t="s">
        <v>21</v>
      </c>
      <c r="L4" s="15"/>
      <c r="M4" s="16"/>
      <c r="N4" s="21"/>
      <c r="O4" s="19"/>
      <c r="P4" s="19"/>
    </row>
    <row r="5" ht="159.0" customHeight="1">
      <c r="A5" s="8" t="s">
        <v>15</v>
      </c>
      <c r="B5" s="9" t="s">
        <v>30</v>
      </c>
      <c r="C5" s="17" t="s">
        <v>31</v>
      </c>
      <c r="D5" s="17" t="s">
        <v>32</v>
      </c>
      <c r="E5" s="11" t="s">
        <v>33</v>
      </c>
      <c r="F5" s="11" t="s">
        <v>34</v>
      </c>
      <c r="G5" s="12">
        <v>15.0</v>
      </c>
      <c r="H5" s="12">
        <v>30.0</v>
      </c>
      <c r="I5" s="13">
        <f t="shared" si="1"/>
        <v>23</v>
      </c>
      <c r="J5" s="8" t="b">
        <v>0</v>
      </c>
      <c r="K5" s="14" t="s">
        <v>21</v>
      </c>
      <c r="L5" s="15"/>
      <c r="M5" s="16"/>
      <c r="N5" s="17"/>
      <c r="O5" s="19"/>
      <c r="P5" s="19"/>
    </row>
    <row r="6" ht="159.0" customHeight="1">
      <c r="A6" s="8" t="s">
        <v>15</v>
      </c>
      <c r="B6" s="9" t="s">
        <v>30</v>
      </c>
      <c r="C6" s="17" t="s">
        <v>35</v>
      </c>
      <c r="D6" s="17" t="s">
        <v>36</v>
      </c>
      <c r="E6" s="11" t="s">
        <v>37</v>
      </c>
      <c r="F6" s="11" t="s">
        <v>38</v>
      </c>
      <c r="G6" s="12">
        <v>15.0</v>
      </c>
      <c r="H6" s="12">
        <v>25.0</v>
      </c>
      <c r="I6" s="13">
        <f t="shared" si="1"/>
        <v>20</v>
      </c>
      <c r="J6" s="8" t="b">
        <v>0</v>
      </c>
      <c r="K6" s="14" t="s">
        <v>21</v>
      </c>
      <c r="L6" s="15"/>
      <c r="M6" s="16"/>
      <c r="N6" s="17"/>
      <c r="O6" s="19"/>
      <c r="P6" s="19"/>
    </row>
    <row r="7" ht="87.0" customHeight="1">
      <c r="A7" s="8" t="s">
        <v>15</v>
      </c>
      <c r="B7" s="9" t="s">
        <v>39</v>
      </c>
      <c r="C7" s="10" t="s">
        <v>40</v>
      </c>
      <c r="D7" s="10" t="s">
        <v>41</v>
      </c>
      <c r="E7" s="11" t="s">
        <v>42</v>
      </c>
      <c r="F7" s="11" t="s">
        <v>43</v>
      </c>
      <c r="G7" s="20">
        <v>8.0</v>
      </c>
      <c r="H7" s="20">
        <v>12.0</v>
      </c>
      <c r="I7" s="13">
        <f t="shared" si="1"/>
        <v>10</v>
      </c>
      <c r="J7" s="8" t="b">
        <v>0</v>
      </c>
      <c r="K7" s="14" t="s">
        <v>21</v>
      </c>
      <c r="L7" s="15"/>
      <c r="M7" s="16"/>
      <c r="N7" s="21"/>
      <c r="O7" s="19"/>
      <c r="P7" s="19"/>
    </row>
    <row r="8" ht="102.0" customHeight="1">
      <c r="A8" s="8" t="s">
        <v>15</v>
      </c>
      <c r="B8" s="9" t="s">
        <v>39</v>
      </c>
      <c r="C8" s="10" t="s">
        <v>44</v>
      </c>
      <c r="D8" s="10" t="s">
        <v>45</v>
      </c>
      <c r="E8" s="11" t="s">
        <v>46</v>
      </c>
      <c r="F8" s="11" t="s">
        <v>47</v>
      </c>
      <c r="G8" s="12">
        <v>5.0</v>
      </c>
      <c r="H8" s="12">
        <v>10.0</v>
      </c>
      <c r="I8" s="13">
        <f t="shared" si="1"/>
        <v>8</v>
      </c>
      <c r="J8" s="8" t="b">
        <v>0</v>
      </c>
      <c r="K8" s="14" t="s">
        <v>21</v>
      </c>
      <c r="L8" s="15"/>
      <c r="M8" s="16"/>
      <c r="N8" s="17"/>
      <c r="O8" s="19"/>
      <c r="P8" s="19"/>
    </row>
    <row r="9" ht="98.25" customHeight="1">
      <c r="A9" s="8" t="s">
        <v>15</v>
      </c>
      <c r="B9" s="9" t="s">
        <v>39</v>
      </c>
      <c r="C9" s="10" t="s">
        <v>48</v>
      </c>
      <c r="D9" s="10" t="s">
        <v>49</v>
      </c>
      <c r="E9" s="11" t="s">
        <v>50</v>
      </c>
      <c r="F9" s="11" t="s">
        <v>51</v>
      </c>
      <c r="G9" s="20">
        <v>10.0</v>
      </c>
      <c r="H9" s="20">
        <v>15.0</v>
      </c>
      <c r="I9" s="13">
        <f t="shared" si="1"/>
        <v>13</v>
      </c>
      <c r="J9" s="8" t="b">
        <v>0</v>
      </c>
      <c r="K9" s="14" t="s">
        <v>21</v>
      </c>
      <c r="L9" s="15"/>
      <c r="M9" s="22"/>
      <c r="N9" s="17"/>
      <c r="O9" s="19"/>
      <c r="P9" s="19"/>
    </row>
    <row r="10" ht="111.75" customHeight="1">
      <c r="A10" s="8" t="s">
        <v>15</v>
      </c>
      <c r="B10" s="9" t="s">
        <v>52</v>
      </c>
      <c r="C10" s="10" t="s">
        <v>53</v>
      </c>
      <c r="D10" s="10" t="s">
        <v>54</v>
      </c>
      <c r="E10" s="11" t="s">
        <v>55</v>
      </c>
      <c r="F10" s="11" t="s">
        <v>56</v>
      </c>
      <c r="G10" s="20">
        <v>8.0</v>
      </c>
      <c r="H10" s="20">
        <v>12.0</v>
      </c>
      <c r="I10" s="13">
        <f t="shared" si="1"/>
        <v>10</v>
      </c>
      <c r="J10" s="8" t="b">
        <v>0</v>
      </c>
      <c r="K10" s="14" t="s">
        <v>57</v>
      </c>
      <c r="L10" s="15"/>
      <c r="M10" s="22"/>
      <c r="N10" s="21"/>
      <c r="O10" s="19"/>
      <c r="P10" s="19"/>
    </row>
    <row r="11" ht="195.0" customHeight="1">
      <c r="A11" s="8" t="s">
        <v>15</v>
      </c>
      <c r="B11" s="9" t="s">
        <v>52</v>
      </c>
      <c r="C11" s="17" t="s">
        <v>58</v>
      </c>
      <c r="D11" s="17" t="s">
        <v>59</v>
      </c>
      <c r="E11" s="11" t="s">
        <v>60</v>
      </c>
      <c r="F11" s="11" t="s">
        <v>61</v>
      </c>
      <c r="G11" s="20">
        <v>12.0</v>
      </c>
      <c r="H11" s="20">
        <v>20.0</v>
      </c>
      <c r="I11" s="13">
        <f t="shared" si="1"/>
        <v>16</v>
      </c>
      <c r="J11" s="8" t="b">
        <v>0</v>
      </c>
      <c r="K11" s="14" t="s">
        <v>21</v>
      </c>
      <c r="L11" s="15"/>
      <c r="M11" s="22"/>
      <c r="N11" s="21"/>
      <c r="O11" s="19"/>
      <c r="P11" s="19"/>
    </row>
    <row r="12" ht="91.5" customHeight="1">
      <c r="A12" s="8" t="s">
        <v>15</v>
      </c>
      <c r="B12" s="9" t="s">
        <v>62</v>
      </c>
      <c r="C12" s="10" t="s">
        <v>63</v>
      </c>
      <c r="D12" s="10" t="s">
        <v>64</v>
      </c>
      <c r="E12" s="11" t="s">
        <v>65</v>
      </c>
      <c r="F12" s="11" t="s">
        <v>66</v>
      </c>
      <c r="G12" s="20">
        <v>10.0</v>
      </c>
      <c r="H12" s="20">
        <v>15.0</v>
      </c>
      <c r="I12" s="13">
        <f t="shared" si="1"/>
        <v>13</v>
      </c>
      <c r="J12" s="8" t="b">
        <v>0</v>
      </c>
      <c r="K12" s="14" t="s">
        <v>21</v>
      </c>
      <c r="L12" s="15"/>
      <c r="M12" s="22"/>
      <c r="N12" s="21"/>
      <c r="O12" s="19"/>
      <c r="P12" s="19"/>
    </row>
    <row r="13" ht="213.75" customHeight="1">
      <c r="A13" s="8" t="s">
        <v>15</v>
      </c>
      <c r="B13" s="9" t="s">
        <v>67</v>
      </c>
      <c r="C13" s="11" t="s">
        <v>68</v>
      </c>
      <c r="D13" s="17" t="s">
        <v>69</v>
      </c>
      <c r="E13" s="11" t="s">
        <v>70</v>
      </c>
      <c r="F13" s="11" t="s">
        <v>71</v>
      </c>
      <c r="G13" s="20">
        <v>20.0</v>
      </c>
      <c r="H13" s="20">
        <v>30.0</v>
      </c>
      <c r="I13" s="13">
        <f t="shared" si="1"/>
        <v>25</v>
      </c>
      <c r="J13" s="8" t="b">
        <v>0</v>
      </c>
      <c r="K13" s="14" t="s">
        <v>21</v>
      </c>
      <c r="L13" s="15"/>
      <c r="M13" s="22"/>
      <c r="N13" s="21"/>
      <c r="O13" s="19"/>
      <c r="P13" s="19"/>
    </row>
    <row r="14" ht="185.25" customHeight="1">
      <c r="A14" s="8" t="s">
        <v>15</v>
      </c>
      <c r="B14" s="9" t="s">
        <v>67</v>
      </c>
      <c r="C14" s="17" t="s">
        <v>72</v>
      </c>
      <c r="D14" s="11" t="s">
        <v>73</v>
      </c>
      <c r="E14" s="11" t="s">
        <v>74</v>
      </c>
      <c r="F14" s="11" t="s">
        <v>75</v>
      </c>
      <c r="G14" s="20">
        <v>4.0</v>
      </c>
      <c r="H14" s="20">
        <v>6.0</v>
      </c>
      <c r="I14" s="13">
        <f t="shared" si="1"/>
        <v>5</v>
      </c>
      <c r="J14" s="8" t="b">
        <v>0</v>
      </c>
      <c r="K14" s="14" t="s">
        <v>21</v>
      </c>
      <c r="L14" s="15"/>
      <c r="M14" s="22"/>
      <c r="N14" s="21"/>
      <c r="O14" s="19"/>
      <c r="P14" s="19"/>
    </row>
    <row r="15">
      <c r="A15" s="8" t="s">
        <v>15</v>
      </c>
      <c r="B15" s="9" t="s">
        <v>76</v>
      </c>
      <c r="C15" s="11" t="s">
        <v>76</v>
      </c>
      <c r="D15" s="11" t="s">
        <v>77</v>
      </c>
      <c r="E15" s="11" t="s">
        <v>78</v>
      </c>
      <c r="F15" s="11" t="s">
        <v>79</v>
      </c>
      <c r="G15" s="20">
        <v>12.0</v>
      </c>
      <c r="H15" s="20">
        <v>12.0</v>
      </c>
      <c r="I15" s="20">
        <v>12.0</v>
      </c>
      <c r="J15" s="8" t="b">
        <v>0</v>
      </c>
      <c r="K15" s="14" t="s">
        <v>21</v>
      </c>
      <c r="L15" s="15"/>
      <c r="M15" s="22"/>
      <c r="N15" s="21"/>
      <c r="O15" s="19"/>
      <c r="P15" s="19"/>
    </row>
    <row r="16">
      <c r="A16" s="8"/>
      <c r="B16" s="11"/>
      <c r="C16" s="11"/>
      <c r="D16" s="11"/>
      <c r="E16" s="11"/>
      <c r="F16" s="11"/>
      <c r="G16" s="20"/>
      <c r="H16" s="20"/>
      <c r="I16" s="13" t="str">
        <f t="shared" ref="I16:I133" si="2">IF(AND(G16&lt;&gt;"",H16&lt;&gt;""),ROUNDUP(AVERAGE(G16:H16),0),"")</f>
        <v/>
      </c>
      <c r="J16" s="8" t="b">
        <v>0</v>
      </c>
      <c r="K16" s="14"/>
      <c r="L16" s="15"/>
      <c r="M16" s="22"/>
      <c r="N16" s="21"/>
      <c r="O16" s="19"/>
      <c r="P16" s="19"/>
    </row>
    <row r="17">
      <c r="A17" s="8"/>
      <c r="B17" s="11"/>
      <c r="C17" s="11"/>
      <c r="D17" s="11"/>
      <c r="E17" s="11"/>
      <c r="F17" s="11"/>
      <c r="G17" s="12"/>
      <c r="H17" s="12"/>
      <c r="I17" s="13" t="str">
        <f t="shared" si="2"/>
        <v/>
      </c>
      <c r="J17" s="8" t="b">
        <v>0</v>
      </c>
      <c r="K17" s="14"/>
      <c r="L17" s="15"/>
      <c r="M17" s="22"/>
      <c r="N17" s="21"/>
      <c r="O17" s="19"/>
      <c r="P17" s="19"/>
    </row>
    <row r="18">
      <c r="A18" s="8"/>
      <c r="B18" s="17"/>
      <c r="C18" s="17"/>
      <c r="D18" s="17"/>
      <c r="E18" s="17"/>
      <c r="F18" s="17"/>
      <c r="G18" s="23"/>
      <c r="H18" s="23"/>
      <c r="I18" s="13" t="str">
        <f t="shared" si="2"/>
        <v/>
      </c>
      <c r="J18" s="8" t="b">
        <v>0</v>
      </c>
      <c r="K18" s="14"/>
      <c r="L18" s="15"/>
      <c r="M18" s="22"/>
      <c r="N18" s="21"/>
      <c r="O18" s="19"/>
      <c r="P18" s="19"/>
    </row>
    <row r="19">
      <c r="A19" s="8"/>
      <c r="B19" s="17"/>
      <c r="C19" s="17"/>
      <c r="D19" s="17"/>
      <c r="E19" s="17"/>
      <c r="F19" s="17"/>
      <c r="G19" s="23"/>
      <c r="H19" s="23"/>
      <c r="I19" s="13" t="str">
        <f t="shared" si="2"/>
        <v/>
      </c>
      <c r="J19" s="8" t="b">
        <v>0</v>
      </c>
      <c r="K19" s="14"/>
      <c r="L19" s="15"/>
      <c r="M19" s="22"/>
      <c r="N19" s="21"/>
      <c r="O19" s="19"/>
      <c r="P19" s="19"/>
    </row>
    <row r="20">
      <c r="A20" s="8"/>
      <c r="B20" s="17"/>
      <c r="C20" s="17"/>
      <c r="D20" s="17"/>
      <c r="E20" s="17"/>
      <c r="F20" s="17"/>
      <c r="G20" s="23"/>
      <c r="H20" s="23"/>
      <c r="I20" s="13" t="str">
        <f t="shared" si="2"/>
        <v/>
      </c>
      <c r="J20" s="8" t="b">
        <v>0</v>
      </c>
      <c r="K20" s="14"/>
      <c r="L20" s="15"/>
      <c r="M20" s="22"/>
      <c r="N20" s="21"/>
      <c r="O20" s="19"/>
      <c r="P20" s="19"/>
    </row>
    <row r="21">
      <c r="A21" s="8"/>
      <c r="B21" s="21"/>
      <c r="C21" s="21"/>
      <c r="D21" s="21"/>
      <c r="E21" s="21"/>
      <c r="F21" s="21"/>
      <c r="G21" s="24"/>
      <c r="H21" s="24"/>
      <c r="I21" s="13" t="str">
        <f t="shared" si="2"/>
        <v/>
      </c>
      <c r="J21" s="8" t="b">
        <v>0</v>
      </c>
      <c r="K21" s="14"/>
      <c r="L21" s="19"/>
      <c r="M21" s="25"/>
      <c r="N21" s="21"/>
      <c r="O21" s="19"/>
      <c r="P21" s="19"/>
    </row>
    <row r="22">
      <c r="A22" s="8"/>
      <c r="B22" s="21"/>
      <c r="C22" s="21"/>
      <c r="D22" s="21"/>
      <c r="E22" s="21"/>
      <c r="F22" s="21"/>
      <c r="G22" s="24"/>
      <c r="H22" s="24"/>
      <c r="I22" s="13" t="str">
        <f t="shared" si="2"/>
        <v/>
      </c>
      <c r="J22" s="8" t="b">
        <v>0</v>
      </c>
      <c r="K22" s="14"/>
      <c r="L22" s="19"/>
      <c r="M22" s="25"/>
      <c r="N22" s="21"/>
      <c r="O22" s="19"/>
      <c r="P22" s="19"/>
    </row>
    <row r="23">
      <c r="A23" s="8"/>
      <c r="B23" s="21"/>
      <c r="C23" s="21"/>
      <c r="D23" s="21"/>
      <c r="E23" s="21"/>
      <c r="F23" s="21"/>
      <c r="G23" s="24"/>
      <c r="H23" s="24"/>
      <c r="I23" s="13" t="str">
        <f t="shared" si="2"/>
        <v/>
      </c>
      <c r="J23" s="8" t="b">
        <v>0</v>
      </c>
      <c r="K23" s="14"/>
      <c r="L23" s="19"/>
      <c r="M23" s="25"/>
      <c r="N23" s="21"/>
      <c r="O23" s="19"/>
      <c r="P23" s="19"/>
    </row>
    <row r="24">
      <c r="A24" s="8"/>
      <c r="B24" s="21"/>
      <c r="C24" s="21"/>
      <c r="D24" s="21"/>
      <c r="E24" s="21"/>
      <c r="F24" s="21"/>
      <c r="G24" s="24"/>
      <c r="H24" s="24"/>
      <c r="I24" s="13" t="str">
        <f t="shared" si="2"/>
        <v/>
      </c>
      <c r="J24" s="8" t="b">
        <v>0</v>
      </c>
      <c r="K24" s="14"/>
      <c r="L24" s="19"/>
      <c r="M24" s="25"/>
      <c r="N24" s="21"/>
      <c r="O24" s="19"/>
      <c r="P24" s="19"/>
    </row>
    <row r="25">
      <c r="A25" s="8"/>
      <c r="B25" s="21"/>
      <c r="C25" s="21"/>
      <c r="D25" s="21"/>
      <c r="E25" s="21"/>
      <c r="F25" s="21"/>
      <c r="G25" s="24"/>
      <c r="H25" s="24"/>
      <c r="I25" s="13" t="str">
        <f t="shared" si="2"/>
        <v/>
      </c>
      <c r="J25" s="8" t="b">
        <v>0</v>
      </c>
      <c r="K25" s="14"/>
      <c r="L25" s="19"/>
      <c r="M25" s="25"/>
      <c r="N25" s="21"/>
      <c r="O25" s="19"/>
      <c r="P25" s="19"/>
    </row>
    <row r="26">
      <c r="A26" s="8"/>
      <c r="B26" s="21"/>
      <c r="C26" s="21"/>
      <c r="D26" s="17"/>
      <c r="E26" s="17"/>
      <c r="F26" s="17"/>
      <c r="G26" s="24"/>
      <c r="H26" s="24"/>
      <c r="I26" s="13" t="str">
        <f t="shared" si="2"/>
        <v/>
      </c>
      <c r="J26" s="8" t="b">
        <v>0</v>
      </c>
      <c r="K26" s="14"/>
      <c r="L26" s="19"/>
      <c r="M26" s="25"/>
      <c r="N26" s="21"/>
      <c r="O26" s="19"/>
      <c r="P26" s="19"/>
    </row>
    <row r="27">
      <c r="A27" s="8"/>
      <c r="B27" s="21"/>
      <c r="C27" s="21"/>
      <c r="D27" s="17"/>
      <c r="E27" s="17"/>
      <c r="F27" s="17"/>
      <c r="G27" s="24"/>
      <c r="H27" s="24"/>
      <c r="I27" s="13" t="str">
        <f t="shared" si="2"/>
        <v/>
      </c>
      <c r="J27" s="8" t="b">
        <v>0</v>
      </c>
      <c r="K27" s="14"/>
      <c r="L27" s="19"/>
      <c r="M27" s="25"/>
      <c r="N27" s="21"/>
      <c r="O27" s="19"/>
      <c r="P27" s="19"/>
    </row>
    <row r="28">
      <c r="A28" s="8"/>
      <c r="B28" s="21"/>
      <c r="C28" s="21"/>
      <c r="D28" s="17"/>
      <c r="E28" s="17"/>
      <c r="F28" s="17"/>
      <c r="G28" s="24"/>
      <c r="H28" s="24"/>
      <c r="I28" s="13" t="str">
        <f t="shared" si="2"/>
        <v/>
      </c>
      <c r="J28" s="8" t="b">
        <v>0</v>
      </c>
      <c r="K28" s="14"/>
      <c r="L28" s="19"/>
      <c r="M28" s="25"/>
      <c r="N28" s="21"/>
      <c r="O28" s="19"/>
      <c r="P28" s="19"/>
    </row>
    <row r="29">
      <c r="A29" s="8"/>
      <c r="B29" s="21"/>
      <c r="C29" s="21"/>
      <c r="D29" s="17"/>
      <c r="E29" s="17"/>
      <c r="F29" s="17"/>
      <c r="G29" s="24"/>
      <c r="H29" s="24"/>
      <c r="I29" s="13" t="str">
        <f t="shared" si="2"/>
        <v/>
      </c>
      <c r="J29" s="8" t="b">
        <v>0</v>
      </c>
      <c r="K29" s="14"/>
      <c r="L29" s="19"/>
      <c r="M29" s="25"/>
      <c r="N29" s="21"/>
      <c r="O29" s="19"/>
      <c r="P29" s="19"/>
    </row>
    <row r="30">
      <c r="A30" s="8"/>
      <c r="B30" s="21"/>
      <c r="C30" s="21"/>
      <c r="D30" s="17"/>
      <c r="E30" s="17"/>
      <c r="F30" s="17"/>
      <c r="G30" s="24"/>
      <c r="H30" s="24"/>
      <c r="I30" s="13" t="str">
        <f t="shared" si="2"/>
        <v/>
      </c>
      <c r="J30" s="8" t="b">
        <v>0</v>
      </c>
      <c r="K30" s="14"/>
      <c r="L30" s="19"/>
      <c r="M30" s="25"/>
      <c r="N30" s="21"/>
      <c r="O30" s="19"/>
      <c r="P30" s="19"/>
    </row>
    <row r="31">
      <c r="A31" s="8"/>
      <c r="B31" s="21"/>
      <c r="C31" s="21"/>
      <c r="D31" s="17"/>
      <c r="E31" s="17"/>
      <c r="F31" s="17"/>
      <c r="G31" s="24"/>
      <c r="H31" s="24"/>
      <c r="I31" s="13" t="str">
        <f t="shared" si="2"/>
        <v/>
      </c>
      <c r="J31" s="8" t="b">
        <v>0</v>
      </c>
      <c r="K31" s="14"/>
      <c r="L31" s="19"/>
      <c r="M31" s="25"/>
      <c r="N31" s="21"/>
      <c r="O31" s="19"/>
      <c r="P31" s="19"/>
    </row>
    <row r="32">
      <c r="A32" s="8"/>
      <c r="B32" s="21"/>
      <c r="C32" s="21"/>
      <c r="D32" s="17"/>
      <c r="E32" s="17"/>
      <c r="F32" s="17"/>
      <c r="G32" s="24"/>
      <c r="H32" s="24"/>
      <c r="I32" s="13" t="str">
        <f t="shared" si="2"/>
        <v/>
      </c>
      <c r="J32" s="8" t="b">
        <v>0</v>
      </c>
      <c r="K32" s="14"/>
      <c r="L32" s="19"/>
      <c r="M32" s="25"/>
      <c r="N32" s="21"/>
      <c r="O32" s="19"/>
      <c r="P32" s="19"/>
    </row>
    <row r="33">
      <c r="A33" s="8"/>
      <c r="B33" s="21"/>
      <c r="C33" s="21"/>
      <c r="D33" s="17"/>
      <c r="E33" s="17"/>
      <c r="F33" s="17"/>
      <c r="G33" s="24"/>
      <c r="H33" s="24"/>
      <c r="I33" s="13" t="str">
        <f t="shared" si="2"/>
        <v/>
      </c>
      <c r="J33" s="8" t="b">
        <v>0</v>
      </c>
      <c r="K33" s="14"/>
      <c r="L33" s="19"/>
      <c r="M33" s="25"/>
      <c r="N33" s="21"/>
      <c r="O33" s="19"/>
      <c r="P33" s="19"/>
    </row>
    <row r="34">
      <c r="A34" s="8"/>
      <c r="B34" s="21"/>
      <c r="C34" s="21"/>
      <c r="D34" s="17"/>
      <c r="E34" s="17"/>
      <c r="F34" s="17"/>
      <c r="G34" s="24"/>
      <c r="H34" s="24"/>
      <c r="I34" s="13" t="str">
        <f t="shared" si="2"/>
        <v/>
      </c>
      <c r="J34" s="8" t="b">
        <v>0</v>
      </c>
      <c r="K34" s="14"/>
      <c r="L34" s="19"/>
      <c r="M34" s="25"/>
      <c r="N34" s="21"/>
      <c r="O34" s="19"/>
      <c r="P34" s="19"/>
    </row>
    <row r="35">
      <c r="A35" s="8"/>
      <c r="B35" s="21"/>
      <c r="C35" s="21"/>
      <c r="D35" s="17"/>
      <c r="E35" s="17"/>
      <c r="F35" s="17"/>
      <c r="G35" s="24"/>
      <c r="H35" s="24"/>
      <c r="I35" s="13" t="str">
        <f t="shared" si="2"/>
        <v/>
      </c>
      <c r="J35" s="8" t="b">
        <v>0</v>
      </c>
      <c r="K35" s="14"/>
      <c r="L35" s="19"/>
      <c r="M35" s="25"/>
      <c r="N35" s="21"/>
      <c r="O35" s="19"/>
      <c r="P35" s="19"/>
    </row>
    <row r="36">
      <c r="A36" s="8"/>
      <c r="B36" s="21"/>
      <c r="C36" s="21"/>
      <c r="D36" s="17"/>
      <c r="E36" s="17"/>
      <c r="F36" s="17"/>
      <c r="G36" s="24"/>
      <c r="H36" s="24"/>
      <c r="I36" s="13" t="str">
        <f t="shared" si="2"/>
        <v/>
      </c>
      <c r="J36" s="8" t="b">
        <v>0</v>
      </c>
      <c r="K36" s="14"/>
      <c r="L36" s="19"/>
      <c r="M36" s="25"/>
      <c r="N36" s="21"/>
      <c r="O36" s="19"/>
      <c r="P36" s="19"/>
    </row>
    <row r="37">
      <c r="A37" s="8"/>
      <c r="B37" s="21"/>
      <c r="C37" s="21"/>
      <c r="D37" s="17"/>
      <c r="E37" s="17"/>
      <c r="F37" s="17"/>
      <c r="G37" s="24"/>
      <c r="H37" s="24"/>
      <c r="I37" s="13" t="str">
        <f t="shared" si="2"/>
        <v/>
      </c>
      <c r="J37" s="8" t="b">
        <v>0</v>
      </c>
      <c r="K37" s="14"/>
      <c r="L37" s="19"/>
      <c r="M37" s="25"/>
      <c r="N37" s="21"/>
      <c r="O37" s="19"/>
      <c r="P37" s="19"/>
    </row>
    <row r="38">
      <c r="A38" s="8"/>
      <c r="B38" s="21"/>
      <c r="C38" s="21"/>
      <c r="D38" s="17"/>
      <c r="E38" s="17"/>
      <c r="F38" s="17"/>
      <c r="G38" s="24"/>
      <c r="H38" s="24"/>
      <c r="I38" s="13" t="str">
        <f t="shared" si="2"/>
        <v/>
      </c>
      <c r="J38" s="8" t="b">
        <v>0</v>
      </c>
      <c r="K38" s="14"/>
      <c r="L38" s="19"/>
      <c r="M38" s="25"/>
      <c r="N38" s="21"/>
      <c r="O38" s="19"/>
      <c r="P38" s="19"/>
    </row>
    <row r="39">
      <c r="A39" s="8"/>
      <c r="B39" s="21"/>
      <c r="C39" s="21"/>
      <c r="D39" s="21"/>
      <c r="E39" s="21"/>
      <c r="F39" s="21"/>
      <c r="G39" s="24"/>
      <c r="H39" s="24"/>
      <c r="I39" s="13" t="str">
        <f t="shared" si="2"/>
        <v/>
      </c>
      <c r="J39" s="8" t="b">
        <v>0</v>
      </c>
      <c r="K39" s="14"/>
      <c r="L39" s="19"/>
      <c r="M39" s="25"/>
      <c r="N39" s="21"/>
      <c r="O39" s="19"/>
      <c r="P39" s="19"/>
    </row>
    <row r="40">
      <c r="A40" s="8"/>
      <c r="B40" s="21"/>
      <c r="C40" s="21"/>
      <c r="D40" s="21"/>
      <c r="E40" s="21"/>
      <c r="F40" s="21"/>
      <c r="G40" s="24"/>
      <c r="H40" s="24"/>
      <c r="I40" s="13" t="str">
        <f t="shared" si="2"/>
        <v/>
      </c>
      <c r="J40" s="8" t="b">
        <v>0</v>
      </c>
      <c r="K40" s="14"/>
      <c r="L40" s="19"/>
      <c r="M40" s="25"/>
      <c r="N40" s="21"/>
      <c r="O40" s="19"/>
      <c r="P40" s="19"/>
    </row>
    <row r="41">
      <c r="A41" s="8"/>
      <c r="B41" s="21"/>
      <c r="C41" s="21"/>
      <c r="D41" s="21"/>
      <c r="E41" s="21"/>
      <c r="F41" s="21"/>
      <c r="G41" s="24"/>
      <c r="H41" s="24"/>
      <c r="I41" s="13" t="str">
        <f t="shared" si="2"/>
        <v/>
      </c>
      <c r="J41" s="8" t="b">
        <v>0</v>
      </c>
      <c r="K41" s="14"/>
      <c r="L41" s="19"/>
      <c r="M41" s="25"/>
      <c r="N41" s="21"/>
      <c r="O41" s="19"/>
      <c r="P41" s="19"/>
    </row>
    <row r="42">
      <c r="A42" s="8"/>
      <c r="B42" s="21"/>
      <c r="C42" s="21"/>
      <c r="D42" s="21"/>
      <c r="E42" s="21"/>
      <c r="F42" s="21"/>
      <c r="G42" s="24"/>
      <c r="H42" s="24"/>
      <c r="I42" s="13" t="str">
        <f t="shared" si="2"/>
        <v/>
      </c>
      <c r="J42" s="8" t="b">
        <v>0</v>
      </c>
      <c r="K42" s="14"/>
      <c r="L42" s="19"/>
      <c r="M42" s="25"/>
      <c r="N42" s="21"/>
      <c r="O42" s="19"/>
      <c r="P42" s="19"/>
    </row>
    <row r="43">
      <c r="A43" s="8"/>
      <c r="B43" s="21"/>
      <c r="C43" s="21"/>
      <c r="D43" s="21"/>
      <c r="E43" s="21"/>
      <c r="F43" s="21"/>
      <c r="G43" s="24"/>
      <c r="H43" s="24"/>
      <c r="I43" s="13" t="str">
        <f t="shared" si="2"/>
        <v/>
      </c>
      <c r="J43" s="8" t="b">
        <v>0</v>
      </c>
      <c r="K43" s="14"/>
      <c r="L43" s="19"/>
      <c r="M43" s="25"/>
      <c r="N43" s="21"/>
      <c r="O43" s="19"/>
      <c r="P43" s="19"/>
    </row>
    <row r="44">
      <c r="A44" s="8"/>
      <c r="B44" s="21"/>
      <c r="C44" s="21"/>
      <c r="D44" s="21"/>
      <c r="E44" s="21"/>
      <c r="F44" s="21"/>
      <c r="G44" s="24"/>
      <c r="H44" s="24"/>
      <c r="I44" s="13" t="str">
        <f t="shared" si="2"/>
        <v/>
      </c>
      <c r="J44" s="8" t="b">
        <v>0</v>
      </c>
      <c r="K44" s="14"/>
      <c r="L44" s="19"/>
      <c r="M44" s="25"/>
      <c r="N44" s="21"/>
      <c r="O44" s="19"/>
      <c r="P44" s="19"/>
    </row>
    <row r="45">
      <c r="A45" s="8"/>
      <c r="B45" s="21"/>
      <c r="C45" s="21"/>
      <c r="D45" s="21"/>
      <c r="E45" s="21"/>
      <c r="F45" s="21"/>
      <c r="G45" s="24"/>
      <c r="H45" s="24"/>
      <c r="I45" s="13" t="str">
        <f t="shared" si="2"/>
        <v/>
      </c>
      <c r="J45" s="8" t="b">
        <v>0</v>
      </c>
      <c r="K45" s="14"/>
      <c r="L45" s="19"/>
      <c r="M45" s="25"/>
      <c r="N45" s="21"/>
      <c r="O45" s="19"/>
      <c r="P45" s="19"/>
    </row>
    <row r="46">
      <c r="A46" s="8"/>
      <c r="B46" s="21"/>
      <c r="C46" s="21"/>
      <c r="D46" s="21"/>
      <c r="E46" s="21"/>
      <c r="F46" s="21"/>
      <c r="G46" s="24"/>
      <c r="H46" s="24"/>
      <c r="I46" s="13" t="str">
        <f t="shared" si="2"/>
        <v/>
      </c>
      <c r="J46" s="8" t="b">
        <v>0</v>
      </c>
      <c r="K46" s="14"/>
      <c r="L46" s="19"/>
      <c r="M46" s="25"/>
      <c r="N46" s="21"/>
      <c r="O46" s="19"/>
      <c r="P46" s="19"/>
    </row>
    <row r="47">
      <c r="A47" s="8"/>
      <c r="B47" s="21"/>
      <c r="C47" s="21"/>
      <c r="D47" s="21"/>
      <c r="E47" s="21"/>
      <c r="F47" s="21"/>
      <c r="G47" s="24"/>
      <c r="H47" s="24"/>
      <c r="I47" s="13" t="str">
        <f t="shared" si="2"/>
        <v/>
      </c>
      <c r="J47" s="8" t="b">
        <v>0</v>
      </c>
      <c r="K47" s="14"/>
      <c r="L47" s="19"/>
      <c r="M47" s="25"/>
      <c r="N47" s="21"/>
      <c r="O47" s="19"/>
      <c r="P47" s="19"/>
    </row>
    <row r="48">
      <c r="A48" s="8"/>
      <c r="B48" s="21"/>
      <c r="C48" s="21"/>
      <c r="D48" s="21"/>
      <c r="E48" s="21"/>
      <c r="F48" s="21"/>
      <c r="G48" s="24"/>
      <c r="H48" s="24"/>
      <c r="I48" s="13" t="str">
        <f t="shared" si="2"/>
        <v/>
      </c>
      <c r="J48" s="8" t="b">
        <v>0</v>
      </c>
      <c r="K48" s="14"/>
      <c r="L48" s="19"/>
      <c r="M48" s="25"/>
      <c r="N48" s="21"/>
      <c r="O48" s="19"/>
      <c r="P48" s="19"/>
    </row>
    <row r="49">
      <c r="A49" s="8"/>
      <c r="B49" s="21"/>
      <c r="C49" s="21"/>
      <c r="D49" s="21"/>
      <c r="E49" s="21"/>
      <c r="F49" s="21"/>
      <c r="G49" s="24"/>
      <c r="H49" s="24"/>
      <c r="I49" s="13" t="str">
        <f t="shared" si="2"/>
        <v/>
      </c>
      <c r="J49" s="8" t="b">
        <v>0</v>
      </c>
      <c r="K49" s="14"/>
      <c r="L49" s="19"/>
      <c r="M49" s="25"/>
      <c r="N49" s="21"/>
      <c r="O49" s="19"/>
      <c r="P49" s="19"/>
    </row>
    <row r="50">
      <c r="A50" s="8"/>
      <c r="B50" s="21"/>
      <c r="C50" s="21"/>
      <c r="D50" s="21"/>
      <c r="E50" s="21"/>
      <c r="F50" s="21"/>
      <c r="G50" s="24"/>
      <c r="H50" s="24"/>
      <c r="I50" s="13" t="str">
        <f t="shared" si="2"/>
        <v/>
      </c>
      <c r="J50" s="8" t="b">
        <v>0</v>
      </c>
      <c r="K50" s="14"/>
      <c r="L50" s="19"/>
      <c r="M50" s="25"/>
      <c r="N50" s="21"/>
      <c r="O50" s="19"/>
      <c r="P50" s="19"/>
    </row>
    <row r="51">
      <c r="A51" s="8"/>
      <c r="B51" s="21"/>
      <c r="C51" s="21"/>
      <c r="D51" s="21"/>
      <c r="E51" s="21"/>
      <c r="F51" s="21"/>
      <c r="G51" s="24"/>
      <c r="H51" s="24"/>
      <c r="I51" s="13" t="str">
        <f t="shared" si="2"/>
        <v/>
      </c>
      <c r="J51" s="8" t="b">
        <v>0</v>
      </c>
      <c r="K51" s="14"/>
      <c r="L51" s="19"/>
      <c r="M51" s="25"/>
      <c r="N51" s="21"/>
      <c r="O51" s="19"/>
      <c r="P51" s="19"/>
    </row>
    <row r="52">
      <c r="A52" s="8"/>
      <c r="B52" s="21"/>
      <c r="C52" s="21"/>
      <c r="D52" s="21"/>
      <c r="E52" s="21"/>
      <c r="F52" s="21"/>
      <c r="G52" s="24"/>
      <c r="H52" s="24"/>
      <c r="I52" s="13" t="str">
        <f t="shared" si="2"/>
        <v/>
      </c>
      <c r="J52" s="8" t="b">
        <v>0</v>
      </c>
      <c r="K52" s="14"/>
      <c r="L52" s="19"/>
      <c r="M52" s="25"/>
      <c r="N52" s="21"/>
      <c r="O52" s="19"/>
      <c r="P52" s="19"/>
    </row>
    <row r="53">
      <c r="A53" s="8"/>
      <c r="B53" s="21"/>
      <c r="C53" s="21"/>
      <c r="D53" s="21"/>
      <c r="E53" s="21"/>
      <c r="F53" s="21"/>
      <c r="G53" s="24"/>
      <c r="H53" s="24"/>
      <c r="I53" s="13" t="str">
        <f t="shared" si="2"/>
        <v/>
      </c>
      <c r="J53" s="8" t="b">
        <v>0</v>
      </c>
      <c r="K53" s="14"/>
      <c r="L53" s="19"/>
      <c r="M53" s="25"/>
      <c r="N53" s="21"/>
      <c r="O53" s="19"/>
      <c r="P53" s="19"/>
    </row>
    <row r="54">
      <c r="A54" s="8"/>
      <c r="B54" s="21"/>
      <c r="C54" s="21"/>
      <c r="D54" s="21"/>
      <c r="E54" s="21"/>
      <c r="F54" s="21"/>
      <c r="G54" s="24"/>
      <c r="H54" s="24"/>
      <c r="I54" s="13" t="str">
        <f t="shared" si="2"/>
        <v/>
      </c>
      <c r="J54" s="8" t="b">
        <v>0</v>
      </c>
      <c r="K54" s="14"/>
      <c r="L54" s="19"/>
      <c r="M54" s="25"/>
      <c r="N54" s="21"/>
      <c r="O54" s="19"/>
      <c r="P54" s="19"/>
    </row>
    <row r="55">
      <c r="A55" s="8"/>
      <c r="B55" s="21"/>
      <c r="C55" s="21"/>
      <c r="D55" s="21"/>
      <c r="E55" s="21"/>
      <c r="F55" s="21"/>
      <c r="G55" s="24"/>
      <c r="H55" s="24"/>
      <c r="I55" s="13" t="str">
        <f t="shared" si="2"/>
        <v/>
      </c>
      <c r="J55" s="8" t="b">
        <v>0</v>
      </c>
      <c r="K55" s="14"/>
      <c r="L55" s="19"/>
      <c r="M55" s="25"/>
      <c r="N55" s="21"/>
      <c r="O55" s="19"/>
      <c r="P55" s="19"/>
    </row>
    <row r="56">
      <c r="A56" s="8"/>
      <c r="B56" s="21"/>
      <c r="C56" s="21"/>
      <c r="D56" s="21"/>
      <c r="E56" s="21"/>
      <c r="F56" s="21"/>
      <c r="G56" s="24"/>
      <c r="H56" s="24"/>
      <c r="I56" s="13" t="str">
        <f t="shared" si="2"/>
        <v/>
      </c>
      <c r="J56" s="8" t="b">
        <v>0</v>
      </c>
      <c r="K56" s="14"/>
      <c r="L56" s="19"/>
      <c r="M56" s="25"/>
      <c r="N56" s="21"/>
      <c r="O56" s="19"/>
      <c r="P56" s="19"/>
    </row>
    <row r="57">
      <c r="A57" s="8"/>
      <c r="B57" s="21"/>
      <c r="C57" s="21"/>
      <c r="D57" s="21"/>
      <c r="E57" s="21"/>
      <c r="F57" s="21"/>
      <c r="G57" s="24"/>
      <c r="H57" s="24"/>
      <c r="I57" s="13" t="str">
        <f t="shared" si="2"/>
        <v/>
      </c>
      <c r="J57" s="8" t="b">
        <v>0</v>
      </c>
      <c r="K57" s="14"/>
      <c r="L57" s="19"/>
      <c r="M57" s="25"/>
      <c r="N57" s="21"/>
      <c r="O57" s="19"/>
      <c r="P57" s="19"/>
    </row>
    <row r="58">
      <c r="A58" s="8"/>
      <c r="B58" s="21"/>
      <c r="C58" s="21"/>
      <c r="D58" s="21"/>
      <c r="E58" s="21"/>
      <c r="F58" s="21"/>
      <c r="G58" s="24"/>
      <c r="H58" s="24"/>
      <c r="I58" s="13" t="str">
        <f t="shared" si="2"/>
        <v/>
      </c>
      <c r="J58" s="8" t="b">
        <v>0</v>
      </c>
      <c r="K58" s="14"/>
      <c r="L58" s="19"/>
      <c r="M58" s="25"/>
      <c r="N58" s="21"/>
      <c r="O58" s="19"/>
      <c r="P58" s="19"/>
    </row>
    <row r="59">
      <c r="A59" s="8"/>
      <c r="B59" s="21"/>
      <c r="C59" s="21"/>
      <c r="D59" s="21"/>
      <c r="E59" s="21"/>
      <c r="F59" s="21"/>
      <c r="G59" s="24"/>
      <c r="H59" s="24"/>
      <c r="I59" s="13" t="str">
        <f t="shared" si="2"/>
        <v/>
      </c>
      <c r="J59" s="8" t="b">
        <v>0</v>
      </c>
      <c r="K59" s="14"/>
      <c r="L59" s="19"/>
      <c r="M59" s="25"/>
      <c r="N59" s="21"/>
      <c r="O59" s="19"/>
      <c r="P59" s="19"/>
    </row>
    <row r="60">
      <c r="A60" s="8"/>
      <c r="B60" s="21"/>
      <c r="C60" s="21"/>
      <c r="D60" s="21"/>
      <c r="E60" s="21"/>
      <c r="F60" s="21"/>
      <c r="G60" s="24"/>
      <c r="H60" s="24"/>
      <c r="I60" s="13" t="str">
        <f t="shared" si="2"/>
        <v/>
      </c>
      <c r="J60" s="8" t="b">
        <v>0</v>
      </c>
      <c r="K60" s="14"/>
      <c r="L60" s="19"/>
      <c r="M60" s="25"/>
      <c r="N60" s="21"/>
      <c r="O60" s="19"/>
      <c r="P60" s="19"/>
    </row>
    <row r="61">
      <c r="A61" s="8"/>
      <c r="B61" s="21"/>
      <c r="C61" s="21"/>
      <c r="D61" s="21"/>
      <c r="E61" s="21"/>
      <c r="F61" s="21"/>
      <c r="G61" s="24"/>
      <c r="H61" s="24"/>
      <c r="I61" s="13" t="str">
        <f t="shared" si="2"/>
        <v/>
      </c>
      <c r="J61" s="8" t="b">
        <v>0</v>
      </c>
      <c r="K61" s="14"/>
      <c r="L61" s="19"/>
      <c r="M61" s="25"/>
      <c r="N61" s="21"/>
      <c r="O61" s="19"/>
      <c r="P61" s="19"/>
    </row>
    <row r="62">
      <c r="A62" s="8"/>
      <c r="B62" s="21"/>
      <c r="C62" s="21"/>
      <c r="D62" s="21"/>
      <c r="E62" s="21"/>
      <c r="F62" s="21"/>
      <c r="G62" s="24"/>
      <c r="H62" s="24"/>
      <c r="I62" s="13" t="str">
        <f t="shared" si="2"/>
        <v/>
      </c>
      <c r="J62" s="8" t="b">
        <v>0</v>
      </c>
      <c r="K62" s="14"/>
      <c r="L62" s="19"/>
      <c r="M62" s="25"/>
      <c r="N62" s="21"/>
      <c r="O62" s="19"/>
      <c r="P62" s="19"/>
    </row>
    <row r="63">
      <c r="A63" s="8"/>
      <c r="B63" s="21"/>
      <c r="C63" s="21"/>
      <c r="D63" s="21"/>
      <c r="E63" s="21"/>
      <c r="F63" s="21"/>
      <c r="G63" s="24"/>
      <c r="H63" s="24"/>
      <c r="I63" s="13" t="str">
        <f t="shared" si="2"/>
        <v/>
      </c>
      <c r="J63" s="8" t="b">
        <v>0</v>
      </c>
      <c r="K63" s="14"/>
      <c r="L63" s="19"/>
      <c r="M63" s="25"/>
      <c r="N63" s="21"/>
      <c r="O63" s="19"/>
      <c r="P63" s="19"/>
    </row>
    <row r="64">
      <c r="A64" s="8"/>
      <c r="B64" s="21"/>
      <c r="C64" s="21"/>
      <c r="D64" s="21"/>
      <c r="E64" s="21"/>
      <c r="F64" s="21"/>
      <c r="G64" s="24"/>
      <c r="H64" s="24"/>
      <c r="I64" s="13" t="str">
        <f t="shared" si="2"/>
        <v/>
      </c>
      <c r="J64" s="8" t="b">
        <v>0</v>
      </c>
      <c r="K64" s="14"/>
      <c r="L64" s="19"/>
      <c r="M64" s="25"/>
      <c r="N64" s="21"/>
      <c r="O64" s="19"/>
      <c r="P64" s="19"/>
    </row>
    <row r="65">
      <c r="A65" s="8"/>
      <c r="B65" s="21"/>
      <c r="C65" s="21"/>
      <c r="D65" s="21"/>
      <c r="E65" s="21"/>
      <c r="F65" s="21"/>
      <c r="G65" s="24"/>
      <c r="H65" s="24"/>
      <c r="I65" s="13" t="str">
        <f t="shared" si="2"/>
        <v/>
      </c>
      <c r="J65" s="8" t="b">
        <v>0</v>
      </c>
      <c r="K65" s="14"/>
      <c r="L65" s="19"/>
      <c r="M65" s="25"/>
      <c r="N65" s="21"/>
      <c r="O65" s="19"/>
      <c r="P65" s="19"/>
    </row>
    <row r="66">
      <c r="A66" s="8"/>
      <c r="B66" s="21"/>
      <c r="C66" s="21"/>
      <c r="D66" s="21"/>
      <c r="E66" s="21"/>
      <c r="F66" s="21"/>
      <c r="G66" s="24"/>
      <c r="H66" s="24"/>
      <c r="I66" s="13" t="str">
        <f t="shared" si="2"/>
        <v/>
      </c>
      <c r="J66" s="8" t="b">
        <v>0</v>
      </c>
      <c r="K66" s="14"/>
      <c r="L66" s="19"/>
      <c r="M66" s="25"/>
      <c r="N66" s="21"/>
      <c r="O66" s="19"/>
      <c r="P66" s="19"/>
    </row>
    <row r="67">
      <c r="A67" s="8"/>
      <c r="B67" s="21"/>
      <c r="C67" s="21"/>
      <c r="D67" s="21"/>
      <c r="E67" s="21"/>
      <c r="F67" s="21"/>
      <c r="G67" s="24"/>
      <c r="H67" s="24"/>
      <c r="I67" s="13" t="str">
        <f t="shared" si="2"/>
        <v/>
      </c>
      <c r="J67" s="8" t="b">
        <v>0</v>
      </c>
      <c r="K67" s="14"/>
      <c r="L67" s="19"/>
      <c r="M67" s="25"/>
      <c r="N67" s="21"/>
      <c r="O67" s="19"/>
      <c r="P67" s="19"/>
    </row>
    <row r="68">
      <c r="A68" s="8"/>
      <c r="B68" s="21"/>
      <c r="C68" s="21"/>
      <c r="D68" s="21"/>
      <c r="E68" s="21"/>
      <c r="F68" s="21"/>
      <c r="G68" s="24"/>
      <c r="H68" s="24"/>
      <c r="I68" s="13" t="str">
        <f t="shared" si="2"/>
        <v/>
      </c>
      <c r="J68" s="8" t="b">
        <v>0</v>
      </c>
      <c r="K68" s="14"/>
      <c r="L68" s="19"/>
      <c r="M68" s="25"/>
      <c r="N68" s="21"/>
      <c r="O68" s="19"/>
      <c r="P68" s="19"/>
    </row>
    <row r="69">
      <c r="A69" s="8"/>
      <c r="B69" s="21"/>
      <c r="C69" s="21"/>
      <c r="D69" s="21"/>
      <c r="E69" s="21"/>
      <c r="F69" s="21"/>
      <c r="G69" s="24"/>
      <c r="H69" s="24"/>
      <c r="I69" s="13" t="str">
        <f t="shared" si="2"/>
        <v/>
      </c>
      <c r="J69" s="8" t="b">
        <v>0</v>
      </c>
      <c r="K69" s="14"/>
      <c r="L69" s="19"/>
      <c r="M69" s="25"/>
      <c r="N69" s="21"/>
      <c r="O69" s="19"/>
      <c r="P69" s="19"/>
    </row>
    <row r="70">
      <c r="A70" s="8"/>
      <c r="B70" s="21"/>
      <c r="C70" s="21"/>
      <c r="D70" s="21"/>
      <c r="E70" s="21"/>
      <c r="F70" s="21"/>
      <c r="G70" s="24"/>
      <c r="H70" s="24"/>
      <c r="I70" s="13" t="str">
        <f t="shared" si="2"/>
        <v/>
      </c>
      <c r="J70" s="8" t="b">
        <v>0</v>
      </c>
      <c r="K70" s="14"/>
      <c r="L70" s="19"/>
      <c r="M70" s="25"/>
      <c r="N70" s="21"/>
      <c r="O70" s="19"/>
      <c r="P70" s="19"/>
    </row>
    <row r="71">
      <c r="A71" s="8"/>
      <c r="B71" s="21"/>
      <c r="C71" s="21"/>
      <c r="D71" s="21"/>
      <c r="E71" s="21"/>
      <c r="F71" s="21"/>
      <c r="G71" s="24"/>
      <c r="H71" s="24"/>
      <c r="I71" s="13" t="str">
        <f t="shared" si="2"/>
        <v/>
      </c>
      <c r="J71" s="8" t="b">
        <v>0</v>
      </c>
      <c r="K71" s="14"/>
      <c r="L71" s="19"/>
      <c r="M71" s="25"/>
      <c r="N71" s="21"/>
      <c r="O71" s="19"/>
      <c r="P71" s="19"/>
    </row>
    <row r="72">
      <c r="A72" s="8"/>
      <c r="B72" s="21"/>
      <c r="C72" s="21"/>
      <c r="D72" s="21"/>
      <c r="E72" s="21"/>
      <c r="F72" s="21"/>
      <c r="G72" s="24"/>
      <c r="H72" s="24"/>
      <c r="I72" s="13" t="str">
        <f t="shared" si="2"/>
        <v/>
      </c>
      <c r="J72" s="8" t="b">
        <v>0</v>
      </c>
      <c r="K72" s="14"/>
      <c r="L72" s="19"/>
      <c r="M72" s="25"/>
      <c r="N72" s="21"/>
      <c r="O72" s="19"/>
      <c r="P72" s="19"/>
    </row>
    <row r="73">
      <c r="A73" s="8"/>
      <c r="B73" s="21"/>
      <c r="C73" s="21"/>
      <c r="D73" s="21"/>
      <c r="E73" s="21"/>
      <c r="F73" s="21"/>
      <c r="G73" s="24"/>
      <c r="H73" s="24"/>
      <c r="I73" s="13" t="str">
        <f t="shared" si="2"/>
        <v/>
      </c>
      <c r="J73" s="8" t="b">
        <v>0</v>
      </c>
      <c r="K73" s="14"/>
      <c r="L73" s="19"/>
      <c r="M73" s="25"/>
      <c r="N73" s="21"/>
      <c r="O73" s="19"/>
      <c r="P73" s="19"/>
    </row>
    <row r="74">
      <c r="A74" s="8"/>
      <c r="B74" s="21"/>
      <c r="C74" s="21"/>
      <c r="D74" s="21"/>
      <c r="E74" s="21"/>
      <c r="F74" s="21"/>
      <c r="G74" s="24"/>
      <c r="H74" s="24"/>
      <c r="I74" s="13" t="str">
        <f t="shared" si="2"/>
        <v/>
      </c>
      <c r="J74" s="8" t="b">
        <v>0</v>
      </c>
      <c r="K74" s="14"/>
      <c r="L74" s="19"/>
      <c r="M74" s="25"/>
      <c r="N74" s="21"/>
      <c r="O74" s="19"/>
      <c r="P74" s="19"/>
    </row>
    <row r="75">
      <c r="A75" s="8"/>
      <c r="B75" s="21"/>
      <c r="C75" s="21"/>
      <c r="D75" s="21"/>
      <c r="E75" s="21"/>
      <c r="F75" s="21"/>
      <c r="G75" s="24"/>
      <c r="H75" s="24"/>
      <c r="I75" s="13" t="str">
        <f t="shared" si="2"/>
        <v/>
      </c>
      <c r="J75" s="8" t="b">
        <v>0</v>
      </c>
      <c r="K75" s="14"/>
      <c r="L75" s="19"/>
      <c r="M75" s="25"/>
      <c r="N75" s="21"/>
      <c r="O75" s="19"/>
      <c r="P75" s="19"/>
    </row>
    <row r="76">
      <c r="A76" s="8"/>
      <c r="B76" s="21"/>
      <c r="C76" s="21"/>
      <c r="D76" s="21"/>
      <c r="E76" s="21"/>
      <c r="F76" s="21"/>
      <c r="G76" s="24"/>
      <c r="H76" s="24"/>
      <c r="I76" s="13" t="str">
        <f t="shared" si="2"/>
        <v/>
      </c>
      <c r="J76" s="8" t="b">
        <v>0</v>
      </c>
      <c r="K76" s="14"/>
      <c r="L76" s="19"/>
      <c r="M76" s="25"/>
      <c r="N76" s="21"/>
      <c r="O76" s="19"/>
      <c r="P76" s="19"/>
    </row>
    <row r="77">
      <c r="A77" s="8"/>
      <c r="B77" s="21"/>
      <c r="C77" s="21"/>
      <c r="D77" s="21"/>
      <c r="E77" s="21"/>
      <c r="F77" s="21"/>
      <c r="G77" s="24"/>
      <c r="H77" s="24"/>
      <c r="I77" s="13" t="str">
        <f t="shared" si="2"/>
        <v/>
      </c>
      <c r="J77" s="8" t="b">
        <v>0</v>
      </c>
      <c r="K77" s="14"/>
      <c r="L77" s="19"/>
      <c r="M77" s="25"/>
      <c r="N77" s="21"/>
      <c r="O77" s="19"/>
      <c r="P77" s="19"/>
    </row>
    <row r="78">
      <c r="A78" s="8"/>
      <c r="B78" s="21"/>
      <c r="C78" s="21"/>
      <c r="D78" s="21"/>
      <c r="E78" s="21"/>
      <c r="F78" s="21"/>
      <c r="G78" s="24"/>
      <c r="H78" s="24"/>
      <c r="I78" s="13" t="str">
        <f t="shared" si="2"/>
        <v/>
      </c>
      <c r="J78" s="8" t="b">
        <v>0</v>
      </c>
      <c r="K78" s="14"/>
      <c r="L78" s="19"/>
      <c r="M78" s="25"/>
      <c r="N78" s="21"/>
      <c r="O78" s="19"/>
      <c r="P78" s="19"/>
    </row>
    <row r="79">
      <c r="A79" s="8"/>
      <c r="B79" s="21"/>
      <c r="C79" s="21"/>
      <c r="D79" s="21"/>
      <c r="E79" s="21"/>
      <c r="F79" s="21"/>
      <c r="G79" s="24"/>
      <c r="H79" s="24"/>
      <c r="I79" s="13" t="str">
        <f t="shared" si="2"/>
        <v/>
      </c>
      <c r="J79" s="8" t="b">
        <v>0</v>
      </c>
      <c r="K79" s="14"/>
      <c r="L79" s="19"/>
      <c r="M79" s="25"/>
      <c r="N79" s="21"/>
      <c r="O79" s="19"/>
      <c r="P79" s="19"/>
    </row>
    <row r="80">
      <c r="A80" s="8"/>
      <c r="B80" s="21"/>
      <c r="C80" s="21"/>
      <c r="D80" s="21"/>
      <c r="E80" s="21"/>
      <c r="F80" s="21"/>
      <c r="G80" s="24"/>
      <c r="H80" s="24"/>
      <c r="I80" s="13" t="str">
        <f t="shared" si="2"/>
        <v/>
      </c>
      <c r="J80" s="8" t="b">
        <v>0</v>
      </c>
      <c r="K80" s="14"/>
      <c r="L80" s="19"/>
      <c r="M80" s="25"/>
      <c r="N80" s="21"/>
      <c r="O80" s="19"/>
      <c r="P80" s="19"/>
    </row>
    <row r="81">
      <c r="A81" s="8"/>
      <c r="B81" s="21"/>
      <c r="C81" s="21"/>
      <c r="D81" s="21"/>
      <c r="E81" s="21"/>
      <c r="F81" s="21"/>
      <c r="G81" s="24"/>
      <c r="H81" s="24"/>
      <c r="I81" s="13" t="str">
        <f t="shared" si="2"/>
        <v/>
      </c>
      <c r="J81" s="8" t="b">
        <v>0</v>
      </c>
      <c r="K81" s="14"/>
      <c r="L81" s="19"/>
      <c r="M81" s="25"/>
      <c r="N81" s="21"/>
      <c r="O81" s="19"/>
      <c r="P81" s="19"/>
    </row>
    <row r="82">
      <c r="A82" s="8"/>
      <c r="B82" s="21"/>
      <c r="C82" s="21"/>
      <c r="D82" s="21"/>
      <c r="E82" s="21"/>
      <c r="F82" s="21"/>
      <c r="G82" s="24"/>
      <c r="H82" s="24"/>
      <c r="I82" s="13" t="str">
        <f t="shared" si="2"/>
        <v/>
      </c>
      <c r="J82" s="8" t="b">
        <v>0</v>
      </c>
      <c r="K82" s="14"/>
      <c r="L82" s="19"/>
      <c r="M82" s="25"/>
      <c r="N82" s="21"/>
      <c r="O82" s="19"/>
      <c r="P82" s="19"/>
    </row>
    <row r="83">
      <c r="A83" s="8"/>
      <c r="B83" s="21"/>
      <c r="C83" s="21"/>
      <c r="D83" s="21"/>
      <c r="E83" s="21"/>
      <c r="F83" s="21"/>
      <c r="G83" s="24"/>
      <c r="H83" s="24"/>
      <c r="I83" s="13" t="str">
        <f t="shared" si="2"/>
        <v/>
      </c>
      <c r="J83" s="8" t="b">
        <v>0</v>
      </c>
      <c r="K83" s="14"/>
      <c r="L83" s="19"/>
      <c r="M83" s="25"/>
      <c r="N83" s="21"/>
      <c r="O83" s="19"/>
      <c r="P83" s="19"/>
    </row>
    <row r="84">
      <c r="A84" s="8"/>
      <c r="B84" s="21"/>
      <c r="C84" s="21"/>
      <c r="D84" s="21"/>
      <c r="E84" s="21"/>
      <c r="F84" s="21"/>
      <c r="G84" s="24"/>
      <c r="H84" s="24"/>
      <c r="I84" s="13" t="str">
        <f t="shared" si="2"/>
        <v/>
      </c>
      <c r="J84" s="8" t="b">
        <v>0</v>
      </c>
      <c r="K84" s="14"/>
      <c r="L84" s="19"/>
      <c r="M84" s="25"/>
      <c r="N84" s="21"/>
      <c r="O84" s="19"/>
      <c r="P84" s="19"/>
    </row>
    <row r="85">
      <c r="A85" s="8"/>
      <c r="B85" s="21"/>
      <c r="C85" s="21"/>
      <c r="D85" s="21"/>
      <c r="E85" s="21"/>
      <c r="F85" s="21"/>
      <c r="G85" s="24"/>
      <c r="H85" s="24"/>
      <c r="I85" s="13" t="str">
        <f t="shared" si="2"/>
        <v/>
      </c>
      <c r="J85" s="8" t="b">
        <v>0</v>
      </c>
      <c r="K85" s="14"/>
      <c r="L85" s="19"/>
      <c r="M85" s="25"/>
      <c r="N85" s="21"/>
      <c r="O85" s="19"/>
      <c r="P85" s="19"/>
    </row>
    <row r="86">
      <c r="A86" s="8"/>
      <c r="B86" s="21"/>
      <c r="C86" s="21"/>
      <c r="D86" s="21"/>
      <c r="E86" s="21"/>
      <c r="F86" s="21"/>
      <c r="G86" s="24"/>
      <c r="H86" s="24"/>
      <c r="I86" s="13" t="str">
        <f t="shared" si="2"/>
        <v/>
      </c>
      <c r="J86" s="8" t="b">
        <v>0</v>
      </c>
      <c r="K86" s="14"/>
      <c r="L86" s="19"/>
      <c r="M86" s="25"/>
      <c r="N86" s="21"/>
      <c r="O86" s="19"/>
      <c r="P86" s="19"/>
    </row>
    <row r="87">
      <c r="A87" s="8"/>
      <c r="B87" s="21"/>
      <c r="C87" s="21"/>
      <c r="D87" s="21"/>
      <c r="E87" s="21"/>
      <c r="F87" s="21"/>
      <c r="G87" s="24"/>
      <c r="H87" s="24"/>
      <c r="I87" s="13" t="str">
        <f t="shared" si="2"/>
        <v/>
      </c>
      <c r="J87" s="8" t="b">
        <v>0</v>
      </c>
      <c r="K87" s="14"/>
      <c r="L87" s="19"/>
      <c r="M87" s="25"/>
      <c r="N87" s="21"/>
      <c r="O87" s="19"/>
      <c r="P87" s="19"/>
    </row>
    <row r="88">
      <c r="A88" s="8"/>
      <c r="B88" s="21"/>
      <c r="C88" s="21"/>
      <c r="D88" s="21"/>
      <c r="E88" s="21"/>
      <c r="F88" s="21"/>
      <c r="G88" s="24"/>
      <c r="H88" s="24"/>
      <c r="I88" s="13" t="str">
        <f t="shared" si="2"/>
        <v/>
      </c>
      <c r="J88" s="8" t="b">
        <v>0</v>
      </c>
      <c r="K88" s="14"/>
      <c r="L88" s="19"/>
      <c r="M88" s="25"/>
      <c r="N88" s="21"/>
      <c r="O88" s="19"/>
      <c r="P88" s="19"/>
    </row>
    <row r="89">
      <c r="A89" s="8"/>
      <c r="B89" s="21"/>
      <c r="C89" s="21"/>
      <c r="D89" s="21"/>
      <c r="E89" s="21"/>
      <c r="F89" s="21"/>
      <c r="G89" s="24"/>
      <c r="H89" s="24"/>
      <c r="I89" s="13" t="str">
        <f t="shared" si="2"/>
        <v/>
      </c>
      <c r="J89" s="8" t="b">
        <v>0</v>
      </c>
      <c r="K89" s="14"/>
      <c r="L89" s="19"/>
      <c r="M89" s="25"/>
      <c r="N89" s="21"/>
      <c r="O89" s="19"/>
      <c r="P89" s="19"/>
    </row>
    <row r="90">
      <c r="A90" s="8"/>
      <c r="B90" s="21"/>
      <c r="C90" s="21"/>
      <c r="D90" s="21"/>
      <c r="E90" s="21"/>
      <c r="F90" s="21"/>
      <c r="G90" s="24"/>
      <c r="H90" s="24"/>
      <c r="I90" s="13" t="str">
        <f t="shared" si="2"/>
        <v/>
      </c>
      <c r="J90" s="8" t="b">
        <v>0</v>
      </c>
      <c r="K90" s="14"/>
      <c r="L90" s="19"/>
      <c r="M90" s="25"/>
      <c r="N90" s="21"/>
      <c r="O90" s="19"/>
      <c r="P90" s="19"/>
    </row>
    <row r="91">
      <c r="A91" s="8"/>
      <c r="B91" s="21"/>
      <c r="C91" s="21"/>
      <c r="D91" s="21"/>
      <c r="E91" s="21"/>
      <c r="F91" s="21"/>
      <c r="G91" s="24"/>
      <c r="H91" s="24"/>
      <c r="I91" s="13" t="str">
        <f t="shared" si="2"/>
        <v/>
      </c>
      <c r="J91" s="8" t="b">
        <v>0</v>
      </c>
      <c r="K91" s="14"/>
      <c r="L91" s="19"/>
      <c r="M91" s="25"/>
      <c r="N91" s="21"/>
      <c r="O91" s="19"/>
      <c r="P91" s="19"/>
    </row>
    <row r="92">
      <c r="A92" s="8"/>
      <c r="B92" s="21"/>
      <c r="C92" s="21"/>
      <c r="D92" s="21"/>
      <c r="E92" s="21"/>
      <c r="F92" s="21"/>
      <c r="G92" s="24"/>
      <c r="H92" s="24"/>
      <c r="I92" s="13" t="str">
        <f t="shared" si="2"/>
        <v/>
      </c>
      <c r="J92" s="8" t="b">
        <v>0</v>
      </c>
      <c r="K92" s="14"/>
      <c r="L92" s="19"/>
      <c r="M92" s="25"/>
      <c r="N92" s="21"/>
      <c r="O92" s="19"/>
      <c r="P92" s="19"/>
    </row>
    <row r="93">
      <c r="A93" s="8"/>
      <c r="B93" s="21"/>
      <c r="C93" s="21"/>
      <c r="D93" s="21"/>
      <c r="E93" s="21"/>
      <c r="F93" s="21"/>
      <c r="G93" s="24"/>
      <c r="H93" s="24"/>
      <c r="I93" s="13" t="str">
        <f t="shared" si="2"/>
        <v/>
      </c>
      <c r="J93" s="8" t="b">
        <v>0</v>
      </c>
      <c r="K93" s="14"/>
      <c r="L93" s="19"/>
      <c r="M93" s="25"/>
      <c r="N93" s="21"/>
      <c r="O93" s="19"/>
      <c r="P93" s="19"/>
    </row>
    <row r="94">
      <c r="A94" s="8"/>
      <c r="B94" s="21"/>
      <c r="C94" s="21"/>
      <c r="D94" s="21"/>
      <c r="E94" s="21"/>
      <c r="F94" s="21"/>
      <c r="G94" s="24"/>
      <c r="H94" s="24"/>
      <c r="I94" s="13" t="str">
        <f t="shared" si="2"/>
        <v/>
      </c>
      <c r="J94" s="8" t="b">
        <v>0</v>
      </c>
      <c r="K94" s="14"/>
      <c r="L94" s="19"/>
      <c r="M94" s="25"/>
      <c r="N94" s="21"/>
      <c r="O94" s="19"/>
      <c r="P94" s="19"/>
    </row>
    <row r="95">
      <c r="A95" s="8"/>
      <c r="B95" s="21"/>
      <c r="C95" s="21"/>
      <c r="D95" s="21"/>
      <c r="E95" s="21"/>
      <c r="F95" s="21"/>
      <c r="G95" s="24"/>
      <c r="H95" s="24"/>
      <c r="I95" s="13" t="str">
        <f t="shared" si="2"/>
        <v/>
      </c>
      <c r="J95" s="8" t="b">
        <v>0</v>
      </c>
      <c r="K95" s="14"/>
      <c r="L95" s="19"/>
      <c r="M95" s="25"/>
      <c r="N95" s="21"/>
      <c r="O95" s="19"/>
      <c r="P95" s="19"/>
    </row>
    <row r="96">
      <c r="A96" s="8"/>
      <c r="B96" s="21"/>
      <c r="C96" s="21"/>
      <c r="D96" s="21"/>
      <c r="E96" s="21"/>
      <c r="F96" s="21"/>
      <c r="G96" s="24"/>
      <c r="H96" s="24"/>
      <c r="I96" s="13" t="str">
        <f t="shared" si="2"/>
        <v/>
      </c>
      <c r="J96" s="8" t="b">
        <v>0</v>
      </c>
      <c r="K96" s="14"/>
      <c r="L96" s="19"/>
      <c r="M96" s="25"/>
      <c r="N96" s="21"/>
      <c r="O96" s="19"/>
      <c r="P96" s="19"/>
    </row>
    <row r="97">
      <c r="A97" s="8"/>
      <c r="B97" s="21"/>
      <c r="C97" s="21"/>
      <c r="D97" s="21"/>
      <c r="E97" s="21"/>
      <c r="F97" s="21"/>
      <c r="G97" s="24"/>
      <c r="H97" s="24"/>
      <c r="I97" s="13" t="str">
        <f t="shared" si="2"/>
        <v/>
      </c>
      <c r="J97" s="8" t="b">
        <v>0</v>
      </c>
      <c r="K97" s="14"/>
      <c r="L97" s="19"/>
      <c r="M97" s="25"/>
      <c r="N97" s="21"/>
      <c r="O97" s="19"/>
      <c r="P97" s="19"/>
    </row>
    <row r="98">
      <c r="A98" s="8"/>
      <c r="B98" s="21"/>
      <c r="C98" s="21"/>
      <c r="D98" s="21"/>
      <c r="E98" s="21"/>
      <c r="F98" s="21"/>
      <c r="G98" s="24"/>
      <c r="H98" s="24"/>
      <c r="I98" s="13" t="str">
        <f t="shared" si="2"/>
        <v/>
      </c>
      <c r="J98" s="8" t="b">
        <v>0</v>
      </c>
      <c r="K98" s="14"/>
      <c r="L98" s="19"/>
      <c r="M98" s="25"/>
      <c r="N98" s="21"/>
      <c r="O98" s="19"/>
      <c r="P98" s="19"/>
    </row>
    <row r="99">
      <c r="A99" s="8"/>
      <c r="B99" s="21"/>
      <c r="C99" s="21"/>
      <c r="D99" s="21"/>
      <c r="E99" s="21"/>
      <c r="F99" s="21"/>
      <c r="G99" s="24"/>
      <c r="H99" s="24"/>
      <c r="I99" s="13" t="str">
        <f t="shared" si="2"/>
        <v/>
      </c>
      <c r="J99" s="8" t="b">
        <v>0</v>
      </c>
      <c r="K99" s="14"/>
      <c r="L99" s="19"/>
      <c r="M99" s="25"/>
      <c r="N99" s="21"/>
      <c r="O99" s="19"/>
      <c r="P99" s="19"/>
    </row>
    <row r="100">
      <c r="A100" s="8"/>
      <c r="B100" s="21"/>
      <c r="C100" s="21"/>
      <c r="D100" s="21"/>
      <c r="E100" s="21"/>
      <c r="F100" s="21"/>
      <c r="G100" s="24"/>
      <c r="H100" s="24"/>
      <c r="I100" s="13" t="str">
        <f t="shared" si="2"/>
        <v/>
      </c>
      <c r="J100" s="8" t="b">
        <v>0</v>
      </c>
      <c r="K100" s="14"/>
      <c r="L100" s="19"/>
      <c r="M100" s="25"/>
      <c r="N100" s="21"/>
      <c r="O100" s="19"/>
      <c r="P100" s="19"/>
    </row>
    <row r="101">
      <c r="A101" s="8"/>
      <c r="B101" s="21"/>
      <c r="C101" s="21"/>
      <c r="D101" s="21"/>
      <c r="E101" s="21"/>
      <c r="F101" s="21"/>
      <c r="G101" s="24"/>
      <c r="H101" s="24"/>
      <c r="I101" s="13" t="str">
        <f t="shared" si="2"/>
        <v/>
      </c>
      <c r="J101" s="8" t="b">
        <v>0</v>
      </c>
      <c r="K101" s="14"/>
      <c r="L101" s="19"/>
      <c r="M101" s="25"/>
      <c r="N101" s="21"/>
      <c r="O101" s="19"/>
      <c r="P101" s="19"/>
    </row>
    <row r="102">
      <c r="A102" s="8"/>
      <c r="B102" s="21"/>
      <c r="C102" s="21"/>
      <c r="D102" s="21"/>
      <c r="E102" s="21"/>
      <c r="F102" s="21"/>
      <c r="G102" s="24"/>
      <c r="H102" s="24"/>
      <c r="I102" s="13" t="str">
        <f t="shared" si="2"/>
        <v/>
      </c>
      <c r="J102" s="8" t="b">
        <v>0</v>
      </c>
      <c r="K102" s="14"/>
      <c r="L102" s="19"/>
      <c r="M102" s="25"/>
      <c r="N102" s="21"/>
      <c r="O102" s="19"/>
      <c r="P102" s="19"/>
    </row>
    <row r="103">
      <c r="A103" s="8"/>
      <c r="B103" s="21"/>
      <c r="C103" s="21"/>
      <c r="D103" s="21"/>
      <c r="E103" s="21"/>
      <c r="F103" s="21"/>
      <c r="G103" s="24"/>
      <c r="H103" s="24"/>
      <c r="I103" s="13" t="str">
        <f t="shared" si="2"/>
        <v/>
      </c>
      <c r="J103" s="8" t="b">
        <v>0</v>
      </c>
      <c r="K103" s="14"/>
      <c r="L103" s="19"/>
      <c r="M103" s="25"/>
      <c r="N103" s="21"/>
      <c r="O103" s="19"/>
      <c r="P103" s="19"/>
    </row>
    <row r="104">
      <c r="A104" s="8"/>
      <c r="B104" s="21"/>
      <c r="C104" s="21"/>
      <c r="D104" s="21"/>
      <c r="E104" s="21"/>
      <c r="F104" s="21"/>
      <c r="G104" s="24"/>
      <c r="H104" s="24"/>
      <c r="I104" s="13" t="str">
        <f t="shared" si="2"/>
        <v/>
      </c>
      <c r="J104" s="8" t="b">
        <v>0</v>
      </c>
      <c r="K104" s="14"/>
      <c r="L104" s="19"/>
      <c r="M104" s="25"/>
      <c r="N104" s="21"/>
      <c r="O104" s="19"/>
      <c r="P104" s="19"/>
    </row>
    <row r="105">
      <c r="A105" s="8"/>
      <c r="B105" s="21"/>
      <c r="C105" s="21"/>
      <c r="D105" s="21"/>
      <c r="E105" s="21"/>
      <c r="F105" s="21"/>
      <c r="G105" s="24"/>
      <c r="H105" s="24"/>
      <c r="I105" s="13" t="str">
        <f t="shared" si="2"/>
        <v/>
      </c>
      <c r="J105" s="8" t="b">
        <v>0</v>
      </c>
      <c r="K105" s="14"/>
      <c r="L105" s="19"/>
      <c r="M105" s="25"/>
      <c r="N105" s="21"/>
      <c r="O105" s="19"/>
      <c r="P105" s="19"/>
    </row>
    <row r="106">
      <c r="A106" s="8"/>
      <c r="B106" s="21"/>
      <c r="C106" s="21"/>
      <c r="D106" s="21"/>
      <c r="E106" s="21"/>
      <c r="F106" s="21"/>
      <c r="G106" s="24"/>
      <c r="H106" s="24"/>
      <c r="I106" s="13" t="str">
        <f t="shared" si="2"/>
        <v/>
      </c>
      <c r="J106" s="8" t="b">
        <v>0</v>
      </c>
      <c r="K106" s="14"/>
      <c r="L106" s="19"/>
      <c r="M106" s="25"/>
      <c r="N106" s="21"/>
      <c r="O106" s="19"/>
      <c r="P106" s="19"/>
    </row>
    <row r="107">
      <c r="A107" s="8"/>
      <c r="B107" s="21"/>
      <c r="C107" s="21"/>
      <c r="D107" s="21"/>
      <c r="E107" s="21"/>
      <c r="F107" s="21"/>
      <c r="G107" s="24"/>
      <c r="H107" s="24"/>
      <c r="I107" s="13" t="str">
        <f t="shared" si="2"/>
        <v/>
      </c>
      <c r="J107" s="8" t="b">
        <v>0</v>
      </c>
      <c r="K107" s="14"/>
      <c r="L107" s="19"/>
      <c r="M107" s="25"/>
      <c r="N107" s="21"/>
      <c r="O107" s="19"/>
      <c r="P107" s="19"/>
    </row>
    <row r="108">
      <c r="A108" s="8"/>
      <c r="B108" s="21"/>
      <c r="C108" s="21"/>
      <c r="D108" s="21"/>
      <c r="E108" s="21"/>
      <c r="F108" s="21"/>
      <c r="G108" s="24"/>
      <c r="H108" s="24"/>
      <c r="I108" s="13" t="str">
        <f t="shared" si="2"/>
        <v/>
      </c>
      <c r="J108" s="8" t="b">
        <v>0</v>
      </c>
      <c r="K108" s="14"/>
      <c r="L108" s="19"/>
      <c r="M108" s="25"/>
      <c r="N108" s="21"/>
      <c r="O108" s="19"/>
      <c r="P108" s="19"/>
    </row>
    <row r="109">
      <c r="A109" s="8"/>
      <c r="B109" s="21"/>
      <c r="C109" s="21"/>
      <c r="D109" s="21"/>
      <c r="E109" s="21"/>
      <c r="F109" s="21"/>
      <c r="G109" s="24"/>
      <c r="H109" s="24"/>
      <c r="I109" s="13" t="str">
        <f t="shared" si="2"/>
        <v/>
      </c>
      <c r="J109" s="8" t="b">
        <v>0</v>
      </c>
      <c r="K109" s="14"/>
      <c r="L109" s="19"/>
      <c r="M109" s="25"/>
      <c r="N109" s="21"/>
      <c r="O109" s="19"/>
      <c r="P109" s="19"/>
    </row>
    <row r="110">
      <c r="A110" s="8"/>
      <c r="B110" s="21"/>
      <c r="C110" s="21"/>
      <c r="D110" s="21"/>
      <c r="E110" s="21"/>
      <c r="F110" s="21"/>
      <c r="G110" s="24"/>
      <c r="H110" s="24"/>
      <c r="I110" s="13" t="str">
        <f t="shared" si="2"/>
        <v/>
      </c>
      <c r="J110" s="8" t="b">
        <v>0</v>
      </c>
      <c r="K110" s="14"/>
      <c r="L110" s="19"/>
      <c r="M110" s="25"/>
      <c r="N110" s="21"/>
      <c r="O110" s="19"/>
      <c r="P110" s="19"/>
    </row>
    <row r="111">
      <c r="A111" s="8"/>
      <c r="B111" s="21"/>
      <c r="C111" s="21"/>
      <c r="D111" s="21"/>
      <c r="E111" s="21"/>
      <c r="F111" s="21"/>
      <c r="G111" s="24"/>
      <c r="H111" s="24"/>
      <c r="I111" s="13" t="str">
        <f t="shared" si="2"/>
        <v/>
      </c>
      <c r="J111" s="8" t="b">
        <v>0</v>
      </c>
      <c r="K111" s="14"/>
      <c r="L111" s="19"/>
      <c r="M111" s="25"/>
      <c r="N111" s="21"/>
      <c r="O111" s="19"/>
      <c r="P111" s="19"/>
    </row>
    <row r="112">
      <c r="A112" s="8"/>
      <c r="B112" s="21"/>
      <c r="C112" s="21"/>
      <c r="D112" s="21"/>
      <c r="E112" s="21"/>
      <c r="F112" s="21"/>
      <c r="G112" s="24"/>
      <c r="H112" s="24"/>
      <c r="I112" s="13" t="str">
        <f t="shared" si="2"/>
        <v/>
      </c>
      <c r="J112" s="8" t="b">
        <v>0</v>
      </c>
      <c r="K112" s="14"/>
      <c r="L112" s="19"/>
      <c r="M112" s="25"/>
      <c r="N112" s="21"/>
      <c r="O112" s="19"/>
      <c r="P112" s="19"/>
    </row>
    <row r="113">
      <c r="A113" s="8"/>
      <c r="B113" s="21"/>
      <c r="C113" s="21"/>
      <c r="D113" s="21"/>
      <c r="E113" s="21"/>
      <c r="F113" s="21"/>
      <c r="G113" s="24"/>
      <c r="H113" s="24"/>
      <c r="I113" s="13" t="str">
        <f t="shared" si="2"/>
        <v/>
      </c>
      <c r="J113" s="8" t="b">
        <v>0</v>
      </c>
      <c r="K113" s="14"/>
      <c r="L113" s="19"/>
      <c r="M113" s="25"/>
      <c r="N113" s="21"/>
      <c r="O113" s="19"/>
      <c r="P113" s="19"/>
    </row>
    <row r="114">
      <c r="A114" s="8"/>
      <c r="B114" s="21"/>
      <c r="C114" s="21"/>
      <c r="D114" s="21"/>
      <c r="E114" s="21"/>
      <c r="F114" s="21"/>
      <c r="G114" s="24"/>
      <c r="H114" s="24"/>
      <c r="I114" s="13" t="str">
        <f t="shared" si="2"/>
        <v/>
      </c>
      <c r="J114" s="8" t="b">
        <v>0</v>
      </c>
      <c r="K114" s="14"/>
      <c r="L114" s="19"/>
      <c r="M114" s="25"/>
      <c r="N114" s="21"/>
      <c r="O114" s="19"/>
      <c r="P114" s="19"/>
    </row>
    <row r="115">
      <c r="A115" s="8"/>
      <c r="B115" s="21"/>
      <c r="C115" s="21"/>
      <c r="D115" s="21"/>
      <c r="E115" s="21"/>
      <c r="F115" s="21"/>
      <c r="G115" s="24"/>
      <c r="H115" s="24"/>
      <c r="I115" s="13" t="str">
        <f t="shared" si="2"/>
        <v/>
      </c>
      <c r="J115" s="8" t="b">
        <v>0</v>
      </c>
      <c r="K115" s="14"/>
      <c r="L115" s="19"/>
      <c r="M115" s="25"/>
      <c r="N115" s="21"/>
      <c r="O115" s="19"/>
      <c r="P115" s="19"/>
    </row>
    <row r="116">
      <c r="A116" s="8"/>
      <c r="B116" s="21"/>
      <c r="C116" s="21"/>
      <c r="D116" s="21"/>
      <c r="E116" s="21"/>
      <c r="F116" s="21"/>
      <c r="G116" s="24"/>
      <c r="H116" s="24"/>
      <c r="I116" s="13" t="str">
        <f t="shared" si="2"/>
        <v/>
      </c>
      <c r="J116" s="8" t="b">
        <v>0</v>
      </c>
      <c r="K116" s="14"/>
      <c r="L116" s="19"/>
      <c r="M116" s="25"/>
      <c r="N116" s="21"/>
      <c r="O116" s="19"/>
      <c r="P116" s="19"/>
    </row>
    <row r="117">
      <c r="A117" s="8"/>
      <c r="B117" s="21"/>
      <c r="C117" s="21"/>
      <c r="D117" s="21"/>
      <c r="E117" s="21"/>
      <c r="F117" s="21"/>
      <c r="G117" s="24"/>
      <c r="H117" s="24"/>
      <c r="I117" s="13" t="str">
        <f t="shared" si="2"/>
        <v/>
      </c>
      <c r="J117" s="8" t="b">
        <v>0</v>
      </c>
      <c r="K117" s="14"/>
      <c r="L117" s="19"/>
      <c r="M117" s="25"/>
      <c r="N117" s="21"/>
      <c r="O117" s="19"/>
      <c r="P117" s="19"/>
    </row>
    <row r="118">
      <c r="A118" s="8"/>
      <c r="B118" s="21"/>
      <c r="C118" s="21"/>
      <c r="D118" s="21"/>
      <c r="E118" s="21"/>
      <c r="F118" s="21"/>
      <c r="G118" s="24"/>
      <c r="H118" s="24"/>
      <c r="I118" s="13" t="str">
        <f t="shared" si="2"/>
        <v/>
      </c>
      <c r="J118" s="8" t="b">
        <v>0</v>
      </c>
      <c r="K118" s="14"/>
      <c r="L118" s="19"/>
      <c r="M118" s="25"/>
      <c r="N118" s="21"/>
      <c r="O118" s="19"/>
      <c r="P118" s="19"/>
    </row>
    <row r="119">
      <c r="A119" s="8"/>
      <c r="B119" s="21"/>
      <c r="C119" s="21"/>
      <c r="D119" s="21"/>
      <c r="E119" s="21"/>
      <c r="F119" s="21"/>
      <c r="G119" s="24"/>
      <c r="H119" s="24"/>
      <c r="I119" s="13" t="str">
        <f t="shared" si="2"/>
        <v/>
      </c>
      <c r="J119" s="8" t="b">
        <v>0</v>
      </c>
      <c r="K119" s="14"/>
      <c r="L119" s="19"/>
      <c r="M119" s="25"/>
      <c r="N119" s="21"/>
      <c r="O119" s="19"/>
      <c r="P119" s="19"/>
    </row>
    <row r="120">
      <c r="A120" s="8"/>
      <c r="B120" s="21"/>
      <c r="C120" s="21"/>
      <c r="D120" s="21"/>
      <c r="E120" s="21"/>
      <c r="F120" s="21"/>
      <c r="G120" s="24"/>
      <c r="H120" s="24"/>
      <c r="I120" s="13" t="str">
        <f t="shared" si="2"/>
        <v/>
      </c>
      <c r="J120" s="8" t="b">
        <v>0</v>
      </c>
      <c r="K120" s="14"/>
      <c r="L120" s="19"/>
      <c r="M120" s="25"/>
      <c r="N120" s="21"/>
      <c r="O120" s="19"/>
      <c r="P120" s="19"/>
    </row>
    <row r="121">
      <c r="A121" s="8"/>
      <c r="B121" s="21"/>
      <c r="C121" s="21"/>
      <c r="D121" s="21"/>
      <c r="E121" s="21"/>
      <c r="F121" s="21"/>
      <c r="G121" s="24"/>
      <c r="H121" s="24"/>
      <c r="I121" s="13" t="str">
        <f t="shared" si="2"/>
        <v/>
      </c>
      <c r="J121" s="8" t="b">
        <v>0</v>
      </c>
      <c r="K121" s="14"/>
      <c r="L121" s="19"/>
      <c r="M121" s="25"/>
      <c r="N121" s="21"/>
      <c r="O121" s="19"/>
      <c r="P121" s="19"/>
    </row>
    <row r="122">
      <c r="A122" s="8"/>
      <c r="B122" s="21"/>
      <c r="C122" s="21"/>
      <c r="D122" s="21"/>
      <c r="E122" s="21"/>
      <c r="F122" s="21"/>
      <c r="G122" s="24"/>
      <c r="H122" s="24"/>
      <c r="I122" s="13" t="str">
        <f t="shared" si="2"/>
        <v/>
      </c>
      <c r="J122" s="8" t="b">
        <v>0</v>
      </c>
      <c r="K122" s="14"/>
      <c r="L122" s="19"/>
      <c r="M122" s="25"/>
      <c r="N122" s="21"/>
      <c r="O122" s="19"/>
      <c r="P122" s="19"/>
    </row>
    <row r="123">
      <c r="A123" s="8"/>
      <c r="B123" s="21"/>
      <c r="C123" s="21"/>
      <c r="D123" s="21"/>
      <c r="E123" s="21"/>
      <c r="F123" s="21"/>
      <c r="G123" s="24"/>
      <c r="H123" s="24"/>
      <c r="I123" s="13" t="str">
        <f t="shared" si="2"/>
        <v/>
      </c>
      <c r="J123" s="8" t="b">
        <v>0</v>
      </c>
      <c r="K123" s="14"/>
      <c r="L123" s="19"/>
      <c r="M123" s="25"/>
      <c r="N123" s="21"/>
      <c r="O123" s="19"/>
      <c r="P123" s="19"/>
    </row>
    <row r="124">
      <c r="A124" s="8"/>
      <c r="B124" s="21"/>
      <c r="C124" s="21"/>
      <c r="D124" s="21"/>
      <c r="E124" s="21"/>
      <c r="F124" s="21"/>
      <c r="G124" s="24"/>
      <c r="H124" s="24"/>
      <c r="I124" s="13" t="str">
        <f t="shared" si="2"/>
        <v/>
      </c>
      <c r="J124" s="8" t="b">
        <v>0</v>
      </c>
      <c r="K124" s="14"/>
      <c r="L124" s="19"/>
      <c r="M124" s="25"/>
      <c r="N124" s="21"/>
      <c r="O124" s="19"/>
      <c r="P124" s="19"/>
    </row>
    <row r="125">
      <c r="A125" s="8"/>
      <c r="B125" s="21"/>
      <c r="C125" s="21"/>
      <c r="D125" s="21"/>
      <c r="E125" s="21"/>
      <c r="F125" s="21"/>
      <c r="G125" s="24"/>
      <c r="H125" s="24"/>
      <c r="I125" s="13" t="str">
        <f t="shared" si="2"/>
        <v/>
      </c>
      <c r="J125" s="8" t="b">
        <v>0</v>
      </c>
      <c r="K125" s="14"/>
      <c r="L125" s="19"/>
      <c r="M125" s="25"/>
      <c r="N125" s="21"/>
      <c r="O125" s="19"/>
      <c r="P125" s="19"/>
    </row>
    <row r="126">
      <c r="A126" s="8"/>
      <c r="B126" s="21"/>
      <c r="C126" s="21"/>
      <c r="D126" s="21"/>
      <c r="E126" s="21"/>
      <c r="F126" s="21"/>
      <c r="G126" s="24"/>
      <c r="H126" s="24"/>
      <c r="I126" s="13" t="str">
        <f t="shared" si="2"/>
        <v/>
      </c>
      <c r="J126" s="8" t="b">
        <v>0</v>
      </c>
      <c r="K126" s="14"/>
      <c r="L126" s="19"/>
      <c r="M126" s="25"/>
      <c r="N126" s="21"/>
      <c r="O126" s="19"/>
      <c r="P126" s="19"/>
    </row>
    <row r="127">
      <c r="A127" s="8"/>
      <c r="B127" s="21"/>
      <c r="C127" s="21"/>
      <c r="D127" s="21"/>
      <c r="E127" s="21"/>
      <c r="F127" s="21"/>
      <c r="G127" s="24"/>
      <c r="H127" s="24"/>
      <c r="I127" s="13" t="str">
        <f t="shared" si="2"/>
        <v/>
      </c>
      <c r="J127" s="8" t="b">
        <v>0</v>
      </c>
      <c r="K127" s="14"/>
      <c r="L127" s="19"/>
      <c r="M127" s="25"/>
      <c r="N127" s="21"/>
      <c r="O127" s="19"/>
      <c r="P127" s="19"/>
    </row>
    <row r="128">
      <c r="A128" s="8"/>
      <c r="B128" s="21"/>
      <c r="C128" s="21"/>
      <c r="D128" s="21"/>
      <c r="E128" s="21"/>
      <c r="F128" s="21"/>
      <c r="G128" s="24"/>
      <c r="H128" s="24"/>
      <c r="I128" s="13" t="str">
        <f t="shared" si="2"/>
        <v/>
      </c>
      <c r="J128" s="8" t="b">
        <v>0</v>
      </c>
      <c r="K128" s="14"/>
      <c r="L128" s="19"/>
      <c r="M128" s="25"/>
      <c r="N128" s="21"/>
      <c r="O128" s="19"/>
      <c r="P128" s="19"/>
    </row>
    <row r="129">
      <c r="A129" s="8"/>
      <c r="B129" s="21"/>
      <c r="C129" s="21"/>
      <c r="D129" s="21"/>
      <c r="E129" s="21"/>
      <c r="F129" s="21"/>
      <c r="G129" s="24"/>
      <c r="H129" s="24"/>
      <c r="I129" s="13" t="str">
        <f t="shared" si="2"/>
        <v/>
      </c>
      <c r="J129" s="8" t="b">
        <v>0</v>
      </c>
      <c r="K129" s="14"/>
      <c r="L129" s="19"/>
      <c r="M129" s="25"/>
      <c r="N129" s="21"/>
      <c r="O129" s="19"/>
      <c r="P129" s="19"/>
    </row>
    <row r="130">
      <c r="A130" s="8"/>
      <c r="B130" s="21"/>
      <c r="C130" s="21"/>
      <c r="D130" s="21"/>
      <c r="E130" s="21"/>
      <c r="F130" s="21"/>
      <c r="G130" s="24"/>
      <c r="H130" s="24"/>
      <c r="I130" s="13" t="str">
        <f t="shared" si="2"/>
        <v/>
      </c>
      <c r="J130" s="8" t="b">
        <v>0</v>
      </c>
      <c r="K130" s="14"/>
      <c r="L130" s="19"/>
      <c r="M130" s="25"/>
      <c r="N130" s="21"/>
      <c r="O130" s="19"/>
      <c r="P130" s="19"/>
    </row>
    <row r="131">
      <c r="A131" s="8"/>
      <c r="B131" s="21"/>
      <c r="C131" s="21"/>
      <c r="D131" s="21"/>
      <c r="E131" s="21"/>
      <c r="F131" s="21"/>
      <c r="G131" s="24"/>
      <c r="H131" s="24"/>
      <c r="I131" s="13" t="str">
        <f t="shared" si="2"/>
        <v/>
      </c>
      <c r="J131" s="8" t="b">
        <v>0</v>
      </c>
      <c r="K131" s="14"/>
      <c r="L131" s="19"/>
      <c r="M131" s="25"/>
      <c r="N131" s="21"/>
      <c r="O131" s="19"/>
      <c r="P131" s="19"/>
    </row>
    <row r="132">
      <c r="A132" s="8"/>
      <c r="B132" s="21"/>
      <c r="C132" s="21"/>
      <c r="D132" s="21"/>
      <c r="E132" s="21"/>
      <c r="F132" s="21"/>
      <c r="G132" s="24"/>
      <c r="H132" s="24"/>
      <c r="I132" s="13" t="str">
        <f t="shared" si="2"/>
        <v/>
      </c>
      <c r="J132" s="8" t="b">
        <v>0</v>
      </c>
      <c r="K132" s="14"/>
      <c r="L132" s="19"/>
      <c r="M132" s="25"/>
      <c r="N132" s="21"/>
      <c r="O132" s="19"/>
      <c r="P132" s="19"/>
    </row>
    <row r="133">
      <c r="A133" s="8"/>
      <c r="B133" s="21"/>
      <c r="C133" s="21"/>
      <c r="D133" s="21"/>
      <c r="E133" s="21"/>
      <c r="F133" s="21"/>
      <c r="G133" s="24"/>
      <c r="H133" s="24"/>
      <c r="I133" s="13" t="str">
        <f t="shared" si="2"/>
        <v/>
      </c>
      <c r="J133" s="8" t="b">
        <v>0</v>
      </c>
      <c r="K133" s="14"/>
      <c r="L133" s="19"/>
      <c r="M133" s="25"/>
      <c r="N133" s="21"/>
      <c r="O133" s="19"/>
      <c r="P133" s="19"/>
    </row>
    <row r="134">
      <c r="A134" s="8"/>
      <c r="B134" s="21"/>
      <c r="C134" s="21"/>
      <c r="D134" s="21"/>
      <c r="E134" s="21"/>
      <c r="F134" s="21"/>
      <c r="G134" s="24"/>
      <c r="H134" s="24"/>
      <c r="I134" s="26"/>
      <c r="J134" s="8" t="b">
        <v>0</v>
      </c>
      <c r="K134" s="14"/>
      <c r="L134" s="19"/>
      <c r="M134" s="25"/>
      <c r="N134" s="21"/>
      <c r="O134" s="19"/>
      <c r="P134" s="19"/>
    </row>
    <row r="135">
      <c r="A135" s="8"/>
      <c r="B135" s="21"/>
      <c r="C135" s="21"/>
      <c r="D135" s="21"/>
      <c r="E135" s="21"/>
      <c r="F135" s="21"/>
      <c r="G135" s="24"/>
      <c r="H135" s="24"/>
      <c r="I135" s="26"/>
      <c r="J135" s="8" t="b">
        <v>0</v>
      </c>
      <c r="K135" s="14"/>
      <c r="L135" s="19"/>
      <c r="M135" s="25"/>
      <c r="N135" s="21"/>
      <c r="O135" s="19"/>
      <c r="P135" s="19"/>
    </row>
  </sheetData>
  <conditionalFormatting sqref="I1:I14 I16:I135">
    <cfRule type="containsBlanks" dxfId="0" priority="1">
      <formula>LEN(TRIM(I1))=0</formula>
    </cfRule>
  </conditionalFormatting>
  <dataValidations>
    <dataValidation type="list" allowBlank="1" showErrorMessage="1" sqref="A2:A135">
      <formula1>"Now,Later,Hide"</formula1>
    </dataValidation>
    <dataValidation type="list" allowBlank="1" showErrorMessage="1" sqref="K2:K135">
      <formula1>"Consulting,Development,Solutions Engineering,Strategy"</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9.0"/>
    <col customWidth="1" min="3" max="3" width="40.38"/>
    <col customWidth="1" min="4" max="4" width="20.0"/>
  </cols>
  <sheetData>
    <row r="1">
      <c r="A1" s="27" t="s">
        <v>80</v>
      </c>
      <c r="B1" s="27" t="s">
        <v>81</v>
      </c>
      <c r="C1" s="27" t="s">
        <v>82</v>
      </c>
      <c r="D1" s="27" t="s">
        <v>83</v>
      </c>
    </row>
    <row r="2">
      <c r="A2" s="28" t="s">
        <v>84</v>
      </c>
      <c r="B2" s="29"/>
      <c r="C2" s="30"/>
      <c r="D2" s="30"/>
    </row>
    <row r="3">
      <c r="A3" s="31" t="s">
        <v>85</v>
      </c>
      <c r="B3" s="32" t="s">
        <v>86</v>
      </c>
      <c r="C3" s="33" t="s">
        <v>87</v>
      </c>
      <c r="D3" s="34"/>
    </row>
    <row r="4">
      <c r="A4" s="35" t="s">
        <v>88</v>
      </c>
      <c r="B4" s="36"/>
      <c r="C4" s="37" t="s">
        <v>89</v>
      </c>
      <c r="D4" s="34"/>
    </row>
    <row r="5">
      <c r="A5" s="31" t="s">
        <v>90</v>
      </c>
      <c r="B5" s="32">
        <v>4.9070494503E10</v>
      </c>
      <c r="C5" s="37" t="s">
        <v>91</v>
      </c>
      <c r="D5" s="34"/>
    </row>
    <row r="6">
      <c r="A6" s="35" t="s">
        <v>92</v>
      </c>
      <c r="B6" s="38"/>
      <c r="C6" s="37" t="s">
        <v>93</v>
      </c>
      <c r="D6" s="34"/>
    </row>
    <row r="7">
      <c r="A7" s="39" t="s">
        <v>94</v>
      </c>
      <c r="B7" s="40"/>
      <c r="C7" s="37" t="s">
        <v>95</v>
      </c>
      <c r="D7" s="34"/>
    </row>
    <row r="8">
      <c r="A8" s="39" t="s">
        <v>96</v>
      </c>
      <c r="B8" s="41" t="s">
        <v>97</v>
      </c>
      <c r="C8" s="36"/>
      <c r="D8" s="42" t="s">
        <v>98</v>
      </c>
    </row>
    <row r="9">
      <c r="A9" s="39" t="s">
        <v>99</v>
      </c>
      <c r="B9" s="43" t="s">
        <v>100</v>
      </c>
      <c r="C9" s="37" t="s">
        <v>101</v>
      </c>
      <c r="D9" s="34"/>
    </row>
    <row r="10">
      <c r="A10" s="44"/>
      <c r="B10" s="45"/>
      <c r="C10" s="36"/>
      <c r="D10" s="34"/>
    </row>
    <row r="11">
      <c r="A11" s="28" t="s">
        <v>102</v>
      </c>
      <c r="B11" s="29"/>
      <c r="C11" s="30"/>
      <c r="D11" s="30"/>
    </row>
    <row r="12">
      <c r="A12" s="35" t="s">
        <v>103</v>
      </c>
      <c r="B12" s="46" t="s">
        <v>104</v>
      </c>
      <c r="C12" s="37" t="s">
        <v>105</v>
      </c>
      <c r="D12" s="47" t="s">
        <v>106</v>
      </c>
    </row>
    <row r="13">
      <c r="A13" s="35" t="s">
        <v>107</v>
      </c>
      <c r="B13" s="48">
        <v>45979.424842141205</v>
      </c>
      <c r="C13" s="37" t="s">
        <v>108</v>
      </c>
      <c r="D13" s="34"/>
    </row>
    <row r="14">
      <c r="A14" s="35" t="s">
        <v>109</v>
      </c>
      <c r="B14" s="41" t="s">
        <v>110</v>
      </c>
      <c r="C14" s="37" t="s">
        <v>111</v>
      </c>
      <c r="D14" s="34"/>
    </row>
    <row r="15">
      <c r="A15" s="44"/>
      <c r="B15" s="36"/>
      <c r="C15" s="36"/>
      <c r="D15" s="36"/>
    </row>
    <row r="16">
      <c r="A16" s="49" t="s">
        <v>112</v>
      </c>
      <c r="B16" s="29"/>
      <c r="C16" s="30"/>
      <c r="D16" s="30"/>
    </row>
    <row r="17">
      <c r="A17" s="31" t="s">
        <v>113</v>
      </c>
      <c r="B17" s="50">
        <v>245.0</v>
      </c>
      <c r="C17" s="33" t="s">
        <v>114</v>
      </c>
      <c r="D17" s="47" t="s">
        <v>115</v>
      </c>
    </row>
    <row r="18">
      <c r="A18" s="31" t="s">
        <v>116</v>
      </c>
      <c r="B18" s="51">
        <v>0.25</v>
      </c>
      <c r="C18" s="33" t="s">
        <v>117</v>
      </c>
      <c r="D18" s="34"/>
    </row>
    <row r="19">
      <c r="A19" s="31" t="s">
        <v>118</v>
      </c>
      <c r="B19" s="52" t="s">
        <v>119</v>
      </c>
      <c r="C19" s="53" t="s">
        <v>120</v>
      </c>
      <c r="D19" s="54"/>
    </row>
    <row r="20">
      <c r="A20" s="35" t="s">
        <v>121</v>
      </c>
      <c r="B20" s="55">
        <v>46003.0</v>
      </c>
      <c r="C20" s="33" t="s">
        <v>122</v>
      </c>
      <c r="D20" s="34"/>
    </row>
    <row r="21">
      <c r="A21" s="35" t="s">
        <v>123</v>
      </c>
      <c r="B21" s="56">
        <v>3.0</v>
      </c>
      <c r="C21" s="33" t="s">
        <v>124</v>
      </c>
      <c r="D21" s="47" t="s">
        <v>125</v>
      </c>
    </row>
    <row r="22">
      <c r="A22" s="15"/>
      <c r="B22" s="34"/>
      <c r="C22" s="34"/>
      <c r="D22" s="34"/>
    </row>
    <row r="23">
      <c r="A23" s="49" t="s">
        <v>126</v>
      </c>
      <c r="B23" s="29"/>
      <c r="C23" s="30"/>
      <c r="D23" s="30"/>
    </row>
    <row r="24">
      <c r="A24" s="31" t="s">
        <v>127</v>
      </c>
      <c r="B24" s="57">
        <v>0.0</v>
      </c>
      <c r="C24" s="37" t="s">
        <v>128</v>
      </c>
      <c r="D24" s="47" t="s">
        <v>129</v>
      </c>
    </row>
    <row r="25">
      <c r="A25" s="31" t="s">
        <v>130</v>
      </c>
      <c r="B25" s="56">
        <v>0.0</v>
      </c>
      <c r="C25" s="37" t="s">
        <v>131</v>
      </c>
      <c r="D25" s="47" t="s">
        <v>132</v>
      </c>
    </row>
    <row r="26">
      <c r="A26" s="31" t="s">
        <v>133</v>
      </c>
      <c r="B26" s="56">
        <v>0.0</v>
      </c>
      <c r="C26" s="37" t="s">
        <v>134</v>
      </c>
      <c r="D26" s="47" t="s">
        <v>135</v>
      </c>
    </row>
    <row r="27">
      <c r="A27" s="31" t="s">
        <v>136</v>
      </c>
      <c r="B27" s="52" t="s">
        <v>137</v>
      </c>
      <c r="C27" s="58" t="s">
        <v>138</v>
      </c>
      <c r="D27" s="54"/>
    </row>
    <row r="28">
      <c r="A28" s="15"/>
      <c r="B28" s="34"/>
      <c r="C28" s="34"/>
      <c r="D28" s="34"/>
    </row>
    <row r="29">
      <c r="A29" s="15"/>
      <c r="B29" s="34"/>
      <c r="C29" s="34"/>
      <c r="D29" s="34"/>
    </row>
    <row r="30">
      <c r="A30" s="59" t="s">
        <v>139</v>
      </c>
      <c r="B30" s="29"/>
      <c r="C30" s="30"/>
      <c r="D30" s="30"/>
    </row>
    <row r="31">
      <c r="A31" s="60" t="s">
        <v>140</v>
      </c>
      <c r="B31" s="61" t="s">
        <v>141</v>
      </c>
      <c r="C31" s="53" t="s">
        <v>142</v>
      </c>
      <c r="D31" s="34"/>
    </row>
    <row r="32">
      <c r="A32" s="34"/>
      <c r="B32" s="34"/>
      <c r="C32" s="34"/>
      <c r="D32" s="34"/>
    </row>
  </sheetData>
  <dataValidations>
    <dataValidation type="list" allowBlank="1" showErrorMessage="1" sqref="B14">
      <formula1>"Draft,Hide Hours + Financials,Show Estimates + Ranges,Show Estimates + Ranges + Medians,Final Presentation,Archived"</formula1>
    </dataValidation>
    <dataValidation type="list" allowBlank="1" showErrorMessage="1" sqref="B8">
      <formula1>"Not Started,Technical Disco,SA Building,Scope Confirmation,Complete,Road Blocked,Rescoping"</formula1>
    </dataValidation>
  </dataValidations>
  <hyperlinks>
    <hyperlink r:id="rId1" ref="B1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4" width="25.75"/>
  </cols>
  <sheetData>
    <row r="1">
      <c r="A1" s="62"/>
      <c r="B1" s="62"/>
      <c r="C1" s="62"/>
      <c r="D1" s="27" t="s">
        <v>83</v>
      </c>
      <c r="E1" s="63"/>
      <c r="F1" s="63"/>
      <c r="G1" s="63"/>
      <c r="H1" s="63"/>
      <c r="I1" s="63"/>
      <c r="J1" s="63"/>
      <c r="K1" s="63"/>
      <c r="L1" s="63"/>
      <c r="M1" s="63"/>
      <c r="N1" s="63"/>
      <c r="O1" s="63"/>
      <c r="P1" s="63"/>
      <c r="Q1" s="63"/>
      <c r="R1" s="63"/>
      <c r="S1" s="63"/>
      <c r="T1" s="63"/>
      <c r="U1" s="63"/>
      <c r="V1" s="63"/>
      <c r="W1" s="63"/>
      <c r="X1" s="63"/>
      <c r="Y1" s="63"/>
      <c r="Z1" s="63"/>
    </row>
    <row r="2">
      <c r="A2" s="64" t="s">
        <v>143</v>
      </c>
      <c r="B2" s="65"/>
      <c r="C2" s="65"/>
      <c r="D2" s="65"/>
      <c r="E2" s="63"/>
      <c r="F2" s="63"/>
      <c r="G2" s="63"/>
      <c r="H2" s="63"/>
      <c r="I2" s="63"/>
      <c r="J2" s="63"/>
      <c r="K2" s="63"/>
      <c r="L2" s="63"/>
      <c r="M2" s="63"/>
      <c r="N2" s="63"/>
      <c r="O2" s="63"/>
      <c r="P2" s="63"/>
      <c r="Q2" s="63"/>
      <c r="R2" s="63"/>
      <c r="S2" s="63"/>
      <c r="T2" s="63"/>
      <c r="U2" s="63"/>
      <c r="V2" s="63"/>
      <c r="W2" s="63"/>
      <c r="X2" s="63"/>
      <c r="Y2" s="63"/>
      <c r="Z2" s="63"/>
    </row>
    <row r="3">
      <c r="A3" s="66" t="s">
        <v>144</v>
      </c>
      <c r="B3" s="67">
        <f>SUMIF(Input!A:A,"Now",Input!I:I)</f>
        <v>226</v>
      </c>
      <c r="C3" s="37" t="s">
        <v>145</v>
      </c>
      <c r="D3" s="68"/>
      <c r="E3" s="63"/>
      <c r="F3" s="63"/>
      <c r="G3" s="63"/>
      <c r="H3" s="63"/>
      <c r="I3" s="63"/>
      <c r="J3" s="63"/>
      <c r="K3" s="63"/>
      <c r="L3" s="63"/>
      <c r="M3" s="63"/>
      <c r="N3" s="63"/>
      <c r="O3" s="63"/>
      <c r="P3" s="63"/>
      <c r="Q3" s="63"/>
      <c r="R3" s="63"/>
      <c r="S3" s="63"/>
      <c r="T3" s="63"/>
      <c r="U3" s="63"/>
      <c r="V3" s="63"/>
      <c r="W3" s="63"/>
      <c r="X3" s="63"/>
      <c r="Y3" s="63"/>
      <c r="Z3" s="63"/>
    </row>
    <row r="4">
      <c r="A4" s="66" t="s">
        <v>146</v>
      </c>
      <c r="B4" s="67">
        <f>round(B3*Config!B18,0)</f>
        <v>57</v>
      </c>
      <c r="C4" s="37" t="s">
        <v>147</v>
      </c>
      <c r="D4" s="63"/>
      <c r="E4" s="63"/>
      <c r="F4" s="63"/>
      <c r="G4" s="63"/>
      <c r="H4" s="63"/>
      <c r="I4" s="63"/>
      <c r="J4" s="63"/>
      <c r="K4" s="63"/>
      <c r="L4" s="63"/>
      <c r="M4" s="63"/>
      <c r="N4" s="63"/>
      <c r="O4" s="63"/>
      <c r="P4" s="63"/>
      <c r="Q4" s="63"/>
      <c r="R4" s="63"/>
      <c r="S4" s="63"/>
      <c r="T4" s="63"/>
      <c r="U4" s="63"/>
      <c r="V4" s="63"/>
      <c r="W4" s="63"/>
      <c r="X4" s="63"/>
      <c r="Y4" s="63"/>
      <c r="Z4" s="63"/>
    </row>
    <row r="5">
      <c r="A5" s="66" t="s">
        <v>148</v>
      </c>
      <c r="B5" s="67">
        <f>sum(B3:B4)</f>
        <v>283</v>
      </c>
      <c r="C5" s="37" t="s">
        <v>149</v>
      </c>
      <c r="D5" s="69" t="s">
        <v>150</v>
      </c>
      <c r="E5" s="63"/>
      <c r="F5" s="63"/>
      <c r="G5" s="63"/>
      <c r="H5" s="63"/>
      <c r="I5" s="63"/>
      <c r="J5" s="63"/>
      <c r="K5" s="63"/>
      <c r="L5" s="63"/>
      <c r="M5" s="63"/>
      <c r="N5" s="63"/>
      <c r="O5" s="63"/>
      <c r="P5" s="63"/>
      <c r="Q5" s="63"/>
      <c r="R5" s="63"/>
      <c r="S5" s="63"/>
      <c r="T5" s="63"/>
      <c r="U5" s="63"/>
      <c r="V5" s="63"/>
      <c r="W5" s="63"/>
      <c r="X5" s="63"/>
      <c r="Y5" s="63"/>
      <c r="Z5" s="63"/>
    </row>
    <row r="6">
      <c r="A6" s="66" t="s">
        <v>151</v>
      </c>
      <c r="B6" s="67">
        <f>Config!B25 * Config!B26</f>
        <v>0</v>
      </c>
      <c r="C6" s="63"/>
      <c r="D6" s="63"/>
      <c r="E6" s="63"/>
      <c r="F6" s="63"/>
      <c r="G6" s="63"/>
      <c r="H6" s="63"/>
      <c r="I6" s="63"/>
      <c r="J6" s="63"/>
      <c r="K6" s="63"/>
      <c r="L6" s="63"/>
      <c r="M6" s="63"/>
      <c r="N6" s="63"/>
      <c r="O6" s="63"/>
      <c r="P6" s="63"/>
      <c r="Q6" s="63"/>
      <c r="R6" s="63"/>
      <c r="S6" s="63"/>
      <c r="T6" s="63"/>
      <c r="U6" s="63"/>
      <c r="V6" s="63"/>
      <c r="W6" s="63"/>
      <c r="X6" s="63"/>
      <c r="Y6" s="63"/>
      <c r="Z6" s="63"/>
    </row>
    <row r="7">
      <c r="A7" s="66" t="s">
        <v>152</v>
      </c>
      <c r="B7" s="70">
        <f>sum(B5:B6)</f>
        <v>283</v>
      </c>
      <c r="C7" s="37" t="s">
        <v>153</v>
      </c>
      <c r="D7" s="69" t="s">
        <v>154</v>
      </c>
      <c r="E7" s="63"/>
      <c r="F7" s="63"/>
      <c r="G7" s="63"/>
      <c r="H7" s="63"/>
      <c r="I7" s="63"/>
      <c r="J7" s="63"/>
      <c r="K7" s="63"/>
      <c r="L7" s="63"/>
      <c r="M7" s="63"/>
      <c r="N7" s="63"/>
      <c r="O7" s="63"/>
      <c r="P7" s="63"/>
      <c r="Q7" s="63"/>
      <c r="R7" s="63"/>
      <c r="S7" s="63"/>
      <c r="T7" s="63"/>
      <c r="U7" s="63"/>
      <c r="V7" s="63"/>
      <c r="W7" s="63"/>
      <c r="X7" s="63"/>
      <c r="Y7" s="63"/>
      <c r="Z7" s="63"/>
    </row>
    <row r="8">
      <c r="A8" s="66" t="s">
        <v>155</v>
      </c>
      <c r="B8" s="71">
        <f>(B5*Config!B17)+(B6*Config!B24)</f>
        <v>69335</v>
      </c>
      <c r="C8" s="37" t="s">
        <v>153</v>
      </c>
      <c r="D8" s="69" t="s">
        <v>156</v>
      </c>
      <c r="E8" s="63"/>
      <c r="F8" s="63"/>
      <c r="G8" s="63"/>
      <c r="H8" s="63"/>
      <c r="I8" s="63"/>
      <c r="J8" s="63"/>
      <c r="K8" s="63"/>
      <c r="L8" s="63"/>
      <c r="M8" s="63"/>
      <c r="N8" s="63"/>
      <c r="O8" s="63"/>
      <c r="P8" s="63"/>
      <c r="Q8" s="63"/>
      <c r="R8" s="63"/>
      <c r="S8" s="63"/>
      <c r="T8" s="63"/>
      <c r="U8" s="63"/>
      <c r="V8" s="63"/>
      <c r="W8" s="63"/>
      <c r="X8" s="63"/>
      <c r="Y8" s="63"/>
      <c r="Z8" s="63"/>
    </row>
    <row r="9">
      <c r="A9" s="66" t="s">
        <v>157</v>
      </c>
      <c r="B9" s="72">
        <f>EDATE(Config!B20, Config!B21)</f>
        <v>46093</v>
      </c>
      <c r="C9" s="63"/>
      <c r="D9" s="63"/>
      <c r="E9" s="63"/>
      <c r="F9" s="63"/>
      <c r="G9" s="63"/>
      <c r="H9" s="63"/>
      <c r="I9" s="63"/>
      <c r="J9" s="63"/>
      <c r="K9" s="63"/>
      <c r="L9" s="63"/>
      <c r="M9" s="63"/>
      <c r="N9" s="63"/>
      <c r="O9" s="63"/>
      <c r="P9" s="63"/>
      <c r="Q9" s="63"/>
      <c r="R9" s="63"/>
      <c r="S9" s="63"/>
      <c r="T9" s="63"/>
      <c r="U9" s="63"/>
      <c r="V9" s="63"/>
      <c r="W9" s="63"/>
      <c r="X9" s="63"/>
      <c r="Y9" s="63"/>
      <c r="Z9" s="63"/>
    </row>
    <row r="10">
      <c r="A10" s="66" t="s">
        <v>158</v>
      </c>
      <c r="B10" s="67">
        <f>roundup(B3/Config!B21,0)</f>
        <v>76</v>
      </c>
      <c r="C10" s="63"/>
      <c r="D10" s="63"/>
      <c r="E10" s="63"/>
      <c r="F10" s="63"/>
      <c r="G10" s="63"/>
      <c r="H10" s="63"/>
      <c r="I10" s="63"/>
      <c r="J10" s="63"/>
      <c r="K10" s="63"/>
      <c r="L10" s="63"/>
      <c r="M10" s="63"/>
      <c r="N10" s="63"/>
      <c r="O10" s="63"/>
      <c r="P10" s="63"/>
      <c r="Q10" s="63"/>
      <c r="R10" s="63"/>
      <c r="S10" s="63"/>
      <c r="T10" s="63"/>
      <c r="U10" s="63"/>
      <c r="V10" s="63"/>
      <c r="W10" s="63"/>
      <c r="X10" s="63"/>
      <c r="Y10" s="63"/>
      <c r="Z10" s="63"/>
    </row>
    <row r="11">
      <c r="A11" s="66" t="s">
        <v>159</v>
      </c>
      <c r="B11" s="67">
        <f>roundup(B10/4.3,0)</f>
        <v>18</v>
      </c>
      <c r="C11" s="63"/>
      <c r="D11" s="63"/>
      <c r="E11" s="63"/>
      <c r="F11" s="63"/>
      <c r="G11" s="63"/>
      <c r="H11" s="63"/>
      <c r="I11" s="63"/>
      <c r="J11" s="63"/>
      <c r="K11" s="63"/>
      <c r="L11" s="63"/>
      <c r="M11" s="63"/>
      <c r="N11" s="63"/>
      <c r="O11" s="63"/>
      <c r="P11" s="63"/>
      <c r="Q11" s="63"/>
      <c r="R11" s="63"/>
      <c r="S11" s="63"/>
      <c r="T11" s="63"/>
      <c r="U11" s="63"/>
      <c r="V11" s="63"/>
      <c r="W11" s="63"/>
      <c r="X11" s="63"/>
      <c r="Y11" s="63"/>
      <c r="Z11" s="63"/>
    </row>
    <row r="12">
      <c r="A12" s="66" t="s">
        <v>160</v>
      </c>
      <c r="B12" s="67">
        <f>B11*1.2</f>
        <v>21.6</v>
      </c>
      <c r="C12" s="68"/>
      <c r="D12" s="68"/>
      <c r="E12" s="63"/>
      <c r="F12" s="63"/>
      <c r="G12" s="63"/>
      <c r="H12" s="63"/>
      <c r="I12" s="63"/>
      <c r="J12" s="63"/>
      <c r="K12" s="63"/>
      <c r="L12" s="63"/>
      <c r="M12" s="63"/>
      <c r="N12" s="63"/>
      <c r="O12" s="63"/>
      <c r="P12" s="63"/>
      <c r="Q12" s="63"/>
      <c r="R12" s="63"/>
      <c r="S12" s="63"/>
      <c r="T12" s="63"/>
      <c r="U12" s="63"/>
      <c r="V12" s="63"/>
      <c r="W12" s="63"/>
      <c r="X12" s="63"/>
      <c r="Y12" s="63"/>
      <c r="Z12" s="63"/>
    </row>
    <row r="13">
      <c r="A13" s="66" t="s">
        <v>161</v>
      </c>
      <c r="B13" s="67">
        <f>B11*0.5</f>
        <v>9</v>
      </c>
      <c r="C13" s="68"/>
      <c r="D13" s="68"/>
      <c r="E13" s="63"/>
      <c r="F13" s="63"/>
      <c r="G13" s="63"/>
      <c r="H13" s="63"/>
      <c r="I13" s="63"/>
      <c r="J13" s="63"/>
      <c r="K13" s="63"/>
      <c r="L13" s="63"/>
      <c r="M13" s="63"/>
      <c r="N13" s="63"/>
      <c r="O13" s="63"/>
      <c r="P13" s="63"/>
      <c r="Q13" s="63"/>
      <c r="R13" s="63"/>
      <c r="S13" s="63"/>
      <c r="T13" s="63"/>
      <c r="U13" s="63"/>
      <c r="V13" s="63"/>
      <c r="W13" s="63"/>
      <c r="X13" s="63"/>
      <c r="Y13" s="63"/>
      <c r="Z13" s="63"/>
    </row>
    <row r="14">
      <c r="A14" s="66" t="s">
        <v>162</v>
      </c>
      <c r="B14" s="73">
        <f>C21</f>
        <v>0</v>
      </c>
      <c r="C14" s="68"/>
      <c r="D14" s="69" t="s">
        <v>163</v>
      </c>
      <c r="E14" s="63"/>
      <c r="F14" s="63"/>
      <c r="G14" s="63"/>
      <c r="H14" s="63"/>
      <c r="I14" s="63"/>
      <c r="J14" s="63"/>
      <c r="K14" s="63"/>
      <c r="L14" s="63"/>
      <c r="M14" s="63"/>
      <c r="N14" s="63"/>
      <c r="O14" s="63"/>
      <c r="P14" s="63"/>
      <c r="Q14" s="63"/>
      <c r="R14" s="63"/>
      <c r="S14" s="63"/>
      <c r="T14" s="63"/>
      <c r="U14" s="63"/>
      <c r="V14" s="63"/>
      <c r="W14" s="63"/>
      <c r="X14" s="63"/>
      <c r="Y14" s="63"/>
      <c r="Z14" s="63"/>
    </row>
    <row r="15">
      <c r="A15" s="66" t="s">
        <v>164</v>
      </c>
      <c r="B15" s="73">
        <f>C23</f>
        <v>0.03533568905</v>
      </c>
      <c r="C15" s="68"/>
      <c r="D15" s="69" t="s">
        <v>165</v>
      </c>
      <c r="E15" s="63"/>
      <c r="F15" s="63"/>
      <c r="G15" s="63"/>
      <c r="H15" s="63"/>
      <c r="I15" s="63"/>
      <c r="J15" s="63"/>
      <c r="K15" s="63"/>
      <c r="L15" s="63"/>
      <c r="M15" s="63"/>
      <c r="N15" s="63"/>
      <c r="O15" s="63"/>
      <c r="P15" s="63"/>
      <c r="Q15" s="63"/>
      <c r="R15" s="63"/>
      <c r="S15" s="63"/>
      <c r="T15" s="63"/>
      <c r="U15" s="63"/>
      <c r="V15" s="63"/>
      <c r="W15" s="63"/>
      <c r="X15" s="63"/>
      <c r="Y15" s="63"/>
      <c r="Z15" s="63"/>
    </row>
    <row r="16">
      <c r="A16" s="63"/>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c r="A18" s="64" t="s">
        <v>166</v>
      </c>
      <c r="B18" s="65"/>
      <c r="C18" s="65"/>
      <c r="D18" s="65"/>
      <c r="E18" s="63"/>
      <c r="F18" s="63"/>
      <c r="G18" s="63"/>
      <c r="H18" s="63"/>
      <c r="I18" s="63"/>
      <c r="J18" s="63"/>
      <c r="K18" s="63"/>
      <c r="L18" s="63"/>
      <c r="M18" s="63"/>
      <c r="N18" s="63"/>
      <c r="O18" s="63"/>
      <c r="P18" s="63"/>
      <c r="Q18" s="63"/>
      <c r="R18" s="63"/>
      <c r="S18" s="63"/>
      <c r="T18" s="63"/>
      <c r="U18" s="63"/>
      <c r="V18" s="63"/>
      <c r="W18" s="63"/>
      <c r="X18" s="63"/>
      <c r="Y18" s="63"/>
      <c r="Z18" s="63"/>
    </row>
    <row r="19">
      <c r="A19" s="74"/>
      <c r="B19" s="75" t="s">
        <v>167</v>
      </c>
      <c r="C19" s="75" t="s">
        <v>168</v>
      </c>
      <c r="D19" s="63"/>
      <c r="E19" s="63"/>
      <c r="F19" s="63"/>
      <c r="G19" s="63"/>
      <c r="H19" s="63"/>
      <c r="I19" s="63"/>
      <c r="J19" s="63"/>
      <c r="K19" s="63"/>
      <c r="L19" s="63"/>
      <c r="M19" s="63"/>
      <c r="N19" s="63"/>
      <c r="O19" s="63"/>
      <c r="P19" s="63"/>
      <c r="Q19" s="63"/>
      <c r="R19" s="63"/>
      <c r="S19" s="63"/>
      <c r="T19" s="63"/>
      <c r="U19" s="63"/>
      <c r="V19" s="63"/>
      <c r="W19" s="63"/>
      <c r="X19" s="63"/>
      <c r="Y19" s="63"/>
      <c r="Z19" s="63"/>
    </row>
    <row r="20">
      <c r="A20" s="66" t="s">
        <v>21</v>
      </c>
      <c r="B20" s="76">
        <f>SUMIFS(Input!I:I,Input!K:K,"Consulting",Input!A:A,"Now")</f>
        <v>216</v>
      </c>
      <c r="C20" s="73">
        <f>B20/B26</f>
        <v>0.7632508834</v>
      </c>
      <c r="D20" s="68"/>
      <c r="E20" s="68"/>
      <c r="F20" s="63"/>
      <c r="G20" s="63"/>
      <c r="H20" s="63"/>
      <c r="I20" s="63"/>
      <c r="J20" s="63"/>
      <c r="K20" s="63"/>
      <c r="L20" s="63"/>
      <c r="M20" s="63"/>
      <c r="N20" s="63"/>
      <c r="O20" s="63"/>
      <c r="P20" s="63"/>
      <c r="Q20" s="63"/>
      <c r="R20" s="63"/>
      <c r="S20" s="63"/>
      <c r="T20" s="63"/>
      <c r="U20" s="63"/>
      <c r="V20" s="63"/>
      <c r="W20" s="63"/>
      <c r="X20" s="63"/>
      <c r="Y20" s="63"/>
      <c r="Z20" s="63"/>
    </row>
    <row r="21">
      <c r="A21" s="66" t="s">
        <v>169</v>
      </c>
      <c r="B21" s="76">
        <f>SUMIFS(Input!I:I,Input!K:K,"Development",Input!A:A,"Now")</f>
        <v>0</v>
      </c>
      <c r="C21" s="73">
        <f>B21/B26</f>
        <v>0</v>
      </c>
      <c r="D21" s="68"/>
      <c r="E21" s="63"/>
      <c r="F21" s="63"/>
      <c r="G21" s="63"/>
      <c r="H21" s="63"/>
      <c r="I21" s="63"/>
      <c r="J21" s="63"/>
      <c r="K21" s="63"/>
      <c r="L21" s="63"/>
      <c r="M21" s="63"/>
      <c r="N21" s="63"/>
      <c r="O21" s="63"/>
      <c r="P21" s="63"/>
      <c r="Q21" s="63"/>
      <c r="R21" s="63"/>
      <c r="S21" s="63"/>
      <c r="T21" s="63"/>
      <c r="U21" s="63"/>
      <c r="V21" s="63"/>
      <c r="W21" s="63"/>
      <c r="X21" s="63"/>
      <c r="Y21" s="63"/>
      <c r="Z21" s="63"/>
    </row>
    <row r="22">
      <c r="A22" s="66" t="s">
        <v>170</v>
      </c>
      <c r="B22" s="76">
        <f>B4</f>
        <v>57</v>
      </c>
      <c r="C22" s="73">
        <f>B22/B26</f>
        <v>0.2014134276</v>
      </c>
      <c r="D22" s="68"/>
      <c r="E22" s="63"/>
      <c r="F22" s="63"/>
      <c r="G22" s="63"/>
      <c r="H22" s="63"/>
      <c r="I22" s="63"/>
      <c r="J22" s="63"/>
      <c r="K22" s="63"/>
      <c r="L22" s="63"/>
      <c r="M22" s="63"/>
      <c r="N22" s="63"/>
      <c r="O22" s="63"/>
      <c r="P22" s="63"/>
      <c r="Q22" s="63"/>
      <c r="R22" s="63"/>
      <c r="S22" s="63"/>
      <c r="T22" s="63"/>
      <c r="U22" s="63"/>
      <c r="V22" s="63"/>
      <c r="W22" s="63"/>
      <c r="X22" s="63"/>
      <c r="Y22" s="63"/>
      <c r="Z22" s="63"/>
    </row>
    <row r="23">
      <c r="A23" s="66" t="s">
        <v>57</v>
      </c>
      <c r="B23" s="76">
        <f>SUMIFS(Input!I:I,Input!K:K,"Solutions Engineering",Input!A:A,"Now")</f>
        <v>10</v>
      </c>
      <c r="C23" s="73">
        <f>B23/B26</f>
        <v>0.03533568905</v>
      </c>
      <c r="D23" s="68"/>
      <c r="E23" s="63"/>
      <c r="F23" s="63"/>
      <c r="G23" s="63"/>
      <c r="H23" s="63"/>
      <c r="I23" s="63"/>
      <c r="J23" s="63"/>
      <c r="K23" s="63"/>
      <c r="L23" s="63"/>
      <c r="M23" s="63"/>
      <c r="N23" s="63"/>
      <c r="O23" s="63"/>
      <c r="P23" s="63"/>
      <c r="Q23" s="63"/>
      <c r="R23" s="63"/>
      <c r="S23" s="63"/>
      <c r="T23" s="63"/>
      <c r="U23" s="63"/>
      <c r="V23" s="63"/>
      <c r="W23" s="63"/>
      <c r="X23" s="63"/>
      <c r="Y23" s="63"/>
      <c r="Z23" s="63"/>
    </row>
    <row r="24">
      <c r="A24" s="66" t="s">
        <v>171</v>
      </c>
      <c r="B24" s="76">
        <f>SUMIFS(Input!I:I,Input!K:K,"Strategy",Input!A:A,"Now")</f>
        <v>0</v>
      </c>
      <c r="C24" s="73">
        <f>B24/B26</f>
        <v>0</v>
      </c>
      <c r="D24" s="68"/>
      <c r="E24" s="63"/>
      <c r="F24" s="63"/>
      <c r="G24" s="63"/>
      <c r="H24" s="63"/>
      <c r="I24" s="63"/>
      <c r="J24" s="63"/>
      <c r="K24" s="63"/>
      <c r="L24" s="63"/>
      <c r="M24" s="63"/>
      <c r="N24" s="63"/>
      <c r="O24" s="63"/>
      <c r="P24" s="63"/>
      <c r="Q24" s="63"/>
      <c r="R24" s="63"/>
      <c r="S24" s="63"/>
      <c r="T24" s="63"/>
      <c r="U24" s="63"/>
      <c r="V24" s="63"/>
      <c r="W24" s="63"/>
      <c r="X24" s="63"/>
      <c r="Y24" s="63"/>
      <c r="Z24" s="63"/>
    </row>
    <row r="25">
      <c r="A25" s="63"/>
      <c r="B25" s="77"/>
      <c r="C25" s="78"/>
      <c r="D25" s="63"/>
      <c r="E25" s="63"/>
      <c r="F25" s="63"/>
      <c r="G25" s="63"/>
      <c r="H25" s="63"/>
      <c r="I25" s="63"/>
      <c r="J25" s="63"/>
      <c r="K25" s="63"/>
      <c r="L25" s="63"/>
      <c r="M25" s="63"/>
      <c r="N25" s="63"/>
      <c r="O25" s="63"/>
      <c r="P25" s="63"/>
      <c r="Q25" s="63"/>
      <c r="R25" s="63"/>
      <c r="S25" s="63"/>
      <c r="T25" s="63"/>
      <c r="U25" s="63"/>
      <c r="V25" s="63"/>
      <c r="W25" s="63"/>
      <c r="X25" s="63"/>
      <c r="Y25" s="63"/>
      <c r="Z25" s="63"/>
    </row>
    <row r="26">
      <c r="A26" s="66" t="s">
        <v>172</v>
      </c>
      <c r="B26" s="76">
        <f t="shared" ref="B26:C26" si="1">sum(B20:B24)</f>
        <v>283</v>
      </c>
      <c r="C26" s="73">
        <f t="shared" si="1"/>
        <v>1</v>
      </c>
      <c r="D26" s="68"/>
      <c r="E26" s="63"/>
      <c r="F26" s="63"/>
      <c r="G26" s="63"/>
      <c r="H26" s="63"/>
      <c r="I26" s="63"/>
      <c r="J26" s="63"/>
      <c r="K26" s="63"/>
      <c r="L26" s="63"/>
      <c r="M26" s="63"/>
      <c r="N26" s="63"/>
      <c r="O26" s="63"/>
      <c r="P26" s="63"/>
      <c r="Q26" s="63"/>
      <c r="R26" s="63"/>
      <c r="S26" s="63"/>
      <c r="T26" s="63"/>
      <c r="U26" s="63"/>
      <c r="V26" s="63"/>
      <c r="W26" s="63"/>
      <c r="X26" s="63"/>
      <c r="Y26" s="63"/>
      <c r="Z26" s="63"/>
    </row>
    <row r="27">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c r="A29" s="64" t="s">
        <v>173</v>
      </c>
      <c r="B29" s="79" t="s">
        <v>174</v>
      </c>
      <c r="C29" s="80" t="s">
        <v>175</v>
      </c>
      <c r="D29" s="65"/>
      <c r="E29" s="63"/>
      <c r="F29" s="63"/>
      <c r="G29" s="63"/>
      <c r="H29" s="63"/>
      <c r="I29" s="63"/>
      <c r="J29" s="63"/>
      <c r="K29" s="63"/>
      <c r="L29" s="63"/>
      <c r="M29" s="63"/>
      <c r="N29" s="63"/>
      <c r="O29" s="63"/>
      <c r="P29" s="63"/>
      <c r="Q29" s="63"/>
      <c r="R29" s="63"/>
      <c r="S29" s="63"/>
      <c r="T29" s="63"/>
      <c r="U29" s="63"/>
      <c r="V29" s="63"/>
      <c r="W29" s="63"/>
      <c r="X29" s="63"/>
      <c r="Y29" s="63"/>
      <c r="Z29" s="63"/>
    </row>
    <row r="30">
      <c r="A30" s="66" t="s">
        <v>176</v>
      </c>
      <c r="B30" s="81">
        <f>SUMIF(Input!A:A,"Now",Input!G:G)</f>
        <v>179</v>
      </c>
      <c r="C30" s="81">
        <f>SUMIF(Input!A:A,"Now",Input!H:H)</f>
        <v>268</v>
      </c>
      <c r="D30" s="68"/>
      <c r="E30" s="63"/>
      <c r="F30" s="63"/>
      <c r="G30" s="63"/>
      <c r="H30" s="63"/>
      <c r="I30" s="63"/>
      <c r="J30" s="63"/>
      <c r="K30" s="63"/>
      <c r="L30" s="63"/>
      <c r="M30" s="63"/>
      <c r="N30" s="63"/>
      <c r="O30" s="63"/>
      <c r="P30" s="63"/>
      <c r="Q30" s="63"/>
      <c r="R30" s="63"/>
      <c r="S30" s="63"/>
      <c r="T30" s="63"/>
      <c r="U30" s="63"/>
      <c r="V30" s="63"/>
      <c r="W30" s="63"/>
      <c r="X30" s="63"/>
      <c r="Y30" s="63"/>
      <c r="Z30" s="63"/>
    </row>
    <row r="31">
      <c r="A31" s="66" t="s">
        <v>177</v>
      </c>
      <c r="B31" s="82">
        <f>round(B30*Config!B18,0)</f>
        <v>45</v>
      </c>
      <c r="C31" s="82">
        <f>round(C30*Config!B18,0)</f>
        <v>67</v>
      </c>
      <c r="D31" s="63"/>
      <c r="E31" s="63"/>
      <c r="F31" s="63"/>
      <c r="G31" s="63"/>
      <c r="H31" s="63"/>
      <c r="I31" s="63"/>
      <c r="J31" s="63"/>
      <c r="K31" s="63"/>
      <c r="L31" s="63"/>
      <c r="M31" s="63"/>
      <c r="N31" s="63"/>
      <c r="O31" s="63"/>
      <c r="P31" s="63"/>
      <c r="Q31" s="63"/>
      <c r="R31" s="63"/>
      <c r="S31" s="63"/>
      <c r="T31" s="63"/>
      <c r="U31" s="63"/>
      <c r="V31" s="63"/>
      <c r="W31" s="63"/>
      <c r="X31" s="63"/>
      <c r="Y31" s="63"/>
      <c r="Z31" s="63"/>
    </row>
    <row r="32">
      <c r="A32" s="66" t="s">
        <v>178</v>
      </c>
      <c r="B32" s="81">
        <f>B6</f>
        <v>0</v>
      </c>
      <c r="C32" s="81">
        <f>B6</f>
        <v>0</v>
      </c>
      <c r="D32" s="63"/>
      <c r="E32" s="63"/>
      <c r="F32" s="63"/>
      <c r="G32" s="63"/>
      <c r="H32" s="63"/>
      <c r="I32" s="63"/>
      <c r="J32" s="63"/>
      <c r="K32" s="63"/>
      <c r="L32" s="63"/>
      <c r="M32" s="63"/>
      <c r="N32" s="63"/>
      <c r="O32" s="63"/>
      <c r="P32" s="63"/>
      <c r="Q32" s="63"/>
      <c r="R32" s="63"/>
      <c r="S32" s="63"/>
      <c r="T32" s="63"/>
      <c r="U32" s="63"/>
      <c r="V32" s="63"/>
      <c r="W32" s="63"/>
      <c r="X32" s="63"/>
      <c r="Y32" s="63"/>
      <c r="Z32" s="63"/>
    </row>
    <row r="33">
      <c r="A33" s="66" t="s">
        <v>179</v>
      </c>
      <c r="B33" s="81">
        <f t="shared" ref="B33:C33" si="2">SUM(B30:B32)</f>
        <v>224</v>
      </c>
      <c r="C33" s="67">
        <f t="shared" si="2"/>
        <v>335</v>
      </c>
      <c r="D33" s="68"/>
      <c r="E33" s="63"/>
      <c r="F33" s="63"/>
      <c r="G33" s="63"/>
      <c r="H33" s="63"/>
      <c r="I33" s="63"/>
      <c r="J33" s="63"/>
      <c r="K33" s="63"/>
      <c r="L33" s="63"/>
      <c r="M33" s="63"/>
      <c r="N33" s="63"/>
      <c r="O33" s="63"/>
      <c r="P33" s="63"/>
      <c r="Q33" s="63"/>
      <c r="R33" s="63"/>
      <c r="S33" s="63"/>
      <c r="T33" s="63"/>
      <c r="U33" s="63"/>
      <c r="V33" s="63"/>
      <c r="W33" s="63"/>
      <c r="X33" s="63"/>
      <c r="Y33" s="63"/>
      <c r="Z33" s="63"/>
    </row>
    <row r="34">
      <c r="A34" s="66" t="s">
        <v>180</v>
      </c>
      <c r="B34" s="83">
        <f>(sum(B30:B31)*Config!B17)+(B32*Config!B24)</f>
        <v>54880</v>
      </c>
      <c r="C34" s="83">
        <f>(sum(C30:C31)*Config!B17)+(C32*Config!B24)</f>
        <v>82075</v>
      </c>
      <c r="D34" s="63"/>
      <c r="E34" s="84"/>
      <c r="F34" s="63"/>
      <c r="G34" s="63"/>
      <c r="H34" s="63"/>
      <c r="I34" s="63"/>
      <c r="J34" s="63"/>
      <c r="K34" s="63"/>
      <c r="L34" s="63"/>
      <c r="M34" s="63"/>
      <c r="N34" s="63"/>
      <c r="O34" s="63"/>
      <c r="P34" s="63"/>
      <c r="Q34" s="63"/>
      <c r="R34" s="63"/>
      <c r="S34" s="63"/>
      <c r="T34" s="63"/>
      <c r="U34" s="63"/>
      <c r="V34" s="63"/>
      <c r="W34" s="63"/>
      <c r="X34" s="63"/>
      <c r="Y34" s="63"/>
      <c r="Z34" s="63"/>
    </row>
    <row r="35">
      <c r="A35" s="63"/>
      <c r="B35" s="85"/>
      <c r="C35" s="85"/>
      <c r="D35" s="63"/>
      <c r="E35" s="84"/>
      <c r="F35" s="63"/>
      <c r="G35" s="63"/>
      <c r="H35" s="63"/>
      <c r="I35" s="63"/>
      <c r="J35" s="63"/>
      <c r="K35" s="63"/>
      <c r="L35" s="63"/>
      <c r="M35" s="63"/>
      <c r="N35" s="63"/>
      <c r="O35" s="63"/>
      <c r="P35" s="63"/>
      <c r="Q35" s="63"/>
      <c r="R35" s="63"/>
      <c r="S35" s="63"/>
      <c r="T35" s="63"/>
      <c r="U35" s="63"/>
      <c r="V35" s="63"/>
      <c r="W35" s="63"/>
      <c r="X35" s="63"/>
      <c r="Y35" s="63"/>
      <c r="Z35" s="63"/>
    </row>
    <row r="36">
      <c r="A36" s="64" t="s">
        <v>181</v>
      </c>
      <c r="B36" s="65"/>
      <c r="C36" s="65"/>
      <c r="D36" s="65"/>
      <c r="E36" s="63"/>
      <c r="F36" s="63"/>
      <c r="G36" s="63"/>
      <c r="H36" s="63"/>
      <c r="I36" s="63"/>
      <c r="J36" s="63"/>
      <c r="K36" s="63"/>
      <c r="L36" s="63"/>
      <c r="M36" s="63"/>
      <c r="N36" s="63"/>
      <c r="O36" s="63"/>
      <c r="P36" s="63"/>
      <c r="Q36" s="63"/>
      <c r="R36" s="63"/>
      <c r="S36" s="63"/>
      <c r="T36" s="63"/>
      <c r="U36" s="63"/>
      <c r="V36" s="63"/>
      <c r="W36" s="63"/>
      <c r="X36" s="63"/>
      <c r="Y36" s="63"/>
      <c r="Z36" s="63"/>
    </row>
    <row r="37">
      <c r="A37" s="86" t="str">
        <f>IFERROR(__xludf.DUMMYFUNCTION("VSTACK(
  QUERY(Input!A:I,""SELECT B, SUM(I), SUM(I)*""&amp;Config!B17&amp;"" WHERE B IS NOT NULL AND A = 'Now' GROUP BY B LABEL B 'Workstream', SUM(I) 'Total Hours', SUM(I)*""&amp;Config!B17&amp;"" 'Total Investment'"",1),
  {""Project Management"", ROUND(SUMPRODUCT(QUE"&amp;"RY(Input!A:I,""SELECT SUM(I) WHERE B IS NOT NULL AND A = 'Now' GROUP BY B LABEL SUM(I) ''"",0))*Config!B18,0), ROUND(SUMPRODUCT(QUERY(Input!A:I,""SELECT SUM(I) WHERE B IS NOT NULL AND A = 'Now' GROUP BY B LABEL SUM(I) ''"",0))*Config!B18,0)*Config!B17},
 "&amp;" {""Post-Launch Support"", Config!B25*Config!B26, Config!B25*Config!B26*Config!B24}
)"),"Workstream")</f>
        <v>Workstream</v>
      </c>
      <c r="B37" s="87" t="str">
        <f>IFERROR(__xludf.DUMMYFUNCTION("""COMPUTED_VALUE"""),"Total Hours")</f>
        <v>Total Hours</v>
      </c>
      <c r="C37" s="88" t="str">
        <f>IFERROR(__xludf.DUMMYFUNCTION("""COMPUTED_VALUE"""),"Total Investment")</f>
        <v>Total Investment</v>
      </c>
      <c r="D37" s="68"/>
      <c r="E37" s="63"/>
      <c r="F37" s="63"/>
      <c r="G37" s="63"/>
      <c r="H37" s="63"/>
      <c r="I37" s="63"/>
      <c r="J37" s="63"/>
      <c r="K37" s="63"/>
      <c r="L37" s="63"/>
      <c r="M37" s="63"/>
      <c r="N37" s="63"/>
      <c r="O37" s="63"/>
      <c r="P37" s="63"/>
      <c r="Q37" s="63"/>
      <c r="R37" s="63"/>
      <c r="S37" s="63"/>
      <c r="T37" s="63"/>
      <c r="U37" s="63"/>
      <c r="V37" s="63"/>
      <c r="W37" s="63"/>
      <c r="X37" s="63"/>
      <c r="Y37" s="63"/>
      <c r="Z37" s="63"/>
    </row>
    <row r="38">
      <c r="A38" s="63" t="str">
        <f>IFERROR(__xludf.DUMMYFUNCTION("""COMPUTED_VALUE"""),"Clay → HubSpot Integration")</f>
        <v>Clay → HubSpot Integration</v>
      </c>
      <c r="B38" s="67">
        <f>IFERROR(__xludf.DUMMYFUNCTION("""COMPUTED_VALUE"""),26.0)</f>
        <v>26</v>
      </c>
      <c r="C38" s="89">
        <f>IFERROR(__xludf.DUMMYFUNCTION("""COMPUTED_VALUE"""),6370.0)</f>
        <v>6370</v>
      </c>
      <c r="D38" s="63"/>
      <c r="E38" s="63"/>
      <c r="F38" s="63"/>
      <c r="G38" s="63"/>
      <c r="H38" s="63"/>
      <c r="I38" s="63"/>
      <c r="J38" s="63"/>
      <c r="K38" s="63"/>
      <c r="L38" s="63"/>
      <c r="M38" s="63"/>
      <c r="N38" s="63"/>
      <c r="O38" s="63"/>
      <c r="P38" s="63"/>
      <c r="Q38" s="63"/>
      <c r="R38" s="63"/>
      <c r="S38" s="63"/>
      <c r="T38" s="63"/>
      <c r="U38" s="63"/>
      <c r="V38" s="63"/>
      <c r="W38" s="63"/>
      <c r="X38" s="63"/>
      <c r="Y38" s="63"/>
      <c r="Z38" s="63"/>
    </row>
    <row r="39">
      <c r="A39" s="63" t="str">
        <f>IFERROR(__xludf.DUMMYFUNCTION("""COMPUTED_VALUE"""),"Flex Hours")</f>
        <v>Flex Hours</v>
      </c>
      <c r="B39" s="67">
        <f>IFERROR(__xludf.DUMMYFUNCTION("""COMPUTED_VALUE"""),12.0)</f>
        <v>12</v>
      </c>
      <c r="C39" s="89">
        <f>IFERROR(__xludf.DUMMYFUNCTION("""COMPUTED_VALUE"""),2940.0)</f>
        <v>2940</v>
      </c>
      <c r="D39" s="63"/>
      <c r="E39" s="63"/>
      <c r="F39" s="63"/>
      <c r="G39" s="63"/>
      <c r="H39" s="63"/>
      <c r="I39" s="63"/>
      <c r="J39" s="63"/>
      <c r="K39" s="63"/>
      <c r="L39" s="63"/>
      <c r="M39" s="63"/>
      <c r="N39" s="63"/>
      <c r="O39" s="63"/>
      <c r="P39" s="63"/>
      <c r="Q39" s="63"/>
      <c r="R39" s="63"/>
      <c r="S39" s="63"/>
      <c r="T39" s="63"/>
      <c r="U39" s="63"/>
      <c r="V39" s="63"/>
      <c r="W39" s="63"/>
      <c r="X39" s="63"/>
      <c r="Y39" s="63"/>
      <c r="Z39" s="63"/>
    </row>
    <row r="40">
      <c r="A40" s="63" t="str">
        <f>IFERROR(__xludf.DUMMYFUNCTION("""COMPUTED_VALUE"""),"HubSpot Data Hygiene and Remediation")</f>
        <v>HubSpot Data Hygiene and Remediation</v>
      </c>
      <c r="B40" s="67">
        <f>IFERROR(__xludf.DUMMYFUNCTION("""COMPUTED_VALUE"""),43.0)</f>
        <v>43</v>
      </c>
      <c r="C40" s="89">
        <f>IFERROR(__xludf.DUMMYFUNCTION("""COMPUTED_VALUE"""),10535.0)</f>
        <v>10535</v>
      </c>
      <c r="D40" s="63"/>
      <c r="E40" s="63"/>
      <c r="F40" s="63"/>
      <c r="G40" s="63"/>
      <c r="H40" s="63"/>
      <c r="I40" s="63"/>
      <c r="J40" s="63"/>
      <c r="K40" s="63"/>
      <c r="L40" s="63"/>
      <c r="M40" s="63"/>
      <c r="N40" s="63"/>
      <c r="O40" s="63"/>
      <c r="P40" s="63"/>
      <c r="Q40" s="63"/>
      <c r="R40" s="63"/>
      <c r="S40" s="63"/>
      <c r="T40" s="63"/>
      <c r="U40" s="63"/>
      <c r="V40" s="63"/>
      <c r="W40" s="63"/>
      <c r="X40" s="63"/>
      <c r="Y40" s="63"/>
      <c r="Z40" s="63"/>
    </row>
    <row r="41">
      <c r="A41" s="63" t="str">
        <f>IFERROR(__xludf.DUMMYFUNCTION("""COMPUTED_VALUE"""),"HubSpot Reporting")</f>
        <v>HubSpot Reporting</v>
      </c>
      <c r="B41" s="67">
        <f>IFERROR(__xludf.DUMMYFUNCTION("""COMPUTED_VALUE"""),13.0)</f>
        <v>13</v>
      </c>
      <c r="C41" s="89">
        <f>IFERROR(__xludf.DUMMYFUNCTION("""COMPUTED_VALUE"""),3185.0)</f>
        <v>3185</v>
      </c>
      <c r="D41" s="63"/>
      <c r="E41" s="63"/>
      <c r="F41" s="63"/>
      <c r="G41" s="63"/>
      <c r="H41" s="63"/>
      <c r="I41" s="63"/>
      <c r="J41" s="63"/>
      <c r="K41" s="63"/>
      <c r="L41" s="63"/>
      <c r="M41" s="63"/>
      <c r="N41" s="63"/>
      <c r="O41" s="63"/>
      <c r="P41" s="63"/>
      <c r="Q41" s="63"/>
      <c r="R41" s="63"/>
      <c r="S41" s="63"/>
      <c r="T41" s="63"/>
      <c r="U41" s="63"/>
      <c r="V41" s="63"/>
      <c r="W41" s="63"/>
      <c r="X41" s="63"/>
      <c r="Y41" s="63"/>
      <c r="Z41" s="63"/>
    </row>
    <row r="42">
      <c r="A42" s="63" t="str">
        <f>IFERROR(__xludf.DUMMYFUNCTION("""COMPUTED_VALUE"""),"Nurture &amp; Segmentation Architecture")</f>
        <v>Nurture &amp; Segmentation Architecture</v>
      </c>
      <c r="B42" s="67">
        <f>IFERROR(__xludf.DUMMYFUNCTION("""COMPUTED_VALUE"""),31.0)</f>
        <v>31</v>
      </c>
      <c r="C42" s="89">
        <f>IFERROR(__xludf.DUMMYFUNCTION("""COMPUTED_VALUE"""),7595.0)</f>
        <v>7595</v>
      </c>
      <c r="D42" s="63"/>
      <c r="E42" s="63"/>
      <c r="F42" s="63"/>
      <c r="G42" s="63"/>
      <c r="H42" s="63"/>
      <c r="I42" s="63"/>
      <c r="J42" s="63"/>
      <c r="K42" s="63"/>
      <c r="L42" s="63"/>
      <c r="M42" s="63"/>
      <c r="N42" s="63"/>
      <c r="O42" s="63"/>
      <c r="P42" s="63"/>
      <c r="Q42" s="63"/>
      <c r="R42" s="63"/>
      <c r="S42" s="63"/>
      <c r="T42" s="63"/>
      <c r="U42" s="63"/>
      <c r="V42" s="63"/>
      <c r="W42" s="63"/>
      <c r="X42" s="63"/>
      <c r="Y42" s="63"/>
      <c r="Z42" s="63"/>
    </row>
    <row r="43">
      <c r="A43" s="63" t="str">
        <f>IFERROR(__xludf.DUMMYFUNCTION("""COMPUTED_VALUE"""),"Speed-to-Lead Architecture &amp; Routing")</f>
        <v>Speed-to-Lead Architecture &amp; Routing</v>
      </c>
      <c r="B43" s="67">
        <f>IFERROR(__xludf.DUMMYFUNCTION("""COMPUTED_VALUE"""),71.0)</f>
        <v>71</v>
      </c>
      <c r="C43" s="89">
        <f>IFERROR(__xludf.DUMMYFUNCTION("""COMPUTED_VALUE"""),17395.0)</f>
        <v>17395</v>
      </c>
      <c r="D43" s="63"/>
      <c r="E43" s="63"/>
      <c r="F43" s="63"/>
      <c r="G43" s="63"/>
      <c r="H43" s="63"/>
      <c r="I43" s="63"/>
      <c r="J43" s="63"/>
      <c r="K43" s="63"/>
      <c r="L43" s="63"/>
      <c r="M43" s="63"/>
      <c r="N43" s="63"/>
      <c r="O43" s="63"/>
      <c r="P43" s="63"/>
      <c r="Q43" s="63"/>
      <c r="R43" s="63"/>
      <c r="S43" s="63"/>
      <c r="T43" s="63"/>
      <c r="U43" s="63"/>
      <c r="V43" s="63"/>
      <c r="W43" s="63"/>
      <c r="X43" s="63"/>
      <c r="Y43" s="63"/>
      <c r="Z43" s="63"/>
    </row>
    <row r="44">
      <c r="A44" s="63" t="str">
        <f>IFERROR(__xludf.DUMMYFUNCTION("""COMPUTED_VALUE"""),"Training &amp; Documentation")</f>
        <v>Training &amp; Documentation</v>
      </c>
      <c r="B44" s="67">
        <f>IFERROR(__xludf.DUMMYFUNCTION("""COMPUTED_VALUE"""),30.0)</f>
        <v>30</v>
      </c>
      <c r="C44" s="89">
        <f>IFERROR(__xludf.DUMMYFUNCTION("""COMPUTED_VALUE"""),7350.0)</f>
        <v>7350</v>
      </c>
      <c r="D44" s="63"/>
      <c r="E44" s="63"/>
      <c r="F44" s="63"/>
      <c r="G44" s="63"/>
      <c r="H44" s="63"/>
      <c r="I44" s="63"/>
      <c r="J44" s="63"/>
      <c r="K44" s="63"/>
      <c r="L44" s="63"/>
      <c r="M44" s="63"/>
      <c r="N44" s="63"/>
      <c r="O44" s="63"/>
      <c r="P44" s="63"/>
      <c r="Q44" s="63"/>
      <c r="R44" s="63"/>
      <c r="S44" s="63"/>
      <c r="T44" s="63"/>
      <c r="U44" s="63"/>
      <c r="V44" s="63"/>
      <c r="W44" s="63"/>
      <c r="X44" s="63"/>
      <c r="Y44" s="63"/>
      <c r="Z44" s="63"/>
    </row>
    <row r="45">
      <c r="A45" s="63" t="str">
        <f>IFERROR(__xludf.DUMMYFUNCTION("""COMPUTED_VALUE"""),"Project Management")</f>
        <v>Project Management</v>
      </c>
      <c r="B45" s="67">
        <f>IFERROR(__xludf.DUMMYFUNCTION("""COMPUTED_VALUE"""),57.0)</f>
        <v>57</v>
      </c>
      <c r="C45" s="89">
        <f>IFERROR(__xludf.DUMMYFUNCTION("""COMPUTED_VALUE"""),13965.0)</f>
        <v>13965</v>
      </c>
      <c r="D45" s="63"/>
      <c r="E45" s="63"/>
      <c r="F45" s="63"/>
      <c r="G45" s="63"/>
      <c r="H45" s="63"/>
      <c r="I45" s="63"/>
      <c r="J45" s="63"/>
      <c r="K45" s="63"/>
      <c r="L45" s="63"/>
      <c r="M45" s="63"/>
      <c r="N45" s="63"/>
      <c r="O45" s="63"/>
      <c r="P45" s="63"/>
      <c r="Q45" s="63"/>
      <c r="R45" s="63"/>
      <c r="S45" s="63"/>
      <c r="T45" s="63"/>
      <c r="U45" s="63"/>
      <c r="V45" s="63"/>
      <c r="W45" s="63"/>
      <c r="X45" s="63"/>
      <c r="Y45" s="63"/>
      <c r="Z45" s="63"/>
    </row>
    <row r="46">
      <c r="A46" s="63" t="str">
        <f>IFERROR(__xludf.DUMMYFUNCTION("""COMPUTED_VALUE"""),"Post-Launch Support")</f>
        <v>Post-Launch Support</v>
      </c>
      <c r="B46" s="67">
        <f>IFERROR(__xludf.DUMMYFUNCTION("""COMPUTED_VALUE"""),0.0)</f>
        <v>0</v>
      </c>
      <c r="C46" s="89">
        <f>IFERROR(__xludf.DUMMYFUNCTION("""COMPUTED_VALUE"""),0.0)</f>
        <v>0</v>
      </c>
      <c r="D46" s="63"/>
      <c r="E46" s="63"/>
      <c r="F46" s="63"/>
      <c r="G46" s="63"/>
      <c r="H46" s="63"/>
      <c r="I46" s="63"/>
      <c r="J46" s="63"/>
      <c r="K46" s="63"/>
      <c r="L46" s="63"/>
      <c r="M46" s="63"/>
      <c r="N46" s="63"/>
      <c r="O46" s="63"/>
      <c r="P46" s="63"/>
      <c r="Q46" s="63"/>
      <c r="R46" s="63"/>
      <c r="S46" s="63"/>
      <c r="T46" s="63"/>
      <c r="U46" s="63"/>
      <c r="V46" s="63"/>
      <c r="W46" s="63"/>
      <c r="X46" s="63"/>
      <c r="Y46" s="63"/>
      <c r="Z46" s="63"/>
    </row>
    <row r="47">
      <c r="A47" s="63"/>
      <c r="B47" s="67"/>
      <c r="C47" s="89"/>
      <c r="D47" s="63"/>
      <c r="E47" s="63"/>
      <c r="F47" s="63"/>
      <c r="G47" s="63"/>
      <c r="H47" s="63"/>
      <c r="I47" s="63"/>
      <c r="J47" s="63"/>
      <c r="K47" s="63"/>
      <c r="L47" s="63"/>
      <c r="M47" s="63"/>
      <c r="N47" s="63"/>
      <c r="O47" s="63"/>
      <c r="P47" s="63"/>
      <c r="Q47" s="63"/>
      <c r="R47" s="63"/>
      <c r="S47" s="63"/>
      <c r="T47" s="63"/>
      <c r="U47" s="63"/>
      <c r="V47" s="63"/>
      <c r="W47" s="63"/>
      <c r="X47" s="63"/>
      <c r="Y47" s="63"/>
      <c r="Z47" s="63"/>
    </row>
    <row r="48">
      <c r="A48" s="63"/>
      <c r="B48" s="67"/>
      <c r="C48" s="89"/>
      <c r="D48" s="63"/>
      <c r="E48" s="63"/>
      <c r="F48" s="63"/>
      <c r="G48" s="63"/>
      <c r="H48" s="63"/>
      <c r="I48" s="63"/>
      <c r="J48" s="63"/>
      <c r="K48" s="63"/>
      <c r="L48" s="63"/>
      <c r="M48" s="63"/>
      <c r="N48" s="63"/>
      <c r="O48" s="63"/>
      <c r="P48" s="63"/>
      <c r="Q48" s="63"/>
      <c r="R48" s="63"/>
      <c r="S48" s="63"/>
      <c r="T48" s="63"/>
      <c r="U48" s="63"/>
      <c r="V48" s="63"/>
      <c r="W48" s="63"/>
      <c r="X48" s="63"/>
      <c r="Y48" s="63"/>
      <c r="Z48" s="63"/>
    </row>
    <row r="49">
      <c r="A49" s="63"/>
      <c r="B49" s="63"/>
      <c r="C49" s="90"/>
      <c r="D49" s="63"/>
      <c r="E49" s="63"/>
      <c r="F49" s="63"/>
      <c r="G49" s="63"/>
      <c r="H49" s="63"/>
      <c r="I49" s="63"/>
      <c r="J49" s="63"/>
      <c r="K49" s="63"/>
      <c r="L49" s="63"/>
      <c r="M49" s="63"/>
      <c r="N49" s="63"/>
      <c r="O49" s="63"/>
      <c r="P49" s="63"/>
      <c r="Q49" s="63"/>
      <c r="R49" s="63"/>
      <c r="S49" s="63"/>
      <c r="T49" s="63"/>
      <c r="U49" s="63"/>
      <c r="V49" s="63"/>
      <c r="W49" s="63"/>
      <c r="X49" s="63"/>
      <c r="Y49" s="63"/>
      <c r="Z49" s="63"/>
    </row>
    <row r="50">
      <c r="A50" s="63"/>
      <c r="B50" s="63"/>
      <c r="C50" s="90"/>
      <c r="D50" s="63"/>
      <c r="E50" s="63"/>
      <c r="F50" s="63"/>
      <c r="G50" s="63"/>
      <c r="H50" s="63"/>
      <c r="I50" s="63"/>
      <c r="J50" s="63"/>
      <c r="K50" s="63"/>
      <c r="L50" s="63"/>
      <c r="M50" s="63"/>
      <c r="N50" s="63"/>
      <c r="O50" s="63"/>
      <c r="P50" s="63"/>
      <c r="Q50" s="63"/>
      <c r="R50" s="63"/>
      <c r="S50" s="63"/>
      <c r="T50" s="63"/>
      <c r="U50" s="63"/>
      <c r="V50" s="63"/>
      <c r="W50" s="63"/>
      <c r="X50" s="63"/>
      <c r="Y50" s="63"/>
      <c r="Z50" s="63"/>
    </row>
    <row r="51">
      <c r="A51" s="63"/>
      <c r="B51" s="63"/>
      <c r="C51" s="90"/>
      <c r="D51" s="63"/>
      <c r="E51" s="63"/>
      <c r="F51" s="63"/>
      <c r="G51" s="63"/>
      <c r="H51" s="63"/>
      <c r="I51" s="63"/>
      <c r="J51" s="63"/>
      <c r="K51" s="63"/>
      <c r="L51" s="63"/>
      <c r="M51" s="63"/>
      <c r="N51" s="63"/>
      <c r="O51" s="63"/>
      <c r="P51" s="63"/>
      <c r="Q51" s="63"/>
      <c r="R51" s="63"/>
      <c r="S51" s="63"/>
      <c r="T51" s="63"/>
      <c r="U51" s="63"/>
      <c r="V51" s="63"/>
      <c r="W51" s="63"/>
      <c r="X51" s="63"/>
      <c r="Y51" s="63"/>
      <c r="Z51" s="63"/>
    </row>
    <row r="52">
      <c r="A52" s="63"/>
      <c r="B52" s="63"/>
      <c r="C52" s="90"/>
      <c r="D52" s="63"/>
      <c r="E52" s="63"/>
      <c r="F52" s="63"/>
      <c r="G52" s="63"/>
      <c r="H52" s="63"/>
      <c r="I52" s="63"/>
      <c r="J52" s="63"/>
      <c r="K52" s="63"/>
      <c r="L52" s="63"/>
      <c r="M52" s="63"/>
      <c r="N52" s="63"/>
      <c r="O52" s="63"/>
      <c r="P52" s="63"/>
      <c r="Q52" s="63"/>
      <c r="R52" s="63"/>
      <c r="S52" s="63"/>
      <c r="T52" s="63"/>
      <c r="U52" s="63"/>
      <c r="V52" s="63"/>
      <c r="W52" s="63"/>
      <c r="X52" s="63"/>
      <c r="Y52" s="63"/>
      <c r="Z52" s="63"/>
    </row>
    <row r="53">
      <c r="A53" s="63"/>
      <c r="B53" s="63"/>
      <c r="C53" s="90"/>
      <c r="D53" s="63"/>
      <c r="E53" s="63"/>
      <c r="F53" s="63"/>
      <c r="G53" s="63"/>
      <c r="H53" s="63"/>
      <c r="I53" s="63"/>
      <c r="J53" s="63"/>
      <c r="K53" s="63"/>
      <c r="L53" s="63"/>
      <c r="M53" s="63"/>
      <c r="N53" s="63"/>
      <c r="O53" s="63"/>
      <c r="P53" s="63"/>
      <c r="Q53" s="63"/>
      <c r="R53" s="63"/>
      <c r="S53" s="63"/>
      <c r="T53" s="63"/>
      <c r="U53" s="63"/>
      <c r="V53" s="63"/>
      <c r="W53" s="63"/>
      <c r="X53" s="63"/>
      <c r="Y53" s="63"/>
      <c r="Z53" s="63"/>
    </row>
    <row r="54">
      <c r="A54" s="63"/>
      <c r="B54" s="63"/>
      <c r="C54" s="90"/>
      <c r="D54" s="63"/>
      <c r="E54" s="63"/>
      <c r="F54" s="63"/>
      <c r="G54" s="63"/>
      <c r="H54" s="63"/>
      <c r="I54" s="63"/>
      <c r="J54" s="63"/>
      <c r="K54" s="63"/>
      <c r="L54" s="63"/>
      <c r="M54" s="63"/>
      <c r="N54" s="63"/>
      <c r="O54" s="63"/>
      <c r="P54" s="63"/>
      <c r="Q54" s="63"/>
      <c r="R54" s="63"/>
      <c r="S54" s="63"/>
      <c r="T54" s="63"/>
      <c r="U54" s="63"/>
      <c r="V54" s="63"/>
      <c r="W54" s="63"/>
      <c r="X54" s="63"/>
      <c r="Y54" s="63"/>
      <c r="Z54" s="63"/>
    </row>
    <row r="55">
      <c r="A55" s="63"/>
      <c r="B55" s="63"/>
      <c r="C55" s="90"/>
      <c r="D55" s="63"/>
      <c r="E55" s="63"/>
      <c r="F55" s="63"/>
      <c r="G55" s="63"/>
      <c r="H55" s="63"/>
      <c r="I55" s="63"/>
      <c r="J55" s="63"/>
      <c r="K55" s="63"/>
      <c r="L55" s="63"/>
      <c r="M55" s="63"/>
      <c r="N55" s="63"/>
      <c r="O55" s="63"/>
      <c r="P55" s="63"/>
      <c r="Q55" s="63"/>
      <c r="R55" s="63"/>
      <c r="S55" s="63"/>
      <c r="T55" s="63"/>
      <c r="U55" s="63"/>
      <c r="V55" s="63"/>
      <c r="W55" s="63"/>
      <c r="X55" s="63"/>
      <c r="Y55" s="63"/>
      <c r="Z55" s="63"/>
    </row>
    <row r="56">
      <c r="A56" s="63"/>
      <c r="B56" s="63"/>
      <c r="C56" s="90"/>
      <c r="D56" s="63"/>
      <c r="E56" s="63"/>
      <c r="F56" s="63"/>
      <c r="G56" s="63"/>
      <c r="H56" s="63"/>
      <c r="I56" s="63"/>
      <c r="J56" s="63"/>
      <c r="K56" s="63"/>
      <c r="L56" s="63"/>
      <c r="M56" s="63"/>
      <c r="N56" s="63"/>
      <c r="O56" s="63"/>
      <c r="P56" s="63"/>
      <c r="Q56" s="63"/>
      <c r="R56" s="63"/>
      <c r="S56" s="63"/>
      <c r="T56" s="63"/>
      <c r="U56" s="63"/>
      <c r="V56" s="63"/>
      <c r="W56" s="63"/>
      <c r="X56" s="63"/>
      <c r="Y56" s="63"/>
      <c r="Z56" s="63"/>
    </row>
    <row r="57">
      <c r="A57" s="63"/>
      <c r="B57" s="63"/>
      <c r="C57" s="90"/>
      <c r="D57" s="63"/>
      <c r="E57" s="63"/>
      <c r="F57" s="63"/>
      <c r="G57" s="63"/>
      <c r="H57" s="63"/>
      <c r="I57" s="63"/>
      <c r="J57" s="63"/>
      <c r="K57" s="63"/>
      <c r="L57" s="63"/>
      <c r="M57" s="63"/>
      <c r="N57" s="63"/>
      <c r="O57" s="63"/>
      <c r="P57" s="63"/>
      <c r="Q57" s="63"/>
      <c r="R57" s="63"/>
      <c r="S57" s="63"/>
      <c r="T57" s="63"/>
      <c r="U57" s="63"/>
      <c r="V57" s="63"/>
      <c r="W57" s="63"/>
      <c r="X57" s="63"/>
      <c r="Y57" s="63"/>
      <c r="Z57" s="63"/>
    </row>
    <row r="58">
      <c r="A58" s="63"/>
      <c r="B58" s="63"/>
      <c r="C58" s="90"/>
      <c r="D58" s="63"/>
      <c r="E58" s="63"/>
      <c r="F58" s="63"/>
      <c r="G58" s="63"/>
      <c r="H58" s="63"/>
      <c r="I58" s="63"/>
      <c r="J58" s="63"/>
      <c r="K58" s="63"/>
      <c r="L58" s="63"/>
      <c r="M58" s="63"/>
      <c r="N58" s="63"/>
      <c r="O58" s="63"/>
      <c r="P58" s="63"/>
      <c r="Q58" s="63"/>
      <c r="R58" s="63"/>
      <c r="S58" s="63"/>
      <c r="T58" s="63"/>
      <c r="U58" s="63"/>
      <c r="V58" s="63"/>
      <c r="W58" s="63"/>
      <c r="X58" s="63"/>
      <c r="Y58" s="63"/>
      <c r="Z58" s="63"/>
    </row>
    <row r="59">
      <c r="A59" s="63"/>
      <c r="B59" s="63"/>
      <c r="C59" s="90"/>
      <c r="D59" s="63"/>
      <c r="E59" s="63"/>
      <c r="F59" s="63"/>
      <c r="G59" s="63"/>
      <c r="H59" s="63"/>
      <c r="I59" s="63"/>
      <c r="J59" s="63"/>
      <c r="K59" s="63"/>
      <c r="L59" s="63"/>
      <c r="M59" s="63"/>
      <c r="N59" s="63"/>
      <c r="O59" s="63"/>
      <c r="P59" s="63"/>
      <c r="Q59" s="63"/>
      <c r="R59" s="63"/>
      <c r="S59" s="63"/>
      <c r="T59" s="63"/>
      <c r="U59" s="63"/>
      <c r="V59" s="63"/>
      <c r="W59" s="63"/>
      <c r="X59" s="63"/>
      <c r="Y59" s="63"/>
      <c r="Z59" s="63"/>
    </row>
    <row r="60">
      <c r="A60" s="63"/>
      <c r="B60" s="63"/>
      <c r="C60" s="90"/>
      <c r="D60" s="63"/>
      <c r="E60" s="63"/>
      <c r="F60" s="63"/>
      <c r="G60" s="63"/>
      <c r="H60" s="63"/>
      <c r="I60" s="63"/>
      <c r="J60" s="63"/>
      <c r="K60" s="63"/>
      <c r="L60" s="63"/>
      <c r="M60" s="63"/>
      <c r="N60" s="63"/>
      <c r="O60" s="63"/>
      <c r="P60" s="63"/>
      <c r="Q60" s="63"/>
      <c r="R60" s="63"/>
      <c r="S60" s="63"/>
      <c r="T60" s="63"/>
      <c r="U60" s="63"/>
      <c r="V60" s="63"/>
      <c r="W60" s="63"/>
      <c r="X60" s="63"/>
      <c r="Y60" s="63"/>
      <c r="Z60" s="63"/>
    </row>
    <row r="61">
      <c r="A61" s="63"/>
      <c r="B61" s="63"/>
      <c r="C61" s="90"/>
      <c r="D61" s="63"/>
      <c r="E61" s="63"/>
      <c r="F61" s="63"/>
      <c r="G61" s="63"/>
      <c r="H61" s="63"/>
      <c r="I61" s="63"/>
      <c r="J61" s="63"/>
      <c r="K61" s="63"/>
      <c r="L61" s="63"/>
      <c r="M61" s="63"/>
      <c r="N61" s="63"/>
      <c r="O61" s="63"/>
      <c r="P61" s="63"/>
      <c r="Q61" s="63"/>
      <c r="R61" s="63"/>
      <c r="S61" s="63"/>
      <c r="T61" s="63"/>
      <c r="U61" s="63"/>
      <c r="V61" s="63"/>
      <c r="W61" s="63"/>
      <c r="X61" s="63"/>
      <c r="Y61" s="63"/>
      <c r="Z61" s="63"/>
    </row>
    <row r="62">
      <c r="A62" s="63"/>
      <c r="B62" s="63"/>
      <c r="C62" s="90"/>
      <c r="D62" s="63"/>
      <c r="E62" s="63"/>
      <c r="F62" s="63"/>
      <c r="G62" s="63"/>
      <c r="H62" s="63"/>
      <c r="I62" s="63"/>
      <c r="J62" s="63"/>
      <c r="K62" s="63"/>
      <c r="L62" s="63"/>
      <c r="M62" s="63"/>
      <c r="N62" s="63"/>
      <c r="O62" s="63"/>
      <c r="P62" s="63"/>
      <c r="Q62" s="63"/>
      <c r="R62" s="63"/>
      <c r="S62" s="63"/>
      <c r="T62" s="63"/>
      <c r="U62" s="63"/>
      <c r="V62" s="63"/>
      <c r="W62" s="63"/>
      <c r="X62" s="63"/>
      <c r="Y62" s="63"/>
      <c r="Z62" s="63"/>
    </row>
    <row r="63">
      <c r="A63" s="63"/>
      <c r="B63" s="63"/>
      <c r="C63" s="90"/>
      <c r="D63" s="63"/>
      <c r="E63" s="63"/>
      <c r="F63" s="63"/>
      <c r="G63" s="63"/>
      <c r="H63" s="63"/>
      <c r="I63" s="63"/>
      <c r="J63" s="63"/>
      <c r="K63" s="63"/>
      <c r="L63" s="63"/>
      <c r="M63" s="63"/>
      <c r="N63" s="63"/>
      <c r="O63" s="63"/>
      <c r="P63" s="63"/>
      <c r="Q63" s="63"/>
      <c r="R63" s="63"/>
      <c r="S63" s="63"/>
      <c r="T63" s="63"/>
      <c r="U63" s="63"/>
      <c r="V63" s="63"/>
      <c r="W63" s="63"/>
      <c r="X63" s="63"/>
      <c r="Y63" s="63"/>
      <c r="Z63" s="63"/>
    </row>
    <row r="64">
      <c r="A64" s="63"/>
      <c r="B64" s="63"/>
      <c r="C64" s="90"/>
      <c r="D64" s="63"/>
      <c r="E64" s="63"/>
      <c r="F64" s="63"/>
      <c r="G64" s="63"/>
      <c r="H64" s="63"/>
      <c r="I64" s="63"/>
      <c r="J64" s="63"/>
      <c r="K64" s="63"/>
      <c r="L64" s="63"/>
      <c r="M64" s="63"/>
      <c r="N64" s="63"/>
      <c r="O64" s="63"/>
      <c r="P64" s="63"/>
      <c r="Q64" s="63"/>
      <c r="R64" s="63"/>
      <c r="S64" s="63"/>
      <c r="T64" s="63"/>
      <c r="U64" s="63"/>
      <c r="V64" s="63"/>
      <c r="W64" s="63"/>
      <c r="X64" s="63"/>
      <c r="Y64" s="63"/>
      <c r="Z64" s="63"/>
    </row>
    <row r="65">
      <c r="A65" s="63"/>
      <c r="B65" s="63"/>
      <c r="C65" s="90"/>
      <c r="D65" s="63"/>
      <c r="E65" s="63"/>
      <c r="F65" s="63"/>
      <c r="G65" s="63"/>
      <c r="H65" s="63"/>
      <c r="I65" s="63"/>
      <c r="J65" s="63"/>
      <c r="K65" s="63"/>
      <c r="L65" s="63"/>
      <c r="M65" s="63"/>
      <c r="N65" s="63"/>
      <c r="O65" s="63"/>
      <c r="P65" s="63"/>
      <c r="Q65" s="63"/>
      <c r="R65" s="63"/>
      <c r="S65" s="63"/>
      <c r="T65" s="63"/>
      <c r="U65" s="63"/>
      <c r="V65" s="63"/>
      <c r="W65" s="63"/>
      <c r="X65" s="63"/>
      <c r="Y65" s="63"/>
      <c r="Z65" s="63"/>
    </row>
    <row r="66">
      <c r="A66" s="63"/>
      <c r="B66" s="63"/>
      <c r="C66" s="90"/>
      <c r="D66" s="63"/>
      <c r="E66" s="63"/>
      <c r="F66" s="63"/>
      <c r="G66" s="63"/>
      <c r="H66" s="63"/>
      <c r="I66" s="63"/>
      <c r="J66" s="63"/>
      <c r="K66" s="63"/>
      <c r="L66" s="63"/>
      <c r="M66" s="63"/>
      <c r="N66" s="63"/>
      <c r="O66" s="63"/>
      <c r="P66" s="63"/>
      <c r="Q66" s="63"/>
      <c r="R66" s="63"/>
      <c r="S66" s="63"/>
      <c r="T66" s="63"/>
      <c r="U66" s="63"/>
      <c r="V66" s="63"/>
      <c r="W66" s="63"/>
      <c r="X66" s="63"/>
      <c r="Y66" s="63"/>
      <c r="Z66" s="63"/>
    </row>
    <row r="67">
      <c r="A67" s="63"/>
      <c r="B67" s="63"/>
      <c r="C67" s="90"/>
      <c r="D67" s="63"/>
      <c r="E67" s="63"/>
      <c r="F67" s="63"/>
      <c r="G67" s="63"/>
      <c r="H67" s="63"/>
      <c r="I67" s="63"/>
      <c r="J67" s="63"/>
      <c r="K67" s="63"/>
      <c r="L67" s="63"/>
      <c r="M67" s="63"/>
      <c r="N67" s="63"/>
      <c r="O67" s="63"/>
      <c r="P67" s="63"/>
      <c r="Q67" s="63"/>
      <c r="R67" s="63"/>
      <c r="S67" s="63"/>
      <c r="T67" s="63"/>
      <c r="U67" s="63"/>
      <c r="V67" s="63"/>
      <c r="W67" s="63"/>
      <c r="X67" s="63"/>
      <c r="Y67" s="63"/>
      <c r="Z67" s="63"/>
    </row>
    <row r="68">
      <c r="A68" s="63"/>
      <c r="B68" s="63"/>
      <c r="C68" s="90"/>
      <c r="D68" s="63"/>
      <c r="E68" s="63"/>
      <c r="F68" s="63"/>
      <c r="G68" s="63"/>
      <c r="H68" s="63"/>
      <c r="I68" s="63"/>
      <c r="J68" s="63"/>
      <c r="K68" s="63"/>
      <c r="L68" s="63"/>
      <c r="M68" s="63"/>
      <c r="N68" s="63"/>
      <c r="O68" s="63"/>
      <c r="P68" s="63"/>
      <c r="Q68" s="63"/>
      <c r="R68" s="63"/>
      <c r="S68" s="63"/>
      <c r="T68" s="63"/>
      <c r="U68" s="63"/>
      <c r="V68" s="63"/>
      <c r="W68" s="63"/>
      <c r="X68" s="63"/>
      <c r="Y68" s="63"/>
      <c r="Z68" s="63"/>
    </row>
    <row r="69">
      <c r="A69" s="63"/>
      <c r="B69" s="63"/>
      <c r="C69" s="90"/>
      <c r="D69" s="63"/>
      <c r="E69" s="63"/>
      <c r="F69" s="63"/>
      <c r="G69" s="63"/>
      <c r="H69" s="63"/>
      <c r="I69" s="63"/>
      <c r="J69" s="63"/>
      <c r="K69" s="63"/>
      <c r="L69" s="63"/>
      <c r="M69" s="63"/>
      <c r="N69" s="63"/>
      <c r="O69" s="63"/>
      <c r="P69" s="63"/>
      <c r="Q69" s="63"/>
      <c r="R69" s="63"/>
      <c r="S69" s="63"/>
      <c r="T69" s="63"/>
      <c r="U69" s="63"/>
      <c r="V69" s="63"/>
      <c r="W69" s="63"/>
      <c r="X69" s="63"/>
      <c r="Y69" s="63"/>
      <c r="Z69" s="63"/>
    </row>
    <row r="70">
      <c r="A70" s="63"/>
      <c r="B70" s="63"/>
      <c r="C70" s="90"/>
      <c r="D70" s="63"/>
      <c r="E70" s="63"/>
      <c r="F70" s="63"/>
      <c r="G70" s="63"/>
      <c r="H70" s="63"/>
      <c r="I70" s="63"/>
      <c r="J70" s="63"/>
      <c r="K70" s="63"/>
      <c r="L70" s="63"/>
      <c r="M70" s="63"/>
      <c r="N70" s="63"/>
      <c r="O70" s="63"/>
      <c r="P70" s="63"/>
      <c r="Q70" s="63"/>
      <c r="R70" s="63"/>
      <c r="S70" s="63"/>
      <c r="T70" s="63"/>
      <c r="U70" s="63"/>
      <c r="V70" s="63"/>
      <c r="W70" s="63"/>
      <c r="X70" s="63"/>
      <c r="Y70" s="63"/>
      <c r="Z70" s="63"/>
    </row>
    <row r="71">
      <c r="A71" s="63"/>
      <c r="B71" s="63"/>
      <c r="C71" s="90"/>
      <c r="D71" s="63"/>
      <c r="E71" s="63"/>
      <c r="F71" s="63"/>
      <c r="G71" s="63"/>
      <c r="H71" s="63"/>
      <c r="I71" s="63"/>
      <c r="J71" s="63"/>
      <c r="K71" s="63"/>
      <c r="L71" s="63"/>
      <c r="M71" s="63"/>
      <c r="N71" s="63"/>
      <c r="O71" s="63"/>
      <c r="P71" s="63"/>
      <c r="Q71" s="63"/>
      <c r="R71" s="63"/>
      <c r="S71" s="63"/>
      <c r="T71" s="63"/>
      <c r="U71" s="63"/>
      <c r="V71" s="63"/>
      <c r="W71" s="63"/>
      <c r="X71" s="63"/>
      <c r="Y71" s="63"/>
      <c r="Z71" s="63"/>
    </row>
    <row r="72">
      <c r="A72" s="63"/>
      <c r="B72" s="63"/>
      <c r="C72" s="90"/>
      <c r="D72" s="63"/>
      <c r="E72" s="63"/>
      <c r="F72" s="63"/>
      <c r="G72" s="63"/>
      <c r="H72" s="63"/>
      <c r="I72" s="63"/>
      <c r="J72" s="63"/>
      <c r="K72" s="63"/>
      <c r="L72" s="63"/>
      <c r="M72" s="63"/>
      <c r="N72" s="63"/>
      <c r="O72" s="63"/>
      <c r="P72" s="63"/>
      <c r="Q72" s="63"/>
      <c r="R72" s="63"/>
      <c r="S72" s="63"/>
      <c r="T72" s="63"/>
      <c r="U72" s="63"/>
      <c r="V72" s="63"/>
      <c r="W72" s="63"/>
      <c r="X72" s="63"/>
      <c r="Y72" s="63"/>
      <c r="Z72" s="63"/>
    </row>
    <row r="7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sheetData>
  <drawing r:id="rId1"/>
</worksheet>
</file>