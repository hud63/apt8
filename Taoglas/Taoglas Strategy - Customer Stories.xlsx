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4"/>
    <sheet state="visible" name="ClickUp Import" sheetId="2" r:id="rId5"/>
    <sheet state="visible" name="Config" sheetId="3" r:id="rId6"/>
    <sheet state="visible" name="Calculations" sheetId="4" r:id="rId7"/>
    <sheet state="visible" name="ASIS Sample" sheetId="5" r:id="rId8"/>
    <sheet state="visible" name="Colibri Sample" sheetId="6" r:id="rId9"/>
    <sheet state="visible" name="Scratch" sheetId="7" r:id="rId10"/>
  </sheets>
  <definedNames/>
  <calcPr/>
</workbook>
</file>

<file path=xl/sharedStrings.xml><?xml version="1.0" encoding="utf-8"?>
<sst xmlns="http://schemas.openxmlformats.org/spreadsheetml/2006/main" count="500" uniqueCount="362">
  <si>
    <t>Display</t>
  </si>
  <si>
    <t>Workstream</t>
  </si>
  <si>
    <t>Service_Title</t>
  </si>
  <si>
    <t>Customer_Story</t>
  </si>
  <si>
    <t>Suggested_Path</t>
  </si>
  <si>
    <t>Assumptions</t>
  </si>
  <si>
    <t>Estimated_Low_Hours</t>
  </si>
  <si>
    <t>Estimated_High_Hours</t>
  </si>
  <si>
    <t>Contracted_Hours</t>
  </si>
  <si>
    <t>Requires_Clarification</t>
  </si>
  <si>
    <t>Function</t>
  </si>
  <si>
    <t>Potential_Variance</t>
  </si>
  <si>
    <t>Library_ID</t>
  </si>
  <si>
    <t>Project_ID</t>
  </si>
  <si>
    <t>Internal_Notes</t>
  </si>
  <si>
    <t>Task_Link</t>
  </si>
  <si>
    <t>Now</t>
  </si>
  <si>
    <t>Discovery Interviews + Workshops</t>
  </si>
  <si>
    <r>
      <rPr>
        <rFont val="Arial"/>
        <color theme="1"/>
      </rPr>
      <t xml:space="preserve">Direct </t>
    </r>
    <r>
      <rPr>
        <rFont val="Arial"/>
        <b/>
        <color theme="1"/>
      </rPr>
      <t>Sales</t>
    </r>
    <r>
      <rPr>
        <rFont val="Arial"/>
        <color theme="1"/>
      </rPr>
      <t xml:space="preserve"> Team Stakeholder Interviews</t>
    </r>
  </si>
  <si>
    <t>Taoglas needs to understand current pain points and CRM adoption challenges across their Direct Sales organization spanning 3 regions with standardized processes.</t>
  </si>
  <si>
    <t>A8 to conduct structured interviews with Direct Sales stakeholders across all regions to document current state challenges and CRM utilization gaps.</t>
  </si>
  <si>
    <t>- Up to 3 to 4 one-hour workshops
- Access to Direct Sales executives and regional managers across 3 regions
- Louise (CRM Head) to coordinate scheduling across regions
- A8 to provide interview framework focused on pipeline management and forecasting
- All sessions recorded and transcribed for documentation (for all A8 meetings)</t>
  </si>
  <si>
    <t>Strategy</t>
  </si>
  <si>
    <r>
      <rPr>
        <rFont val="Arial"/>
        <color theme="1"/>
      </rPr>
      <t xml:space="preserve">Distribution </t>
    </r>
    <r>
      <rPr>
        <rFont val="Arial"/>
        <b/>
        <color theme="1"/>
      </rPr>
      <t>Sales</t>
    </r>
    <r>
      <rPr>
        <rFont val="Arial"/>
        <color theme="1"/>
      </rPr>
      <t xml:space="preserve"> Team Stakeholder Interviews</t>
    </r>
  </si>
  <si>
    <t>Taoglas needs to understand unique process requirements and CRM challenges within their Distribution Sales channel with key stakeholders.</t>
  </si>
  <si>
    <t>A8 to conduct targeted interviews with Distribution Sales stakeholders to document channel-specific workflows and integration requirements.</t>
  </si>
  <si>
    <t>- Up to 3 to 4 one-hour workshops
- Access to lead Distribution Sales stakeholders
- Distribution-specific process documentation and system requirements
- Understanding of distributor relationship management needs
- Channel conflict and territory management considerations documented</t>
  </si>
  <si>
    <r>
      <rPr>
        <rFont val="Arial"/>
        <color theme="1"/>
      </rPr>
      <t xml:space="preserve">M&amp;I </t>
    </r>
    <r>
      <rPr>
        <rFont val="Arial"/>
        <b/>
        <color theme="1"/>
      </rPr>
      <t>Sales</t>
    </r>
    <r>
      <rPr>
        <rFont val="Arial"/>
        <color theme="1"/>
      </rPr>
      <t xml:space="preserve"> Team Stakeholder Interviews</t>
    </r>
  </si>
  <si>
    <t>Taoglas needs to understand the most complex and unique sales processes within their M&amp;I division to inform standardization opportunities.</t>
  </si>
  <si>
    <t>A8 to conduct detailed interviews with M&amp;I stakeholders to document complex deal structures and specialized requirements.</t>
  </si>
  <si>
    <t>- Up to 3 to 4 one-hour workshops
- Access to M&amp;I sales leadership and key contributors
- Taoglas to provide walkthroughs for complex deals and approval process
- A8 to note integration-specific CRM and process requirements</t>
  </si>
  <si>
    <r>
      <rPr>
        <rFont val="Arial"/>
        <b/>
        <color theme="1"/>
      </rPr>
      <t>Marketing</t>
    </r>
    <r>
      <rPr>
        <rFont val="Arial"/>
        <color theme="1"/>
      </rPr>
      <t xml:space="preserve"> Operations Stakeholder Interviews</t>
    </r>
  </si>
  <si>
    <t>Taoglas needs to understand current marketing operations workflows and the potential transition from external partner to internal management with Alan (Marketing Ops Head).</t>
  </si>
  <si>
    <t>A8 to conduct interviews with marketing stakeholders including Alan to document lead generation handoff processes and HubSpot marketing utilization.</t>
  </si>
  <si>
    <t>- Up to 3 to 4 one-hour workshops
- Access to Alan (Marketing Operations Head) and marketing team
- Taoglas to provide current external partner workflow documentation
- Lead generation to sales handoff process mapping
- Marketing automation and segmentation requirements assessment</t>
  </si>
  <si>
    <r>
      <rPr>
        <rFont val="Arial"/>
        <b/>
        <color theme="1"/>
      </rPr>
      <t>Customer Service</t>
    </r>
    <r>
      <rPr>
        <rFont val="Arial"/>
        <color theme="1"/>
      </rPr>
      <t xml:space="preserve"> &amp; Order Management Interviews</t>
    </r>
  </si>
  <si>
    <t>Taoglas needs to understand how Customer Service and Order Management teams interface with CRM and other technologies for customer lifecycle management and support workflows.</t>
  </si>
  <si>
    <t>A8 to interview Customer Service/Order Management stakeholders to document customer journey touchpoints and CRM utilization patterns.</t>
  </si>
  <si>
    <t>- Up to 2 to 3 one-hour workshops
- Access to 2 Customer Service/Order Management stakeholders
- Taoglas to provide current customer support workflow documentation
- A8 to focus on order management and CRM integration requirements</t>
  </si>
  <si>
    <r>
      <rPr>
        <rFont val="Arial"/>
        <b/>
        <color theme="1"/>
      </rPr>
      <t>Engineering &amp; Operations</t>
    </r>
    <r>
      <rPr>
        <rFont val="Arial"/>
        <color theme="1"/>
      </rPr>
      <t xml:space="preserve"> Support Workshops</t>
    </r>
  </si>
  <si>
    <t>Taoglas needs to understand how Engineering (Design services/NPI) and Operations teams support sales processes despite operating primarily in SAP systems.</t>
  </si>
  <si>
    <t>A8 to facilitate workshops with Engineering and Operations teams to identify sales support touchpoints and potential CRM integration opportunities.</t>
  </si>
  <si>
    <t>- Up to 2 to 3 one-hour workshops
- Taoglas to provide access to Engineering and Operations team representatives
- Taoglas to provide SAP system workflow documentation and integration docs
- A8 to focus on sales support process (quotes, technical specs, delivery)</t>
  </si>
  <si>
    <r>
      <rPr>
        <rFont val="Arial"/>
        <b/>
        <color theme="1"/>
      </rPr>
      <t xml:space="preserve">Finance &amp; Revenue </t>
    </r>
    <r>
      <rPr>
        <rFont val="Arial"/>
        <color theme="1"/>
      </rPr>
      <t>Operations Leadership Interviews</t>
    </r>
  </si>
  <si>
    <t>Taoglas needs to align finance and revenue operations requirements with CRM optimization including forecasting accuracy and pipeline reporting needs.</t>
  </si>
  <si>
    <t>A8 to conduct interviews with Eileen (Group Financial Controller) and RevOps stakeholders to document financial reporting and forecasting requirements.</t>
  </si>
  <si>
    <t>- Up to 2 to 3 one-hour workshops
- Access to Eileen O'Reilly (Group Financial Controller) and RevOps team
- Current forecasting processes and accuracy challenges documented
- Financial reporting requirements from CRM data
- Revenue recognition and pipeline tracking alignment</t>
  </si>
  <si>
    <t>Technical Architecture Workshops</t>
  </si>
  <si>
    <t>Taoglas needs evaluation of their complete technology stack including HubSpot, Tacton CPQ, SAP B1 and their Microsoft ecosystem to identify optimization and integration opportunities.</t>
  </si>
  <si>
    <t>A8 to assess entire technical architecture and document high-level system dependencies integration capabilities and data flow across all platforms.</t>
  </si>
  <si>
    <t>- Up to 3 one-hour workshops
- Access to system architecture documentation for all platforms
- Technical stakeholders available for interviews (HubSpot, Tacton, SAP)
- System access for evaluation (sandbox environments preferred)
- Taoglas to provide documentation when it exists
- AI initiative coordination with Cadre team requirements likely here</t>
  </si>
  <si>
    <t>Solutions Engineering</t>
  </si>
  <si>
    <t>Strategy Development + Design</t>
  </si>
  <si>
    <t>Gap Analysis &amp; Opportunity Assessment</t>
  </si>
  <si>
    <t>Taoglas needs a comprehensive analysis of gaps between their current GTM processes and CRM utilization to prioritize improvement initiatives across their complex sales organization.</t>
  </si>
  <si>
    <t>A8 to conduct detailed gap analysis comparing current state against HubSpot best practices and industry standards for primary GTM teams.</t>
  </si>
  <si>
    <t>- Assumes current state documentation provided by Taoglas and all discovery workshops are complete
- Gap prioritization based on business impact and adoption feasibility
- ROI estimation for improvement opportunities across channels
- Quick wins identification and validation</t>
  </si>
  <si>
    <t>GTM Documentation Review and Workshops</t>
  </si>
  <si>
    <t>Taoglas needs collaborative sessions to define and prioritize requirements for FUTURE state CRM optimization across each functional area with cross-team alignment.</t>
  </si>
  <si>
    <t>A8 to facilitate requirements workshops with GTM teams plus cross-functional sessions to define detailed requirements and identify dependencies.</t>
  </si>
  <si>
    <t>- This service line/story is a hybrid of A8 documentation, feedback by Taoglas, and workshops to align on the direction of the implementation phase
- Key stakeholders from each functional area available for workshops
- Workshop sessions recorded and documented in structured format
- Complex cross-functional dependencies flagged
- Requirements prioritization may use the MoSCoW method (Must Should Could Won't)
- AI initiative requirements coordination considerations</t>
  </si>
  <si>
    <t>Reporting Strategy + Design</t>
  </si>
  <si>
    <t xml:space="preserve">Taoglas needs a comprehensive reporting strategy that leverages their custom HubSpot object architecture to provide actionable insights for GTM, operations, and leadership teams. </t>
  </si>
  <si>
    <t xml:space="preserve">A8 to design comprehensive reporting strategy and requirements documentation for Taoglas's HubSpot instance including custom report specifications, high-level data visualization requirements, and user role-based reporting access. </t>
  </si>
  <si>
    <t>- Recommendations for HubSpot's object architecture completed to compliment this service
- Taoglas to share key performance indicators and success metrics during discovery workshops
- Taoglas to share current reporting tools and processes being used
- Clear definition of reporting user personas and access requirements
- Reporting frequency requirements defined (real-time, weekly, monthly, quarterly)</t>
  </si>
  <si>
    <t>GTM Process Standardization Framework + Documentation</t>
  </si>
  <si>
    <t>Taoglas needs a strategic framework for standardizing (and connecting) processes across GTM teams while maintaining team/channel-specific flexibility where required.</t>
  </si>
  <si>
    <t>A8 to develop marketing and sales process standardization framework balancing consistency with team-specific requirements and regional variations.</t>
  </si>
  <si>
    <t>- A8 to create future-facing process mapping for primary GTM teams
- Standardization opportunities identified and validated with Taoglas stakeholders
- Channel-specific exception handling and approval workflows defined
- Pipeline stage standardization with channel-appropriate customizations
- Training and adoption strategy considerations integrated
- Process swimlanes and technical dependencies with AI, CPQ, product library, and ERP are clearly defined</t>
  </si>
  <si>
    <t>Custom Integration Strategy + Technology Planning</t>
  </si>
  <si>
    <t>Future-State Solution Architecture &amp; Integration Design</t>
  </si>
  <si>
    <t>Taoglas needs detailed design of optimal future-state CRM architecture including enhanced integrations with Tacton AEB SAP and coordination with AI initiatives.</t>
  </si>
  <si>
    <t>A8 to design comprehensive future-state architecture with optimized system integrations process workflows and AI initiative coordination points.</t>
  </si>
  <si>
    <r>
      <rPr>
        <rFont val="Arial"/>
        <color theme="1"/>
      </rPr>
      <t xml:space="preserve">- This document is specific to integration </t>
    </r>
    <r>
      <rPr>
        <rFont val="Arial"/>
        <b/>
        <i/>
        <color theme="1"/>
      </rPr>
      <t xml:space="preserve">planning
</t>
    </r>
    <r>
      <rPr>
        <rFont val="Arial"/>
        <color theme="1"/>
      </rPr>
      <t>- Requirements documentation completed across all functional areas
- Technical constraints and integration capabilities documented
- Architecture diagrams created in Lucid for stakeholder review
- Integration specifications for Tacton and SAP and potential new systems
- AI initiative coordination points and handoff specifications defined
- Custom development is not included in this phase or scope</t>
    </r>
  </si>
  <si>
    <t>Integration Data Flow Requirements + Mapping</t>
  </si>
  <si>
    <t>Taoglas needs a clear definition of required integrations to ensure critical data flows are established for go-live (or next implementation phase) while identifying future integration opportunities.</t>
  </si>
  <si>
    <t>A8 to define integration requirements including sync rules, ownership responsibilities, and technical specifications for essential integrations needed for HubSpot (re)launch.</t>
  </si>
  <si>
    <r>
      <rPr>
        <rFont val="Arial"/>
        <color theme="1"/>
      </rPr>
      <t xml:space="preserve">- This document is specific to integration </t>
    </r>
    <r>
      <rPr>
        <rFont val="Arial"/>
        <b/>
        <i/>
        <color theme="1"/>
      </rPr>
      <t>requirements</t>
    </r>
    <r>
      <rPr>
        <rFont val="Arial"/>
        <i/>
        <color theme="1"/>
      </rPr>
      <t xml:space="preserve">
</t>
    </r>
    <r>
      <rPr>
        <rFont val="Arial"/>
        <color theme="1"/>
      </rPr>
      <t>- A8 to support technical capabilities assessment of integration options
- Taoglas to provide transparency on resource availability for integration development
- Timeline constraints documented for launch or any future phases
- Integration field mapping requirements not included in this scope, only critical fields to be noted
- Custom development is not included in this phase or scope</t>
    </r>
  </si>
  <si>
    <t>AI Initiative Coordination &amp; Integration Strategy</t>
  </si>
  <si>
    <t>Taoglas needs additional strategic guidance on bringing on AI solutions into their HubSpot platform while following best practices concurrent Cadre AI initiatives to ensure alignment and avoid conflicts.</t>
  </si>
  <si>
    <t>A8 to develop coordination strategy between CRM optimization and AI initiatives including data sharing integration points and timeline alignment.</t>
  </si>
  <si>
    <t>- Cadre AI initiative scope and timeline documentation available
- Regular coordination meetings established with Cadre team
- Data sharing and integration requirements between initiatives defined
- Timeline coordination to avoid resource conflicts</t>
  </si>
  <si>
    <t>Phase 1 Implementation Planning</t>
  </si>
  <si>
    <t>Phased Implementation Roadmap &amp; Resource Planning</t>
  </si>
  <si>
    <t>Taoglas needs an implementation plan via a 4-to-6-month roadmap that enables prioritization and resource allocation guidance across multiple workstreams.</t>
  </si>
  <si>
    <t>A8 to create an implementation roadmap that supports Taoglas's business goals gleaned from this strategy engagement.</t>
  </si>
  <si>
    <t>- Solution architecture and strategic framework completed
- 6-month implementation planning highlight partner vs Taoglas responsibilities and estimates resource requirements
- Includes change management/training timeline and dependencies 
- Dependencies and critical path identification across all workstreams</t>
  </si>
  <si>
    <t>Change Management &amp; Training Strategy Development</t>
  </si>
  <si>
    <t>Taoglas needs a comprehensive train-the-trainer strategy to drive user adoption and organizational change leveraging internal champions for CRM optimization success.</t>
  </si>
  <si>
    <t>A8 to develop a change management strategy emphasizing train-the-trainer methodology with internal champion identification and adoption measurement.</t>
  </si>
  <si>
    <t xml:space="preserve">- Assumes all discovery is complete and Taoglas has identified any major platform changes
- Taoglas to identify internal champions and provide feedback on A8's training approach for each team
- A8 to recommend success metrics and ongoing reinforcement strategy
- Timeline alignment with implementation phases and system rollouts
</t>
  </si>
  <si>
    <t>Executive Stakeholder Alignment &amp; Presentation</t>
  </si>
  <si>
    <t>Taoglas needs support for executive presentation and stakeholder buy-in to ensure leadership support the upcoming CRM optimization initiative and resource allocation.</t>
  </si>
  <si>
    <t>A8 to create executive presentation materials and facilitate stakeholder alignment sessions to secure leadership buy-in and implementation approvals.</t>
  </si>
  <si>
    <t>- Executive presentation deck with ROI justification and timeline overview
- Taoglas to support key stakeholder availability for alignment meetings and decision sessions
- Decision-making process and approval requirements clearly documented
- Implementation budget and resource authorization obtained from leadership
- Ongoing executive communication and progress reporting strategy defined</t>
  </si>
  <si>
    <t>Flex Hours</t>
  </si>
  <si>
    <t xml:space="preserve">Taoglas needs additional consulting capacity to take advantage of quick win opportunities in their current HubSpot instance. </t>
  </si>
  <si>
    <t xml:space="preserve">A8 to provide flexible consulting and implementation support for opportunities like updating deal stages, light reporting updates, and define a more strategic account creation process. </t>
  </si>
  <si>
    <t>- These hours may also be used for additional stakeholder interviews or workshops
- Coordination support with external partners and vendors as needed
- Other quick win opportunities include: Data entry methods to support better forecasting, net new company/logo creation process, required deal stages and data</t>
  </si>
  <si>
    <t>Consulting</t>
  </si>
  <si>
    <t>Task Type</t>
  </si>
  <si>
    <t>Task Name</t>
  </si>
  <si>
    <t>Description Content</t>
  </si>
  <si>
    <t>High Hours Estimate</t>
  </si>
  <si>
    <t>Contracted Hours</t>
  </si>
  <si>
    <t>Customer Story</t>
  </si>
  <si>
    <t>Taoglas needs detailed design of optimal future-state CRM architecture including enhanced integrations with Tacton AEB SAP and coordination with AI initiatives.
A8 to design comprehensive future-state architecture with optimized system integrations process workflows and AI initiative coordination points.
- This document is specific to integration planning
- Requirements documentation completed across all functional areas
- Technical constraints and integration capabilities documented
- Architecture diagrams created in Lucid for stakeholder review
- Integration specifications for Tacton and SAP and potential new systems
- AI initiative coordination points and handoff specifications defined
- Custom development is not included in this phase or scope</t>
  </si>
  <si>
    <t>Taoglas needs a clear definition of required integrations to ensure critical data flows are established for go-live (or next implementation phase) while identifying future integration opportunities.
A8 to define integration requirements including sync rules, ownership responsibilities, and technical specifications for essential integrations needed for HubSpot (re)launch.
- This document is specific to integration requirements
- A8 to support technical capabilities assessment of integration options
- Taoglas to provide transparency on resource availability for integration development
- Timeline constraints documented for launch or any future phases
- Integration field mapping requirements not included in this scope, only critical fields to be noted
- Custom development is not included in this phase or scope</t>
  </si>
  <si>
    <t>Taoglas needs additional strategic guidance on bringing on AI solutions into their HubSpot platform while following best practices concurrent Cadre AI initiatives to ensure alignment and avoid conflicts.
A8 to develop coordination strategy between CRM optimization and AI initiatives including data sharing integration points and timeline alignment.
- Cadre AI initiative scope and timeline documentation available
- Regular coordination meetings established with Cadre team
- Data sharing and integration requirements between initiatives defined
- Timeline coordination to avoid resource conflicts</t>
  </si>
  <si>
    <t>Direct Sales Team Stakeholder Interviews</t>
  </si>
  <si>
    <t>Taoglas needs to understand current pain points and CRM adoption challenges across their Direct Sales organization spanning 3 regions with standardized processes.
A8 to conduct structured interviews with Direct Sales stakeholders across all regions to document current state challenges and CRM utilization gaps.
- Up to 3 to 4 one-hour workshops
- Access to Direct Sales executives and regional managers across 3 regions
- Louise (CRM Head) to coordinate scheduling across regions
- A8 to provide interview framework focused on pipeline management and forecasting
- All sessions recorded and transcribed for documentation (for all A8 meetings)</t>
  </si>
  <si>
    <t>Distribution Sales Team Stakeholder Interviews</t>
  </si>
  <si>
    <t>Taoglas needs to understand unique process requirements and CRM challenges within their Distribution Sales channel with key stakeholders.
A8 to conduct targeted interviews with Distribution Sales stakeholders to document channel-specific workflows and integration requirements.
- Up to 3 to 4 one-hour workshops
- Access to lead Distribution Sales stakeholders
- Distribution-specific process documentation and system requirements
- Understanding of distributor relationship management needs
- Channel conflict and territory management considerations documented</t>
  </si>
  <si>
    <t>M&amp;I Sales Team Stakeholder Interviews</t>
  </si>
  <si>
    <t>Taoglas needs to understand the most complex and unique sales processes within their M&amp;I division to inform standardization opportunities.
A8 to conduct detailed interviews with M&amp;I stakeholders to document complex deal structures and specialized requirements.
- Up to 3 to 4 one-hour workshops
- Access to M&amp;I sales leadership and key contributors
- Taoglas to provide walkthroughs for complex deals and approval process
- A8 to note integration-specific CRM and process requirements</t>
  </si>
  <si>
    <t>Marketing Operations Stakeholder Interviews</t>
  </si>
  <si>
    <t>Taoglas needs to understand current marketing operations workflows and the potential transition from external partner to internal management with Alan (Marketing Ops Head).
A8 to conduct interviews with marketing stakeholders including Alan to document lead generation handoff processes and HubSpot marketing utilization.
- Up to 3 to 4 one-hour workshops
- Access to Alan (Marketing Operations Head) and marketing team
- Taoglas to provide current external partner workflow documentation
- Lead generation to sales handoff process mapping
- Marketing automation and segmentation requirements assessment</t>
  </si>
  <si>
    <t>Customer Service &amp; Order Management Interviews</t>
  </si>
  <si>
    <t>Taoglas needs to understand how Customer Service and Order Management teams interface with CRM and other technologies for customer lifecycle management and support workflows.
A8 to interview Customer Service/Order Management stakeholders to document customer journey touchpoints and CRM utilization patterns.
- Up to 2 to 3 one-hour workshops
- Access to 2 Customer Service/Order Management stakeholders
- Taoglas to provide current customer support workflow documentation
- A8 to focus on order management and CRM integration requirements</t>
  </si>
  <si>
    <t>Engineering &amp; Operations Support Workshops</t>
  </si>
  <si>
    <t>Taoglas needs to understand how Engineering (Design services/NPI) and Operations teams support sales processes despite operating primarily in SAP systems.
A8 to facilitate workshops with Engineering and Operations teams to identify sales support touchpoints and potential CRM integration opportunities.
- Up to 2 to 3 one-hour workshops
- Taoglas to provide access to Engineering and Operations team representatives
- Taoglas to provide SAP system workflow documentation and integration docs
- A8 to focus on sales support process (quotes, technical specs, delivery)</t>
  </si>
  <si>
    <t>Finance &amp; Revenue Operations Leadership Interviews</t>
  </si>
  <si>
    <t>Taoglas needs to align finance and revenue operations requirements with CRM optimization including forecasting accuracy and pipeline reporting needs.
A8 to conduct interviews with Eileen (Group Financial Controller) and RevOps stakeholders to document financial reporting and forecasting requirements.
- Up to 2 to 3 one-hour workshops
- Access to Eileen O'Reilly (Group Financial Controller) and RevOps team
- Current forecasting processes and accuracy challenges documented
- Financial reporting requirements from CRM data
- Revenue recognition and pipeline tracking alignment</t>
  </si>
  <si>
    <t>Taoglas needs evaluation of their complete technology stack including HubSpot, Tacton CPQ, SAP B1 and their Microsoft ecosystem to identify optimization and integration opportunities.
A8 to assess entire technical architecture and document high-level system dependencies integration capabilities and data flow across all platforms.
- Up to 3 one-hour workshops
- Access to system architecture documentation for all platforms
- Technical stakeholders available for interviews (HubSpot, Tacton, SAP)
- System access for evaluation (sandbox environments preferred)
- Taoglas to provide documentation when it exists
- AI initiative coordination with Cadre team requirements likely here</t>
  </si>
  <si>
    <t>Taoglas needs additional consulting capacity to take advantage of quick win opportunities in their current HubSpot instance.
A8 to provide flexible consulting and implementation support for opportunities like updating deal stages, light reporting updates, and define a more strategic account creation process.
- These hours may also be used for additional stakeholder interviews or workshops
- Coordination support with external partners and vendors as needed
- Other quick win opportunities include: Data entry methods to support better forecasting, net new company/logo creation process, required deal stages and data</t>
  </si>
  <si>
    <t>Taoglas needs an implementation plan via a 4-to-6-month roadmap that enables prioritization and resource allocation guidance across multiple workstreams.
A8 to create an implementation roadmap that supports Taoglas's business goals gleaned from this strategy engagement.
- Solution architecture and strategic framework completed
- 6-month implementation planning highlight partner vs Taoglas responsibilities and estimates resource requirements
- Includes change management/training timeline and dependencies 
- Dependencies and critical path identification across all workstreams</t>
  </si>
  <si>
    <t>Taoglas needs a comprehensive train-the-trainer strategy to drive user adoption and organizational change leveraging internal champions for CRM optimization success.
A8 to develop a change management strategy emphasizing train-the-trainer methodology with internal champion identification and adoption measurement.
- Assumes all discovery is complete and Taoglas has identified any major platform changes
- Taoglas to identify internal champions and provide feedback on A8's training approach for each team
- A8 to recommend success metrics and ongoing reinforcement strategy
- Timeline alignment with implementation phases and system rollouts</t>
  </si>
  <si>
    <t>Taoglas needs support for executive presentation and stakeholder buy-in to ensure leadership support the upcoming CRM optimization initiative and resource allocation.
A8 to create executive presentation materials and facilitate stakeholder alignment sessions to secure leadership buy-in and implementation approvals.
- Executive presentation deck with ROI justification and timeline overview
- Taoglas to support key stakeholder availability for alignment meetings and decision sessions
- Decision-making process and approval requirements clearly documented
- Implementation budget and resource authorization obtained from leadership
- Ongoing executive communication and progress reporting strategy defined</t>
  </si>
  <si>
    <t>Taoglas needs a comprehensive analysis of gaps between their current GTM processes and CRM utilization to prioritize improvement initiatives across their complex sales organization.
A8 to conduct detailed gap analysis comparing current state against HubSpot best practices and industry standards for primary GTM teams.
- Assumes current state documentation provided by Taoglas and all discovery workshops are complete
- Gap prioritization based on business impact and adoption feasibility
- ROI estimation for improvement opportunities across channels
- Quick wins identification and validation</t>
  </si>
  <si>
    <t>Taoglas needs collaborative sessions to define and prioritize requirements for FUTURE state CRM optimization across each functional area with cross-team alignment.
A8 to facilitate requirements workshops with GTM teams plus cross-functional sessions to define detailed requirements and identify dependencies.
- This service line/story is a hybrid of A8 documentation, feedback by Taoglas, and workshops to align on the direction of the implementation phase
- Key stakeholders from each functional area available for workshops
- Workshop sessions recorded and documented in structured format
- Complex cross-functional dependencies flagged
- Requirements prioritization may use the MoSCoW method (Must Should Could Won't)
- AI initiative requirements coordination considerations</t>
  </si>
  <si>
    <t>Taoglas needs a comprehensive reporting strategy that leverages their custom HubSpot object architecture to provide actionable insights for GTM, operations, and leadership teams.
A8 to design comprehensive reporting strategy and requirements documentation for Taoglas's HubSpot instance including custom report specifications, high-level data visualization requirements, and user role-based reporting access.
- Recommendations for HubSpot's object architecture completed to compliment this service
- Taoglas to share key performance indicators and success metrics during discovery workshops
- Taoglas to share current reporting tools and processes being used
- Clear definition of reporting user personas and access requirements
- Reporting frequency requirements defined (real-time, weekly, monthly, quarterly)</t>
  </si>
  <si>
    <t>Taoglas needs a strategic framework for standardizing (and connecting) processes across GTM teams while maintaining team/channel-specific flexibility where required.
A8 to develop marketing and sales process standardization framework balancing consistency with team-specific requirements and regional variations.
- A8 to create future-facing process mapping for primary GTM teams
- Standardization opportunities identified and validated with Taoglas stakeholders
- Channel-specific exception handling and approval workflows defined
- Pipeline stage standardization with channel-appropriate customizations
- Training and adoption strategy considerations integrated
- Process swimlanes and technical dependencies with AI, CPQ, product library, and ERP are clearly defined</t>
  </si>
  <si>
    <t>Project Management</t>
  </si>
  <si>
    <t>Project Kickoff, Onboarding, and Closeout</t>
  </si>
  <si>
    <t>Recurring Project Check-ins</t>
  </si>
  <si>
    <t>Project Administration</t>
  </si>
  <si>
    <t>Configuration</t>
  </si>
  <si>
    <t>Value</t>
  </si>
  <si>
    <t>Description</t>
  </si>
  <si>
    <t>HubSpot Property</t>
  </si>
  <si>
    <t>Gdrvie + Deal Inputs</t>
  </si>
  <si>
    <t>Company Name</t>
  </si>
  <si>
    <t>Taoglas Strategy Engagement</t>
  </si>
  <si>
    <t>Client company name for proposals</t>
  </si>
  <si>
    <t>Google Folder</t>
  </si>
  <si>
    <t>https://drive.google.com/drive/folders/1Y6mdhZ8I_tVKSImaxGZFLoTrLMYJewxW</t>
  </si>
  <si>
    <t>Needs to be manually input for the time being, will be set by the Pipedream automation</t>
  </si>
  <si>
    <t>Deal Record ID</t>
  </si>
  <si>
    <t>HubSpot deal record ID, needs to be manually input for the time being, will be set by the Pipedream automation</t>
  </si>
  <si>
    <t>Last Sync to HubSpot</t>
  </si>
  <si>
    <t>The last time the story doc was sync'd to the HubSpot deal record</t>
  </si>
  <si>
    <t>Client Page</t>
  </si>
  <si>
    <t>Client Page URL</t>
  </si>
  <si>
    <t>https://script.google.com/macros/s/AKfycbyX-NJc38M7t92lgQFeLnpQ8A1C6EDBxb7wd7k__fQ9E_VNUhCjp9BQ8M6PJCelfrasgA/exec?sheetId=1mN36V8Y7tH-yGd842Pw1GdCs_a_A9_eGH_K5hNk4wW4</t>
  </si>
  <si>
    <t>The URL of the page that will be shared in Trumpet</t>
  </si>
  <si>
    <t>customer_stories_client_url</t>
  </si>
  <si>
    <t>Last Client Page URL Generated</t>
  </si>
  <si>
    <t>The last time you created/updated a URL so we can understand deployment app versions</t>
  </si>
  <si>
    <t>Client Page Status</t>
  </si>
  <si>
    <t>Final Presentation</t>
  </si>
  <si>
    <t>Determines page status for the shared link</t>
  </si>
  <si>
    <t>Project ID</t>
  </si>
  <si>
    <t>------</t>
  </si>
  <si>
    <t>TBD on usage to facilitate project creation</t>
  </si>
  <si>
    <t>Solutions Architect</t>
  </si>
  <si>
    <t>Martin Rittenberry</t>
  </si>
  <si>
    <t>SA assigned to this project</t>
  </si>
  <si>
    <t>Request Scope Review</t>
  </si>
  <si>
    <t>Future-state functionality incoming</t>
  </si>
  <si>
    <t>Scope Reviewed</t>
  </si>
  <si>
    <t>NOW Project</t>
  </si>
  <si>
    <t>Hourly Project Rate</t>
  </si>
  <si>
    <t>Standard hourly rate for most services</t>
  </si>
  <si>
    <t>project_hourly_rate</t>
  </si>
  <si>
    <t>Project Management Factor</t>
  </si>
  <si>
    <t>Percentage markup for project management</t>
  </si>
  <si>
    <t>Project Management Content</t>
  </si>
  <si>
    <t>To support management and communication, a project manager and delivery lead will own all A8 tasks and clearly communicate needs.
- Visibility to budget spend will be provided during the duration of the project
- A8 will provide check-in agenda items and follow-ups
- Taoglas to communicate to A8's shared inbox for easier collaboration and timely responses
- Taoglas driven delay will result in additional PM time billed to manage timeline</t>
  </si>
  <si>
    <t>Description text for the PM section. editable by you.</t>
  </si>
  <si>
    <t>SA Expected Start Date</t>
  </si>
  <si>
    <t>Project start date</t>
  </si>
  <si>
    <t>Total Project Months</t>
  </si>
  <si>
    <t>Expected project duration</t>
  </si>
  <si>
    <t>project_duration</t>
  </si>
  <si>
    <t>NEXT Support Retainer</t>
  </si>
  <si>
    <t>Post-Launch Hourly Rate</t>
  </si>
  <si>
    <t>Post-launch rate, a zero here will hide the workstream/section</t>
  </si>
  <si>
    <t>retainer_hourly_rate</t>
  </si>
  <si>
    <t>Post-Launch Hours Per Month</t>
  </si>
  <si>
    <t>Post-launch hours per month, a zero here will hide the workstream/section</t>
  </si>
  <si>
    <t>retainer_hours_per_month_sold</t>
  </si>
  <si>
    <t>Post-Launch # of Months</t>
  </si>
  <si>
    <t>Post-launch months, a zero here will hide the workstream/section</t>
  </si>
  <si>
    <t>retainer_months_sold</t>
  </si>
  <si>
    <t>Post-Launch Support Content</t>
  </si>
  <si>
    <t>Hours dedicated to post go-live support. These hours can be used for anything HubSpot related (reporting, training, iterations, additional asks, etc.)</t>
  </si>
  <si>
    <t>Description text for the post-launch section</t>
  </si>
  <si>
    <t>Additional Notes + Considerations</t>
  </si>
  <si>
    <t>Additional Notes</t>
  </si>
  <si>
    <t>- The assumptions content in this scope is based on information and discovery during the sales evaluation and is subject to change during the project if additional challenges or barriers are discovered.
- A8 is a Time &amp; Materials agency, we will provide transparent budget tracking throughout the project and change orders will require approvals. 
- We interchange between A8 and Aptitude 8 in this document.</t>
  </si>
  <si>
    <t>Description text for below the investment summaries, but above the later phase workstreams</t>
  </si>
  <si>
    <t>Calculated Project Details</t>
  </si>
  <si>
    <t>Total Service Hours Hours</t>
  </si>
  <si>
    <t>Total amount of Input rows</t>
  </si>
  <si>
    <t>Total Project Management Hours</t>
  </si>
  <si>
    <t>Based on PM % in Config Sheet</t>
  </si>
  <si>
    <t>Total Project Hours Sold</t>
  </si>
  <si>
    <t>Service + PM</t>
  </si>
  <si>
    <t>project_hours_sold</t>
  </si>
  <si>
    <t>Total Retainer Hours Sold</t>
  </si>
  <si>
    <t>Total Engagement Hours Sold</t>
  </si>
  <si>
    <t>This should match exactly to the investment block on the HTML Page</t>
  </si>
  <si>
    <t>sold_hours</t>
  </si>
  <si>
    <t>Deal Amount</t>
  </si>
  <si>
    <t>amount</t>
  </si>
  <si>
    <t>Expected End Date</t>
  </si>
  <si>
    <t>Expected Project Hours/Month</t>
  </si>
  <si>
    <t>Linear Expected Project Hours/Week</t>
  </si>
  <si>
    <t>Peak Project Expected Hours/Week</t>
  </si>
  <si>
    <t>Low Project Expected Hours/Week</t>
  </si>
  <si>
    <t>Dev Work Percentage</t>
  </si>
  <si>
    <t>dev_work_pct</t>
  </si>
  <si>
    <t>SE Work Percentage</t>
  </si>
  <si>
    <t>se_work_pct</t>
  </si>
  <si>
    <t>Calculated Function Summary</t>
  </si>
  <si>
    <t>Sum of Hours</t>
  </si>
  <si>
    <t>Percent of</t>
  </si>
  <si>
    <t>Development</t>
  </si>
  <si>
    <t>Sum of Function-Based Hours</t>
  </si>
  <si>
    <t>Calculated Ranges</t>
  </si>
  <si>
    <t>Low Hours</t>
  </si>
  <si>
    <t>High Hours</t>
  </si>
  <si>
    <t>Project Service Estimates:</t>
  </si>
  <si>
    <t>Project Management:</t>
  </si>
  <si>
    <t>Post-Project Support:</t>
  </si>
  <si>
    <t>Hour Estimates:</t>
  </si>
  <si>
    <t>Investment Ranges:</t>
  </si>
  <si>
    <t>SOW Summarized Line Items</t>
  </si>
  <si>
    <t>Discovery + Requirements + Solutioning Workshops</t>
  </si>
  <si>
    <t>Process + Requirements Gathering Workshops</t>
  </si>
  <si>
    <t>ASIS needs strategic guidance to map current and future state processes across all tech stack dependent systems.</t>
  </si>
  <si>
    <t>A8 and ASIS to execute multiple workshops with stakeholder groups to document requirements and identify optimization opportunities.</t>
  </si>
  <si>
    <t>- All sessions recorded
- ASIS project champion to support identifying key stakeholder groups
- These sessions may be a hybrid of discovery and collaborative solutioning
- A8 to document action items
- A8 to collaborate on information intake from ICs and additional stakeholders (eg. Surveyed information, user stories)</t>
  </si>
  <si>
    <t>AMS Reverse Demos</t>
  </si>
  <si>
    <t>ASIS needs to demonstrate current processes and pain points within their current AMS.</t>
  </si>
  <si>
    <t>A8 and ASIS to conduct reverse demos, with ASIS resources leading the demo within current platforms.</t>
  </si>
  <si>
    <t>- A8 to review recorded sessions from previous engagement
- May also include additional time for Magento and other platforms
- ASIS to provide support from AMS industry experts to support evaluation
- ASIS to identify pain points and inefficiencies
- Both teams to catalog "must-have" vs "nice-to-have" functionality</t>
  </si>
  <si>
    <t>System Architecture Consulting + Strategy Workshops</t>
  </si>
  <si>
    <t>ASIS needs A8's expertise to evaluate current tech stack and design an optimal integration approach.</t>
  </si>
  <si>
    <t>A8 to understand and document current systems data flows and integration requirements to support creation of the future-state architecture plan.</t>
  </si>
  <si>
    <t>- Future deliverable will be a tech stack overview document with data flow diagrams
- SSO Requirements include but are not limited to: 
       - Needs to support SSO across all partner websites
       - Must be standards compliant using common web authentication methods: SAML, OAuth 2.0, OpenID
       - Identity provider could be part of the new member platform/AMS as long as it:
              - Is standards compliant
              - Doesn't have egregious costs
              - Doesn't limit future flexibility</t>
  </si>
  <si>
    <t>AMS + Tech Stack Requirement Documentation</t>
  </si>
  <si>
    <t>ASIS needs clear documentation of requirements for MVP and future phases. Along with clear requirements documented to support the RFP creation.</t>
  </si>
  <si>
    <t>A8 to create detailed requirements docs for applicable platforms.</t>
  </si>
  <si>
    <t>- A8 to document requirements, workflows, and system interactions
- Tech stack visuals with integration dependencies noted
- Visuals created on Lucid boards
- Written documentation created in Google Docs and Sheets (exportable)</t>
  </si>
  <si>
    <t>AMS Selection + RFP Support</t>
  </si>
  <si>
    <t>RFP Strategy Support + Consulting</t>
  </si>
  <si>
    <t>ASIS needs strategic guidance on AMS vendor selection and the RFP process.</t>
  </si>
  <si>
    <t>A8 to provide support evaluating AMS platforms, partners, and reviewing the RFP content.</t>
  </si>
  <si>
    <t>- A8 to remain strategic partner with a holistic tech stack and HubSpot-first strategy (we are not AMS leading experts)
- A8 to review ASIS's RFP template and certification RFP example
- A8 to partner with AMS expert consultants (Delcor, Effective DB, etc.)
- Define evaluation criteria focusing on business outcomes vs features
- A8 can support content editing on requirement sections, per the created documentation from discovery
- Support RFP timeline planning aligned with budgeting cycle (and phased approach)</t>
  </si>
  <si>
    <t>AMS Candidate Demos</t>
  </si>
  <si>
    <t>ASIS needs a strategic partner to support evaluation of AMS platforms to confirm requirements are met and aligned.</t>
  </si>
  <si>
    <t>A8 to support ASIS by actively attending AMS demos and key meetings.</t>
  </si>
  <si>
    <t>- A8 to receive support from AMS industry expert partners for vendor evaluation
- All demos and meetings to be recorded
- A8  to attend vendor demonstrations
- Time is inclusive of internal meetings with ASIS to support dbriefs
- ASIS leads coordination of demo scheduling for this phase</t>
  </si>
  <si>
    <t>AMS Selection Process Support + Proposal Evaluation</t>
  </si>
  <si>
    <t>ASIS needs a structured approach to evaluate and select AMS vendor(s).</t>
  </si>
  <si>
    <t>A8 to provide consulting support on both the platform selection process and evaluating proposals to ensure ASIS's Phase 2 requirements are met.</t>
  </si>
  <si>
    <t>- A8 and contractor to support vendor shortlist recommendations with AMS expert partners
- A8, AMS expert, and ASIS team to collaborate on decision criteria
- A8 to support validation vendor alignment with MVP requirements
- A8 to review technical evaluation of proposed solutions and integration capabilities
- A8 to attend leadership presentations for system selection
- A8 will not be involved with price negotiations and procurement</t>
  </si>
  <si>
    <t>Implementation Planning</t>
  </si>
  <si>
    <t>Critical Process Mapping + Documentation</t>
  </si>
  <si>
    <t>ASIS needs detailed process flows documented for all key workflows and processes within their tech stack, AMS, and CRM.</t>
  </si>
  <si>
    <t>A8 to create swimlane diagrams showing system and user interactions where necessary.</t>
  </si>
  <si>
    <t>- This is an execution task defined by the Requirements &amp; Solutioning deliverables
- Process flows by team/function</t>
  </si>
  <si>
    <t>Data Migration Planning</t>
  </si>
  <si>
    <t>ASIS needs strategy for migrating data from legacy systems into new and existing systems for Phase 2.</t>
  </si>
  <si>
    <t>A8 to create a detailed migration plan including data cleanup mapping and validation approach.</t>
  </si>
  <si>
    <t>- Source system documentation
- Data mapping documentation</t>
  </si>
  <si>
    <t>Training + Change Management Strategy</t>
  </si>
  <si>
    <t>ASIS needs a clear plan for user onboarding and adoption in Phase 2.</t>
  </si>
  <si>
    <t>Develop training approach and timeline aligned with implementation phases</t>
  </si>
  <si>
    <t>- Training modality recommendations
- User group identification
- Timeline planning</t>
  </si>
  <si>
    <t>Implementation Planning + Strategy</t>
  </si>
  <si>
    <t>ASIS needs a strategy for implementing their Phase 2 tech stack, and to avoid risk and lost materials in future phases.</t>
  </si>
  <si>
    <t>A8 to combine all resources and create a detailed implementation plan that aligns with proposed AMS responsibilities.</t>
  </si>
  <si>
    <t>- Inclusive of migration timeline(s), AMS onboarding, all user training, and required integrations
- AMS selection and AMS partner SOWs must be signed or aligned between ASIS and A8
- A8 and ASIS to align on terminology (eg. MVP vs Phase 2 vs Phase 3)</t>
  </si>
  <si>
    <t>A8 Phase 2 SOW + Requirements</t>
  </si>
  <si>
    <t>ASIS needs a clear SOW and documented requirements for Phase 2 to ensure success of their AMS roll out.</t>
  </si>
  <si>
    <t>A8 to provide a detailed SOW and timeline estimate that aligns with all requirements and compliments the proposed AMS work.</t>
  </si>
  <si>
    <t>- SOW to include cost estimates along with assets documented above</t>
  </si>
  <si>
    <t>Leadership Presentation + Documentation</t>
  </si>
  <si>
    <t>ASIS needs support presenting the Phase 2 implementation plan and SOW to their executive leadership.</t>
  </si>
  <si>
    <t>A8 to support ASIS stakeholders with presentations and alignment calls to ensure all parties are in alignment before Phase 2 begins.</t>
  </si>
  <si>
    <t>- Presentation materials to include an executive deck, along with all resources documented above</t>
  </si>
  <si>
    <t>These scoped hours will provide ASIS additional support for ad hoc requests that come up during the project. This budget could also be allocated for additional consulting, evaluation, or process documentation.</t>
  </si>
  <si>
    <t>- Inclusive of ad hoc requests, additional meetings, and additional project planning.</t>
  </si>
  <si>
    <t>Discovery Interviews</t>
  </si>
  <si>
    <t>Internal A8 Exercise - Real Estate + Healthcare Overlay</t>
  </si>
  <si>
    <t>Colibri + A8 need immediate insights from existing A8 work to accelerate the project timeline and identify similarities (or differences) across ecosystems.</t>
  </si>
  <si>
    <t>A8 to conduct internal exercise and overlay Real Estate and Healthcare audit findings to identify standardization patterns, gaps, and context before stakeholder interviews.</t>
  </si>
  <si>
    <t>-  Access to complete RE and HC audit documentation, such as process and system architecture maps, and internal A8 resources
-  Focus on journey standardization opportunities
-  Focus on marketing automation
-  Focus on foundational model for Crawl, Walk, Run, Fly
-  Focus on segmentation structure/strategy
-  Focus on metrics &amp; KPIs
-  Cross-ecosystem comparison methodology documented</t>
  </si>
  <si>
    <t>Cross-Ecosystem Stakeholder Interviews</t>
  </si>
  <si>
    <t>Colibri has 5 ecosystems with separate marketing approaches doing identical functions, requiring validation interviews to understand nuances beyond RE/HC.</t>
  </si>
  <si>
    <t>A8 to conduct interviews with marketing heads and key stakeholders across these Ecosystems:  Sales, Service, Accounting, Financial Services, Healthcare, Real Estate, Teaching, and Valuation Property Services to validate baseline standards and capture unique requirements and determine which standards apply at the Colibri-wide level vs. ecosystem level. This will include exploration into our Sales &amp; Service areas at an ecosystem level.</t>
  </si>
  <si>
    <t>-  Assumes access to heads of marketing across all ecosystems. Limit to key leaders in Marketing, Sales, and Service per ecosystem. 
-  Aptitude 8 will use existing documentation where possible.
-  Structured interviews based on existing RE/HC learnings
-  Focus on full lifecycle marketing, pain points, and standardization readiness
-  All sessions recorded and transcribed</t>
  </si>
  <si>
    <t>Colibri Reporting + Analytics Interviews</t>
  </si>
  <si>
    <t>Colibri needs an understanding and alignment on their own corporate-level reporting requirements to inform their decision strategy.</t>
  </si>
  <si>
    <t>A8 to conduct reporting-based interviews to gain an understanding of the type of insights Colibri is attempting to make across all ecosystems.</t>
  </si>
  <si>
    <t>-  Assumes access to heads of marketing and key players across all ecosystems along with executive leadership access/feedback
- Reviews PowerBI, GA4, Matomo, and other platforms being utilized
-  All sessions recorded and transcribed</t>
  </si>
  <si>
    <t>Current-state Process Mapping + User Stories</t>
  </si>
  <si>
    <t>Customer Journey Documentation - Ecosystem</t>
  </si>
  <si>
    <t>Colibri needs an understanding of current customer journeys so they can assess the level of sophistication and complexities across all brands.</t>
  </si>
  <si>
    <t>A8 to document the following marketing ops dependencies: Marketing customer journeys, Marketing automation workflows, Lead scoring mechanisms, Lifecycle stages (marketing-owned), Marketing technology stack (HubSpot, Salesforce Marketing Cloud, Eloqua), and Marketing processes and sales handoffs</t>
  </si>
  <si>
    <t>- Journey standardization based on successful Healthcare and Real Estate implementations
- Journey templates account for ecosystem-specific requirements
- Includes an understanding of the core lifecycle management functions</t>
  </si>
  <si>
    <t>Gap Analysis Across All Ecosystems</t>
  </si>
  <si>
    <t>Colibri needs comprehensive gap analysis across Healthcare, Real Estate, Financial Services, Accounting, VPS, and remaining ecosystems to identify standardization requirements.</t>
  </si>
  <si>
    <t>A8 to conduct detailed gap analysis comparing current state across all ecosystems against proposed baseline standards to identify areas requiring standardization vs. legitimate customization.</t>
  </si>
  <si>
    <t>-  Completed Phase 1 inventory and interviews
-  Baseline standards framework from RE/HC overlay
-  Gap analysis methodology
-  Essential vs. standardizable variance identification
-  Resource requirement assessment for gap closure
-  Prioritization framework for implementation</t>
  </si>
  <si>
    <t>Enhanced Current-State Process Mapping + Ecosystem Standards Framework</t>
  </si>
  <si>
    <t>Building on existing RE/HC work, Colibri needs comprehensive process mapping that defines standardization at both the Colibri enterprise level and individual ecosystem level, with clear delineation of where differences are essential versus where they can be standardized.</t>
  </si>
  <si>
    <t>A8 to expand current-state mapping by blending existing ecosystem work with enterprise-level standardization framework, creating playbooks for crawl/walk/run/fly marketing operations maturity levels across all ecosystems. A8 will also distinguish which deliverables are enterprise standards vs. ecosystem-specific, including the rational behind the differences.</t>
  </si>
  <si>
    <t>- Standardization at the Colibri level AND the ecosystem level and call out where they're different
- Playbooks for crawl, walk, run, fly marketing ops
- Colibri leadership alignment on enterprise-level vs ecosystem-level standardization philosophy
- Clear delineation between essential ecosystem differences vs standardizable processes including governance for cross-brand frequency caps, suppression logic, and multi-licensing handling 
- Technology-agnostic recommendations will support future platform migrations (SFMC or otherwise)
- Current marketing technology implementations are accessible for audit and comparison</t>
  </si>
  <si>
    <t>Marketing Ops Strategy Roadmap</t>
  </si>
  <si>
    <t>Comprehensive Marketing Strategy Document</t>
  </si>
  <si>
    <t>Colibri requires a unified marketing strategy document that consolidates current state assessment, marketing capability framework, and future-state operating model to serve as the foundation for their digital transformation and stakeholder alignment.</t>
  </si>
  <si>
    <t>A8 to develop comprehensive marketing strategy document including current state inventory, consolidated capability framework, future-state operating model, standardized customer journeys, lifecycle stages, lead scoring approach, and metrics measurement framework.</t>
  </si>
  <si>
    <t>- Summary of current state assessment and inventory of current state journeys and  artifacts
- Consolidated Marketing Capability Framework
- Defined future-state marketing operating model.
- Determine where standards apply at the Colibri-wide level vs. ecosystem level
- Standardized customer journeys, lifecycle stages, and lead scoring approach. 
- Standardized Lifecycle and Lead Scoring Implementation Guide of Metrics and Measurement Framework
- Define KPIs and success metrics and agree across all ecosystem leads
- Define KPIs and success metrics and agree across all ecosystem leads</t>
  </si>
  <si>
    <t>Colibri Marketing Automation &amp; Operations Blueprint</t>
  </si>
  <si>
    <t>Colibri needs a technology-agnostic marketing operations blueprint that provides standardized journey templates, lifecycle communications plans, lead scoring frameworks, and governance structures that can be implemented across all ecosystems regardless of platform choice.</t>
  </si>
  <si>
    <t>A8 to create comprehensive marketing automation blueprint including standardized journey templates, lifecycle stage communication plans, lead scoring and automation framework, and marketing governance structure for sustainable operations.</t>
  </si>
  <si>
    <t>- Standardized journey templates
- Communications Plan for Lifecycle stages
- Lead scoring and automation framework
- Marketing Governance</t>
  </si>
  <si>
    <t>Workshops + Future Requirements Validation</t>
  </si>
  <si>
    <t>Ecosystem vs Enterprise Standardization Strategy Workshop</t>
  </si>
  <si>
    <t>Colibri needs to answer the first-order question: should standardization happen at ecosystem level or corporate/enterprise level across all of Colibri.</t>
  </si>
  <si>
    <t>A8 to facilitate strategic workshops with their findings and A8's recommendation based on the discovery and process mapping work in earlier phases. 
Colibri stakeholders to evaluate A8's recommendations and documented trade-offs to then align with A8 on the best path forward. 
 A8 will explore and help determine which standards apply at the Colibri-wide level vs. ecosystem level including defining and documenting enterprise-level standards for data structure, naming conventions, and permissions.</t>
  </si>
  <si>
    <t>-  Participation from Christa Chancellor, Prabhu Inbarajan, Yazir Mendez, and other marketing heads
-  Structured decision framework
-  Trade off analysis between ecosystem vs enterprise approaches
-  Business impact modeling for each approach
-  Decision documentation with rationale
- Governance for cross-brand frequency caps, suppression logic, and multi-license handling.</t>
  </si>
  <si>
    <t>Implementation Planning + Strategy Presentation</t>
  </si>
  <si>
    <t>Comprehensive Strategy Documentation &amp; Executive Summary</t>
  </si>
  <si>
    <t>Based on the strategic decision, Colibri needs complete strategy documentation that serves as the north star for implementation, including executive summary for board and investor communications.</t>
  </si>
  <si>
    <t>A8 to create comprehensive strategy documentation with executive summary, high-level implementation plans, and supporting materials for internal and external stakeholder communication.</t>
  </si>
  <si>
    <t>-  Executive-level summary for board presentations
-  Quick wins identification and prioritization
-  Strategy documentation for implementation teams
-  Supporting analysis and rationale documentation
-  Implementation frameworks
-  Success metrics and measurement tools
-  Change management guidance
-  Risk mitigation strategies documentation
- Provide a high-level readout of Discovery &amp; Interview Learnings a week after the last interview  
- Weekly checkpoints with Colibri 
- High-level deliverable review during week 5 to validate that the A8 Team is on track and make possible adjustments prior to stakeholder reviews</t>
  </si>
  <si>
    <t>Leadership Presentation</t>
  </si>
  <si>
    <t>Colibri's project team needs support presenting the implementation plan and SOW to their executive leadership.</t>
  </si>
  <si>
    <t>A8 to present to Colibri leadership to ensure all parties are in alignment before the next implementation phase.</t>
  </si>
  <si>
    <t>- Presentation materials to include an executive deck, along with all resources documented above.
- A8 to ensure strategic buy-in across marketing leads across all ecosystems, to provide a finalized product that has an agreed-upon framework. 
- A8 to present the implementation plan and SOW to Colibri's executive leadership.
- A8 to ensure strategic buy-in across marketing leads across all ecosystems, to provide a finalized product that has an agreed-upon framework. A8 to support presenting the implementation plan and SOW to Colibri's executive leadership.</t>
  </si>
  <si>
    <t>Hide</t>
  </si>
  <si>
    <t>Strategy Development</t>
  </si>
  <si>
    <t>Current-State Process Mapping Across All GTM Teams</t>
  </si>
  <si>
    <t>Taoglas needs comprehensive documentation of existing processes across all go-to-market teams to identify standardization opportunities and process gaps.</t>
  </si>
  <si>
    <t>A8 to document current-state processes for Direct Sales Distribution M&amp;I Marketing and Customer Service through stakeholder interviews and system walkthroughs.</t>
  </si>
  <si>
    <t>- Access to current systems and processes across all GTM teams
- Subject matter experts available for comprehensive process walkthroughs
- Process documentation created in Lucid/Miro for visual collaboration
- Regional and channel-specific process variations documented</t>
  </si>
  <si>
    <t>Cadre AI Initiative Coordination Meetings</t>
  </si>
  <si>
    <t>Taoglas needs ongoing coordination between A8 CRM optimization and Cadre AI initiatives to ensure alignment avoid conflicts and maximize synergies between concurrent projects.</t>
  </si>
  <si>
    <t>A8 to participate in regular coordination meetings with Cadre team and facilitate integration planning between CRM optimization and AI initiative workstreams.</t>
  </si>
  <si>
    <t>- Regular meeting cadence established with Cadre AI team
- Joint planning sessions for data sharing and integration requirements
- Timeline coordination to optimize resource utilization across initiatives
- Conflict resolution and priority setting for overlapping requirements
- Documentation of joint deliverables and shared success metrics</t>
  </si>
  <si>
    <t>Data Migration &amp; Integration Strategy</t>
  </si>
  <si>
    <t>Taoglas needs comprehensive strategy for optimizing data quality and enhancing integrations with Tacton AEB SAP while maintaining business continuity.</t>
  </si>
  <si>
    <t>A8 to create detailed data optimization plan including current integration enhancement mapping validation and quality improvement approach.</t>
  </si>
  <si>
    <t>- Current integration documentation and data flow mapping completed
- Data quality assessment across HubSpot Tacton AEB and SAP systems
- Integration enhancement specifications and testing approach defined
- Business continuity and rollback procedures documented for critical integrations
- Performance monitoring and optimization procedures established</t>
  </si>
  <si>
    <t>Tactical Quick Wins Implementation Roadmap</t>
  </si>
  <si>
    <t>Taoglas needs immediate tactical recommendations for quick wins in forecasting data entry reporting and net new company creation to demonstrate early value.</t>
  </si>
  <si>
    <t>A8 to create tactical implementation roadmap for identified quick wins with specific configuration steps and success metrics.</t>
  </si>
  <si>
    <t>- Quick win opportunities validated through discovery process
- Forecasting and reporting requirements clearly documented
- Company creation workflow optimization specifications defined
- Implementation steps prioritized by complexity and business impact
- Success metrics and measurement approach defined for each quick win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</si>
</sst>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mm/dd/yyyy, h:mm:ss am/pm"/>
    <numFmt numFmtId="166" formatCode="M/d/yyyy H:mm:ss"/>
    <numFmt numFmtId="167" formatCode="m/d/yyyy"/>
    <numFmt numFmtId="168" formatCode="&quot;$&quot;#,##0.00"/>
  </numFmts>
  <fonts count="23">
    <font>
      <sz val="10.0"/>
      <color rgb="FF000000"/>
      <name val="Arial"/>
      <scheme val="minor"/>
    </font>
    <font>
      <b/>
      <color theme="1"/>
      <name val="Arial"/>
    </font>
    <font>
      <b/>
      <color rgb="FF000000"/>
      <name val="Arial"/>
    </font>
    <font>
      <color theme="1"/>
      <name val="Arial"/>
    </font>
    <font>
      <color theme="1"/>
      <name val="Arial"/>
      <scheme val="minor"/>
    </font>
    <font>
      <sz val="10.0"/>
      <color theme="1"/>
      <name val="Arial"/>
    </font>
    <font>
      <sz val="10.0"/>
      <color rgb="FF000000"/>
      <name val="Arial"/>
    </font>
    <font>
      <b/>
      <color theme="1"/>
      <name val="Arial"/>
      <scheme val="minor"/>
    </font>
    <font>
      <b/>
      <sz val="12.0"/>
      <color theme="1"/>
      <name val="Rubik"/>
    </font>
    <font>
      <sz val="12.0"/>
      <color theme="1"/>
      <name val="Rubik"/>
    </font>
    <font>
      <sz val="12.0"/>
      <color rgb="FFB7B7B7"/>
      <name val="Rubik"/>
    </font>
    <font>
      <b/>
      <color theme="1"/>
      <name val="Rubik"/>
    </font>
    <font>
      <color theme="1"/>
      <name val="Rubik"/>
    </font>
    <font>
      <i/>
      <color rgb="FF999999"/>
      <name val="Rubik"/>
    </font>
    <font>
      <color rgb="FFB7B7B7"/>
      <name val="Rubik"/>
    </font>
    <font>
      <u/>
      <color rgb="FF0000FF"/>
      <name val="Rubik"/>
    </font>
    <font>
      <i/>
      <sz val="12.0"/>
      <color rgb="FF999999"/>
      <name val="Rubik"/>
    </font>
    <font>
      <u/>
      <color rgb="FF0000FF"/>
      <name val="Rubik"/>
    </font>
    <font>
      <color rgb="FF999999"/>
      <name val="Rubik"/>
    </font>
    <font>
      <b/>
      <sz val="12.0"/>
      <color rgb="FF999999"/>
      <name val="Rubik"/>
    </font>
    <font>
      <strike/>
      <color theme="1"/>
      <name val="Arial"/>
    </font>
    <font>
      <b/>
      <strike/>
      <color theme="1"/>
      <name val="Arial"/>
    </font>
    <font>
      <strike/>
      <color theme="1"/>
      <name val="Arial"/>
      <scheme val="minor"/>
    </font>
  </fonts>
  <fills count="9">
    <fill>
      <patternFill patternType="none"/>
    </fill>
    <fill>
      <patternFill patternType="lightGray"/>
    </fill>
    <fill>
      <patternFill patternType="solid">
        <fgColor rgb="FFFBBC04"/>
        <bgColor rgb="FFFBBC04"/>
      </patternFill>
    </fill>
    <fill>
      <patternFill patternType="solid">
        <fgColor rgb="FFCCCCCC"/>
        <bgColor rgb="FFCCCCCC"/>
      </patternFill>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FFF2CC"/>
        <bgColor rgb="FFFFF2CC"/>
      </patternFill>
    </fill>
    <fill>
      <patternFill patternType="solid">
        <fgColor rgb="FFB7B7B7"/>
        <bgColor rgb="FFB7B7B7"/>
      </patternFill>
    </fill>
  </fills>
  <borders count="4">
    <border/>
    <border>
      <bottom style="thick">
        <color rgb="FF000000"/>
      </bottom>
    </border>
    <border>
      <top style="thick">
        <color rgb="FF000000"/>
      </top>
    </border>
    <border>
      <top style="medium">
        <color rgb="FF000000"/>
      </top>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1" numFmtId="1" xfId="0" applyAlignment="1" applyFont="1" applyNumberFormat="1">
      <alignment horizontal="center" shrinkToFit="0" vertical="center" wrapText="1"/>
    </xf>
    <xf borderId="0" fillId="3" fontId="2" numFmtId="49" xfId="0" applyAlignment="1" applyFill="1" applyFont="1" applyNumberFormat="1">
      <alignment horizontal="center" shrinkToFit="0" vertical="center" wrapText="1"/>
    </xf>
    <xf borderId="0" fillId="2" fontId="1" numFmtId="0" xfId="0" applyAlignment="1" applyFont="1">
      <alignment readingOrder="0" shrinkToFit="0" vertical="center" wrapText="1"/>
    </xf>
    <xf borderId="0" fillId="2" fontId="1" numFmtId="0" xfId="0" applyAlignment="1" applyFont="1">
      <alignment horizontal="left" shrinkToFit="0" vertical="center" wrapText="1"/>
    </xf>
    <xf borderId="0" fillId="2" fontId="1" numFmtId="0" xfId="0" applyAlignment="1" applyFont="1">
      <alignment horizontal="center" shrinkToFit="0" vertical="center" wrapText="1"/>
    </xf>
    <xf borderId="0" fillId="3" fontId="2" numFmtId="0" xfId="0" applyAlignment="1" applyFont="1">
      <alignment shrinkToFit="0" vertical="center" wrapText="1"/>
    </xf>
    <xf borderId="0" fillId="3" fontId="2" numFmtId="0" xfId="0" applyAlignment="1" applyFont="1">
      <alignment horizontal="left" readingOrder="0" shrinkToFit="0" vertical="center" wrapText="1"/>
    </xf>
    <xf borderId="0" fillId="0" fontId="3" numFmtId="0" xfId="0" applyAlignment="1" applyFont="1">
      <alignment readingOrder="0" vertical="center"/>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4" fontId="3" numFmtId="1" xfId="0" applyAlignment="1" applyFill="1" applyFont="1" applyNumberFormat="1">
      <alignment horizontal="center" readingOrder="0" vertical="center"/>
    </xf>
    <xf borderId="0" fillId="5" fontId="3" numFmtId="49" xfId="0" applyAlignment="1" applyFill="1" applyFont="1" applyNumberFormat="1">
      <alignment horizontal="center" vertical="center"/>
    </xf>
    <xf borderId="0" fillId="0" fontId="3" numFmtId="0" xfId="0" applyAlignment="1" applyFont="1">
      <alignment horizontal="left" readingOrder="0" shrinkToFit="0" vertical="center" wrapText="1"/>
    </xf>
    <xf borderId="0" fillId="0" fontId="3" numFmtId="0" xfId="0" applyAlignment="1" applyFont="1">
      <alignment horizontal="center" vertical="center"/>
    </xf>
    <xf borderId="0" fillId="5" fontId="3" numFmtId="0" xfId="0" applyAlignment="1" applyFont="1">
      <alignment vertical="center"/>
    </xf>
    <xf borderId="0" fillId="5" fontId="3" numFmtId="0" xfId="0" applyAlignment="1" applyFont="1">
      <alignment horizontal="left" readingOrder="0" vertical="center"/>
    </xf>
    <xf borderId="0" fillId="0" fontId="4" numFmtId="0" xfId="0" applyAlignment="1" applyFont="1">
      <alignment readingOrder="0" shrinkToFit="0" vertical="center" wrapText="1"/>
    </xf>
    <xf borderId="0" fillId="0" fontId="4" numFmtId="0" xfId="0" applyAlignment="1" applyFont="1">
      <alignment readingOrder="0" vertical="center"/>
    </xf>
    <xf borderId="0" fillId="4" fontId="3" numFmtId="0" xfId="0" applyAlignment="1" applyFont="1">
      <alignment readingOrder="0" shrinkToFit="0" vertical="center" wrapText="1"/>
    </xf>
    <xf borderId="0" fillId="4" fontId="3" numFmtId="0" xfId="0" applyAlignment="1" applyFont="1">
      <alignment readingOrder="0" vertical="center"/>
    </xf>
    <xf borderId="0" fillId="4" fontId="3" numFmtId="0" xfId="0" applyAlignment="1" applyFont="1">
      <alignment horizontal="center" vertical="center"/>
    </xf>
    <xf borderId="0" fillId="4" fontId="4" numFmtId="0" xfId="0" applyAlignment="1" applyFont="1">
      <alignment readingOrder="0" shrinkToFit="0" vertical="center" wrapText="1"/>
    </xf>
    <xf borderId="0" fillId="4" fontId="4" numFmtId="0" xfId="0" applyAlignment="1" applyFont="1">
      <alignment vertical="center"/>
    </xf>
    <xf borderId="0" fillId="0" fontId="4" numFmtId="0" xfId="0" applyAlignment="1" applyFont="1">
      <alignment vertical="center"/>
    </xf>
    <xf borderId="0" fillId="0" fontId="3" numFmtId="0" xfId="0" applyAlignment="1" applyFont="1">
      <alignment readingOrder="0" shrinkToFit="0" vertical="center" wrapText="1"/>
    </xf>
    <xf borderId="0" fillId="0" fontId="3" numFmtId="0" xfId="0" applyAlignment="1" applyFont="1">
      <alignment horizontal="center" readingOrder="0" vertical="center"/>
    </xf>
    <xf borderId="0" fillId="0" fontId="4" numFmtId="0" xfId="0" applyAlignment="1" applyFont="1">
      <alignment shrinkToFit="0" vertical="center" wrapText="1"/>
    </xf>
    <xf borderId="0" fillId="5" fontId="3" numFmtId="0" xfId="0" applyAlignment="1" applyFont="1">
      <alignment horizontal="left" vertical="center"/>
    </xf>
    <xf borderId="1" fillId="0" fontId="3" numFmtId="0" xfId="0" applyAlignment="1" applyBorder="1" applyFont="1">
      <alignment readingOrder="0" vertical="center"/>
    </xf>
    <xf borderId="1" fillId="0" fontId="1"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horizontal="center" readingOrder="0" vertical="center"/>
    </xf>
    <xf borderId="1" fillId="5" fontId="3" numFmtId="49" xfId="0" applyAlignment="1" applyBorder="1" applyFont="1" applyNumberFormat="1">
      <alignment horizontal="center" vertical="center"/>
    </xf>
    <xf borderId="0" fillId="0" fontId="3" numFmtId="0" xfId="0" applyAlignment="1" applyFont="1">
      <alignment shrinkToFit="0" vertical="center" wrapText="1"/>
    </xf>
    <xf borderId="1" fillId="0" fontId="3" numFmtId="0" xfId="0" applyAlignment="1" applyBorder="1" applyFont="1">
      <alignment horizontal="center" vertical="center"/>
    </xf>
    <xf borderId="1" fillId="5" fontId="3" numFmtId="0" xfId="0" applyAlignment="1" applyBorder="1" applyFont="1">
      <alignment vertical="center"/>
    </xf>
    <xf borderId="1" fillId="5" fontId="3" numFmtId="0" xfId="0" applyAlignment="1" applyBorder="1" applyFont="1">
      <alignment horizontal="left" vertical="center"/>
    </xf>
    <xf borderId="1" fillId="0" fontId="4" numFmtId="0" xfId="0" applyAlignment="1" applyBorder="1" applyFont="1">
      <alignment shrinkToFit="0" vertical="center" wrapText="1"/>
    </xf>
    <xf borderId="1" fillId="0" fontId="4" numFmtId="0" xfId="0" applyAlignment="1" applyBorder="1" applyFont="1">
      <alignment vertical="center"/>
    </xf>
    <xf borderId="2" fillId="0" fontId="3" numFmtId="0" xfId="0" applyAlignment="1" applyBorder="1" applyFont="1">
      <alignment horizontal="left" readingOrder="0" shrinkToFit="0" vertical="center" wrapText="1"/>
    </xf>
    <xf borderId="2" fillId="0" fontId="3" numFmtId="0" xfId="0" applyAlignment="1" applyBorder="1" applyFont="1">
      <alignment readingOrder="0" vertical="center"/>
    </xf>
    <xf borderId="2" fillId="0" fontId="1" numFmtId="0" xfId="0" applyAlignment="1" applyBorder="1" applyFont="1">
      <alignment readingOrder="0" shrinkToFit="0" vertical="center" wrapText="1"/>
    </xf>
    <xf borderId="2" fillId="0" fontId="3" numFmtId="0" xfId="0" applyAlignment="1" applyBorder="1" applyFont="1">
      <alignment readingOrder="0" shrinkToFit="0" vertical="center" wrapText="1"/>
    </xf>
    <xf borderId="2" fillId="0" fontId="3" numFmtId="0" xfId="0" applyAlignment="1" applyBorder="1" applyFont="1">
      <alignment horizontal="center" readingOrder="0" vertical="center"/>
    </xf>
    <xf borderId="2" fillId="5" fontId="3" numFmtId="49" xfId="0" applyAlignment="1" applyBorder="1" applyFont="1" applyNumberFormat="1">
      <alignment horizontal="center" vertical="center"/>
    </xf>
    <xf borderId="2" fillId="0" fontId="3" numFmtId="0" xfId="0" applyAlignment="1" applyBorder="1" applyFont="1">
      <alignment horizontal="center" vertical="center"/>
    </xf>
    <xf borderId="2" fillId="5" fontId="3" numFmtId="0" xfId="0" applyAlignment="1" applyBorder="1" applyFont="1">
      <alignment vertical="center"/>
    </xf>
    <xf borderId="2" fillId="5" fontId="3" numFmtId="0" xfId="0" applyAlignment="1" applyBorder="1" applyFont="1">
      <alignment horizontal="left" vertical="center"/>
    </xf>
    <xf borderId="2" fillId="0" fontId="4" numFmtId="0" xfId="0" applyAlignment="1" applyBorder="1" applyFont="1">
      <alignment shrinkToFit="0" vertical="center" wrapText="1"/>
    </xf>
    <xf borderId="2" fillId="0" fontId="4" numFmtId="0" xfId="0" applyAlignment="1" applyBorder="1" applyFont="1">
      <alignment vertical="center"/>
    </xf>
    <xf borderId="0" fillId="0" fontId="3" numFmtId="0" xfId="0" applyAlignment="1" applyFont="1">
      <alignment vertical="center"/>
    </xf>
    <xf borderId="0" fillId="6" fontId="3" numFmtId="49" xfId="0" applyAlignment="1" applyFill="1" applyFont="1" applyNumberFormat="1">
      <alignment horizontal="center" vertical="center"/>
    </xf>
    <xf borderId="0" fillId="0" fontId="3" numFmtId="0" xfId="0" applyAlignment="1" applyFont="1">
      <alignment horizontal="center" vertical="center"/>
    </xf>
    <xf borderId="0" fillId="0" fontId="3" numFmtId="0" xfId="0" applyAlignment="1" applyFont="1">
      <alignment vertical="center"/>
    </xf>
    <xf borderId="0" fillId="6" fontId="3" numFmtId="0" xfId="0" applyAlignment="1" applyFont="1">
      <alignment vertical="center"/>
    </xf>
    <xf borderId="2" fillId="0" fontId="4"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3" numFmtId="0" xfId="0" applyAlignment="1" applyFont="1">
      <alignment horizontal="left" shrinkToFit="0" vertical="center" wrapText="1"/>
    </xf>
    <xf borderId="0" fillId="0" fontId="3" numFmtId="1" xfId="0" applyAlignment="1" applyFont="1" applyNumberFormat="1">
      <alignment horizontal="center" readingOrder="0" vertical="center"/>
    </xf>
    <xf borderId="0" fillId="0" fontId="7" numFmtId="0" xfId="0" applyAlignment="1" applyFont="1">
      <alignment readingOrder="0" shrinkToFit="0" vertical="center" wrapText="1"/>
    </xf>
    <xf borderId="0" fillId="0" fontId="4" numFmtId="0" xfId="0" applyAlignment="1" applyFont="1">
      <alignment horizontal="center" readingOrder="0" vertical="center"/>
    </xf>
    <xf borderId="0" fillId="0" fontId="7" numFmtId="0" xfId="0" applyAlignment="1" applyFont="1">
      <alignment shrinkToFit="0" vertical="center" wrapText="1"/>
    </xf>
    <xf borderId="0" fillId="0" fontId="4" numFmtId="0" xfId="0" applyAlignment="1" applyFont="1">
      <alignment horizontal="center" vertical="center"/>
    </xf>
    <xf borderId="0" fillId="5" fontId="4" numFmtId="0" xfId="0" applyAlignment="1" applyFont="1">
      <alignment vertical="center"/>
    </xf>
    <xf borderId="0" fillId="5" fontId="4" numFmtId="0" xfId="0" applyAlignment="1" applyFont="1">
      <alignment horizontal="left" vertical="center"/>
    </xf>
    <xf borderId="0" fillId="5" fontId="4" numFmtId="49" xfId="0" applyAlignment="1" applyFont="1" applyNumberFormat="1">
      <alignment horizontal="center" vertical="center"/>
    </xf>
    <xf borderId="0" fillId="0" fontId="7" numFmtId="0" xfId="0" applyAlignment="1" applyFont="1">
      <alignment readingOrder="0"/>
    </xf>
    <xf borderId="0" fillId="7" fontId="7" numFmtId="0" xfId="0" applyAlignment="1" applyFill="1" applyFont="1">
      <alignment readingOrder="0"/>
    </xf>
    <xf borderId="0" fillId="7" fontId="7" numFmtId="0" xfId="0" applyFont="1"/>
    <xf borderId="0" fillId="0" fontId="4" numFmtId="0" xfId="0" applyAlignment="1" applyFont="1">
      <alignment readingOrder="0"/>
    </xf>
    <xf borderId="0" fillId="0" fontId="4" numFmtId="0" xfId="0" applyAlignment="1" applyFont="1">
      <alignment readingOrder="0"/>
    </xf>
    <xf borderId="0" fillId="7" fontId="7" numFmtId="0" xfId="0" applyAlignment="1" applyFont="1">
      <alignment readingOrder="0"/>
    </xf>
    <xf borderId="0" fillId="2" fontId="8" numFmtId="0" xfId="0" applyAlignment="1" applyFont="1">
      <alignment horizontal="center" vertical="bottom"/>
    </xf>
    <xf borderId="0" fillId="8" fontId="8" numFmtId="0" xfId="0" applyAlignment="1" applyFill="1" applyFont="1">
      <alignment horizontal="right" readingOrder="0"/>
    </xf>
    <xf borderId="0" fillId="8" fontId="9" numFmtId="164" xfId="0" applyAlignment="1" applyFont="1" applyNumberFormat="1">
      <alignment horizontal="right" readingOrder="0"/>
    </xf>
    <xf borderId="0" fillId="8" fontId="10" numFmtId="0" xfId="0" applyAlignment="1" applyFont="1">
      <alignment horizontal="right"/>
    </xf>
    <xf borderId="0" fillId="0" fontId="11" numFmtId="0" xfId="0" applyAlignment="1" applyFont="1">
      <alignment horizontal="right" vertical="bottom"/>
    </xf>
    <xf borderId="0" fillId="0" fontId="12" numFmtId="0" xfId="0" applyAlignment="1" applyFont="1">
      <alignment horizontal="right" readingOrder="0" vertical="bottom"/>
    </xf>
    <xf borderId="0" fillId="0" fontId="13" numFmtId="0" xfId="0" applyAlignment="1" applyFont="1">
      <alignment horizontal="left" shrinkToFit="0" vertical="bottom" wrapText="1"/>
    </xf>
    <xf borderId="0" fillId="0" fontId="14" numFmtId="0" xfId="0" applyAlignment="1" applyFont="1">
      <alignment horizontal="right" vertical="bottom"/>
    </xf>
    <xf borderId="0" fillId="0" fontId="11" numFmtId="0" xfId="0" applyAlignment="1" applyFont="1">
      <alignment horizontal="right" readingOrder="0"/>
    </xf>
    <xf borderId="0" fillId="0" fontId="15" numFmtId="0" xfId="0" applyAlignment="1" applyFont="1">
      <alignment horizontal="right" readingOrder="0" shrinkToFit="0" wrapText="0"/>
    </xf>
    <xf borderId="0" fillId="0" fontId="13" numFmtId="0" xfId="0" applyAlignment="1" applyFont="1">
      <alignment horizontal="left" readingOrder="0" shrinkToFit="0" wrapText="1"/>
    </xf>
    <xf borderId="0" fillId="0" fontId="13" numFmtId="0" xfId="0" applyAlignment="1" applyFont="1">
      <alignment horizontal="left" readingOrder="0" shrinkToFit="0" vertical="bottom" wrapText="1"/>
    </xf>
    <xf borderId="0" fillId="0" fontId="12" numFmtId="165" xfId="0" applyAlignment="1" applyFont="1" applyNumberFormat="1">
      <alignment horizontal="right" readingOrder="0"/>
    </xf>
    <xf borderId="0" fillId="8" fontId="16" numFmtId="0" xfId="0" applyAlignment="1" applyFont="1">
      <alignment horizontal="left" shrinkToFit="0" wrapText="1"/>
    </xf>
    <xf borderId="0" fillId="0" fontId="11" numFmtId="0" xfId="0" applyAlignment="1" applyFont="1">
      <alignment horizontal="right" readingOrder="0" vertical="bottom"/>
    </xf>
    <xf borderId="0" fillId="0" fontId="17" numFmtId="0" xfId="0" applyAlignment="1" applyFont="1">
      <alignment horizontal="left" readingOrder="0" vertical="bottom"/>
    </xf>
    <xf borderId="0" fillId="0" fontId="14" numFmtId="0" xfId="0" applyAlignment="1" applyFont="1">
      <alignment horizontal="right" readingOrder="0" vertical="bottom"/>
    </xf>
    <xf borderId="0" fillId="0" fontId="12" numFmtId="166" xfId="0" applyAlignment="1" applyFont="1" applyNumberFormat="1">
      <alignment horizontal="right" readingOrder="0" vertical="bottom"/>
    </xf>
    <xf borderId="0" fillId="0" fontId="12" numFmtId="0" xfId="0" applyAlignment="1" applyFont="1">
      <alignment horizontal="center" readingOrder="0" vertical="center"/>
    </xf>
    <xf borderId="0" fillId="0" fontId="12" numFmtId="0" xfId="0" applyAlignment="1" applyFont="1">
      <alignment horizontal="center" readingOrder="0" vertical="bottom"/>
    </xf>
    <xf borderId="0" fillId="0" fontId="12" numFmtId="164" xfId="0" applyAlignment="1" applyFont="1" applyNumberFormat="1">
      <alignment horizontal="right" readingOrder="0"/>
    </xf>
    <xf borderId="0" fillId="0" fontId="14" numFmtId="0" xfId="0" applyAlignment="1" applyFont="1">
      <alignment horizontal="right" readingOrder="0"/>
    </xf>
    <xf borderId="0" fillId="0" fontId="18" numFmtId="0" xfId="0" applyAlignment="1" applyFont="1">
      <alignment horizontal="left" readingOrder="0" shrinkToFit="0" wrapText="0"/>
    </xf>
    <xf borderId="0" fillId="0" fontId="12" numFmtId="164" xfId="0" applyAlignment="1" applyFont="1" applyNumberFormat="1">
      <alignment horizontal="right" readingOrder="0" vertical="bottom"/>
    </xf>
    <xf borderId="0" fillId="0" fontId="12" numFmtId="9" xfId="0" applyAlignment="1" applyFont="1" applyNumberFormat="1">
      <alignment horizontal="right" readingOrder="0" vertical="bottom"/>
    </xf>
    <xf borderId="0" fillId="0" fontId="11" numFmtId="0" xfId="0" applyAlignment="1" applyFont="1">
      <alignment horizontal="right" vertical="center"/>
    </xf>
    <xf borderId="0" fillId="0" fontId="12"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0" fillId="0" fontId="14" numFmtId="0" xfId="0" applyAlignment="1" applyFont="1">
      <alignment horizontal="right" vertical="center"/>
    </xf>
    <xf borderId="0" fillId="0" fontId="12" numFmtId="167" xfId="0" applyAlignment="1" applyFont="1" applyNumberFormat="1">
      <alignment horizontal="right" readingOrder="0"/>
    </xf>
    <xf borderId="0" fillId="0" fontId="12" numFmtId="0" xfId="0" applyAlignment="1" applyFont="1">
      <alignment horizontal="right" readingOrder="0"/>
    </xf>
    <xf borderId="0" fillId="0" fontId="11" numFmtId="0" xfId="0" applyAlignment="1" applyFont="1">
      <alignment horizontal="right"/>
    </xf>
    <xf borderId="0" fillId="0" fontId="12" numFmtId="0" xfId="0" applyAlignment="1" applyFont="1">
      <alignment horizontal="right"/>
    </xf>
    <xf borderId="0" fillId="0" fontId="13" numFmtId="0" xfId="0" applyAlignment="1" applyFont="1">
      <alignment horizontal="left" shrinkToFit="0" vertical="center" wrapText="1"/>
    </xf>
    <xf borderId="0" fillId="0" fontId="12" numFmtId="0" xfId="0" applyAlignment="1" applyFont="1">
      <alignment vertical="bottom"/>
    </xf>
    <xf borderId="0" fillId="0" fontId="12" numFmtId="0" xfId="0" applyAlignment="1" applyFont="1">
      <alignment horizontal="left" shrinkToFit="0" vertical="bottom" wrapText="0"/>
    </xf>
    <xf borderId="0" fillId="0" fontId="12" numFmtId="0" xfId="0" applyAlignment="1" applyFont="1">
      <alignment horizontal="left" vertical="bottom"/>
    </xf>
    <xf borderId="0" fillId="8" fontId="8" numFmtId="0" xfId="0" applyAlignment="1" applyFont="1">
      <alignment horizontal="left" readingOrder="0"/>
    </xf>
    <xf borderId="0" fillId="0" fontId="11" numFmtId="0" xfId="0" applyAlignment="1" applyFont="1">
      <alignment horizontal="right" readingOrder="0" shrinkToFit="0" vertical="top" wrapText="1"/>
    </xf>
    <xf borderId="0" fillId="0" fontId="12" numFmtId="0" xfId="0" applyAlignment="1" applyFont="1">
      <alignment readingOrder="0" shrinkToFit="0" vertical="bottom" wrapText="1"/>
    </xf>
    <xf borderId="0" fillId="0" fontId="12" numFmtId="0" xfId="0" applyFont="1"/>
    <xf borderId="3" fillId="3" fontId="8" numFmtId="0" xfId="0" applyAlignment="1" applyBorder="1" applyFont="1">
      <alignment readingOrder="0"/>
    </xf>
    <xf borderId="3" fillId="3" fontId="9" numFmtId="0" xfId="0" applyAlignment="1" applyBorder="1" applyFont="1">
      <alignment horizontal="center"/>
    </xf>
    <xf borderId="3" fillId="3" fontId="9" numFmtId="0" xfId="0" applyBorder="1" applyFont="1"/>
    <xf borderId="0" fillId="0" fontId="12" numFmtId="0" xfId="0" applyAlignment="1" applyFont="1">
      <alignment horizontal="center"/>
    </xf>
    <xf borderId="0" fillId="0" fontId="18" numFmtId="0" xfId="0" applyAlignment="1" applyFont="1">
      <alignment readingOrder="0"/>
    </xf>
    <xf borderId="0" fillId="0" fontId="18" numFmtId="0" xfId="0" applyFont="1"/>
    <xf borderId="0" fillId="0" fontId="18" numFmtId="0" xfId="0" applyAlignment="1" applyFont="1">
      <alignment horizontal="right" readingOrder="0"/>
    </xf>
    <xf borderId="0" fillId="0" fontId="13" numFmtId="0" xfId="0" applyAlignment="1" applyFont="1">
      <alignment horizontal="left" shrinkToFit="0" wrapText="1"/>
    </xf>
    <xf borderId="0" fillId="0" fontId="18" numFmtId="0" xfId="0" applyAlignment="1" applyFont="1">
      <alignment horizontal="right"/>
    </xf>
    <xf borderId="0" fillId="0" fontId="12" numFmtId="0" xfId="0" applyAlignment="1" applyFont="1">
      <alignment horizontal="center" readingOrder="0"/>
    </xf>
    <xf borderId="0" fillId="0" fontId="12" numFmtId="168" xfId="0" applyAlignment="1" applyFont="1" applyNumberFormat="1">
      <alignment horizontal="center" readingOrder="0"/>
    </xf>
    <xf borderId="0" fillId="0" fontId="12" numFmtId="14" xfId="0" applyAlignment="1" applyFont="1" applyNumberFormat="1">
      <alignment horizontal="center"/>
    </xf>
    <xf borderId="0" fillId="0" fontId="12" numFmtId="9" xfId="0" applyAlignment="1" applyFont="1" applyNumberFormat="1">
      <alignment horizontal="center"/>
    </xf>
    <xf borderId="3" fillId="3" fontId="8" numFmtId="0" xfId="0" applyBorder="1" applyFont="1"/>
    <xf borderId="3" fillId="3" fontId="19" numFmtId="0" xfId="0" applyBorder="1" applyFont="1"/>
    <xf borderId="0" fillId="5" fontId="11" numFmtId="0" xfId="0" applyAlignment="1" applyFont="1">
      <alignment horizontal="right"/>
    </xf>
    <xf borderId="0" fillId="5" fontId="11" numFmtId="0" xfId="0" applyAlignment="1" applyFont="1">
      <alignment horizontal="center" readingOrder="0"/>
    </xf>
    <xf borderId="0" fillId="0" fontId="12" numFmtId="1" xfId="0" applyAlignment="1" applyFont="1" applyNumberFormat="1">
      <alignment horizontal="center"/>
    </xf>
    <xf borderId="0" fillId="0" fontId="12" numFmtId="9" xfId="0" applyAlignment="1" applyFont="1" applyNumberFormat="1">
      <alignment horizontal="center" readingOrder="0"/>
    </xf>
    <xf borderId="0" fillId="0" fontId="14" numFmtId="0" xfId="0" applyAlignment="1" applyFont="1">
      <alignment horizontal="left" readingOrder="0"/>
    </xf>
    <xf borderId="0" fillId="0" fontId="11" numFmtId="0" xfId="0" applyAlignment="1" applyFont="1">
      <alignment vertical="bottom"/>
    </xf>
    <xf borderId="3" fillId="3" fontId="8" numFmtId="0" xfId="0" applyAlignment="1" applyBorder="1" applyFont="1">
      <alignment horizontal="center" readingOrder="0" shrinkToFit="0" wrapText="0"/>
    </xf>
    <xf borderId="3" fillId="3" fontId="8" numFmtId="0" xfId="0" applyAlignment="1" applyBorder="1" applyFont="1">
      <alignment horizontal="center" readingOrder="0"/>
    </xf>
    <xf borderId="0" fillId="0" fontId="12" numFmtId="0" xfId="0" applyAlignment="1" applyFont="1">
      <alignment horizontal="center" shrinkToFit="0" wrapText="0"/>
    </xf>
    <xf borderId="0" fillId="0" fontId="12" numFmtId="0" xfId="0" applyAlignment="1" applyFont="1">
      <alignment horizontal="center" readingOrder="0" shrinkToFit="0" wrapText="0"/>
    </xf>
    <xf borderId="0" fillId="0" fontId="13" numFmtId="0" xfId="0" applyAlignment="1" applyFont="1">
      <alignment readingOrder="0" vertical="bottom"/>
    </xf>
    <xf borderId="0" fillId="0" fontId="12" numFmtId="164" xfId="0" applyAlignment="1" applyFont="1" applyNumberFormat="1">
      <alignment horizontal="center" shrinkToFit="0" wrapText="0"/>
    </xf>
    <xf borderId="3" fillId="3" fontId="8" numFmtId="0" xfId="0" applyAlignment="1" applyBorder="1" applyFont="1">
      <alignment shrinkToFit="0" wrapText="0"/>
    </xf>
    <xf borderId="0" fillId="0" fontId="11" numFmtId="0" xfId="0" applyAlignment="1" applyFont="1">
      <alignment shrinkToFit="0" wrapText="0"/>
    </xf>
    <xf borderId="0" fillId="0" fontId="11" numFmtId="0" xfId="0" applyAlignment="1" applyFont="1">
      <alignment horizontal="center" shrinkToFit="0" wrapText="0"/>
    </xf>
    <xf borderId="0" fillId="0" fontId="11" numFmtId="164" xfId="0" applyAlignment="1" applyFont="1" applyNumberFormat="1">
      <alignment horizontal="center"/>
    </xf>
    <xf borderId="0" fillId="0" fontId="12" numFmtId="0" xfId="0" applyAlignment="1" applyFont="1">
      <alignment horizontal="center" vertical="bottom"/>
    </xf>
    <xf borderId="0" fillId="0" fontId="12" numFmtId="164" xfId="0" applyAlignment="1" applyFont="1" applyNumberFormat="1">
      <alignment horizontal="center" vertical="bottom"/>
    </xf>
    <xf borderId="0" fillId="0" fontId="12" numFmtId="164" xfId="0" applyAlignment="1" applyFont="1" applyNumberFormat="1">
      <alignment horizontal="center"/>
    </xf>
    <xf borderId="0" fillId="0" fontId="20" numFmtId="0" xfId="0" applyAlignment="1" applyFont="1">
      <alignment readingOrder="0" vertical="center"/>
    </xf>
    <xf borderId="0" fillId="0" fontId="21" numFmtId="0" xfId="0" applyAlignment="1" applyFont="1">
      <alignment readingOrder="0" shrinkToFit="0" vertical="center" wrapText="1"/>
    </xf>
    <xf borderId="0" fillId="0" fontId="20" numFmtId="0" xfId="0" applyAlignment="1" applyFont="1">
      <alignment readingOrder="0" shrinkToFit="0" vertical="center" wrapText="1"/>
    </xf>
    <xf borderId="0" fillId="0" fontId="20" numFmtId="0" xfId="0" applyAlignment="1" applyFont="1">
      <alignment horizontal="center" readingOrder="0" vertical="center"/>
    </xf>
    <xf borderId="0" fillId="5" fontId="20" numFmtId="49" xfId="0" applyAlignment="1" applyFont="1" applyNumberFormat="1">
      <alignment horizontal="center" vertical="center"/>
    </xf>
    <xf borderId="0" fillId="0" fontId="20" numFmtId="0" xfId="0" applyAlignment="1" applyFont="1">
      <alignment horizontal="left" shrinkToFit="0" vertical="center" wrapText="1"/>
    </xf>
    <xf borderId="0" fillId="0" fontId="20" numFmtId="0" xfId="0" applyAlignment="1" applyFont="1">
      <alignment horizontal="center" vertical="center"/>
    </xf>
    <xf borderId="0" fillId="5" fontId="20" numFmtId="0" xfId="0" applyAlignment="1" applyFont="1">
      <alignment vertical="center"/>
    </xf>
    <xf borderId="0" fillId="5" fontId="20" numFmtId="0" xfId="0" applyAlignment="1" applyFont="1">
      <alignment horizontal="left" vertical="center"/>
    </xf>
    <xf borderId="0" fillId="0" fontId="22" numFmtId="0" xfId="0" applyAlignment="1" applyFont="1">
      <alignment shrinkToFit="0" vertical="center" wrapText="1"/>
    </xf>
    <xf borderId="0" fillId="0" fontId="22" numFmtId="0" xfId="0" applyAlignment="1" applyFont="1">
      <alignment vertical="center"/>
    </xf>
    <xf borderId="0" fillId="0" fontId="20" numFmtId="0" xfId="0" applyAlignment="1" applyFont="1">
      <alignment horizontal="left" readingOrder="0" shrinkToFit="0" vertical="center" wrapText="1"/>
    </xf>
  </cellXfs>
  <cellStyles count="1">
    <cellStyle xfId="0" name="Normal" builtinId="0"/>
  </cellStyles>
  <dxfs count="1">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Y6mdhZ8I_tVKSImaxGZFLoTrLMYJewxW" TargetMode="External"/><Relationship Id="rId2" Type="http://schemas.openxmlformats.org/officeDocument/2006/relationships/hyperlink" Target="https://script.google.com/macros/s/AKfycbyX-NJc38M7t92lgQFeLnpQ8A1C6EDBxb7wd7k__fQ9E_VNUhCjp9BQ8M6PJCelfrasgA/exec?sheetId=1mN36V8Y7tH-yGd842Pw1GdCs_a_A9_eGH_K5hNk4wW4"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13.75"/>
    <col customWidth="1" min="3" max="3" width="23.88"/>
    <col customWidth="1" min="4" max="6" width="32.25"/>
    <col customWidth="1" min="7" max="9" width="10.38"/>
    <col customWidth="1" min="10" max="10" width="10.5"/>
    <col customWidth="1" min="11" max="11" width="15.75"/>
    <col customWidth="1" min="12" max="12" width="9.0"/>
    <col customWidth="1" min="13" max="13" width="6.63"/>
    <col customWidth="1" min="14" max="14" width="7.38"/>
    <col customWidth="1" min="15" max="16" width="26.0"/>
    <col customWidth="1" min="17" max="17" width="20.13"/>
  </cols>
  <sheetData>
    <row r="1">
      <c r="A1" s="1" t="s">
        <v>0</v>
      </c>
      <c r="B1" s="1" t="s">
        <v>1</v>
      </c>
      <c r="C1" s="1" t="s">
        <v>2</v>
      </c>
      <c r="D1" s="1" t="s">
        <v>3</v>
      </c>
      <c r="E1" s="1" t="s">
        <v>4</v>
      </c>
      <c r="F1" s="1" t="s">
        <v>5</v>
      </c>
      <c r="G1" s="2" t="s">
        <v>6</v>
      </c>
      <c r="H1" s="2" t="s">
        <v>7</v>
      </c>
      <c r="I1" s="3" t="s">
        <v>8</v>
      </c>
      <c r="J1" s="4" t="s">
        <v>9</v>
      </c>
      <c r="K1" s="5" t="s">
        <v>10</v>
      </c>
      <c r="L1" s="6" t="s">
        <v>11</v>
      </c>
      <c r="M1" s="7" t="s">
        <v>12</v>
      </c>
      <c r="N1" s="8" t="s">
        <v>13</v>
      </c>
      <c r="O1" s="4" t="s">
        <v>14</v>
      </c>
      <c r="P1" s="4" t="s">
        <v>15</v>
      </c>
      <c r="Q1" s="4"/>
    </row>
    <row r="2">
      <c r="A2" s="9" t="s">
        <v>16</v>
      </c>
      <c r="B2" s="10" t="s">
        <v>17</v>
      </c>
      <c r="C2" s="11" t="s">
        <v>18</v>
      </c>
      <c r="D2" s="11" t="s">
        <v>19</v>
      </c>
      <c r="E2" s="11" t="s">
        <v>20</v>
      </c>
      <c r="F2" s="12" t="s">
        <v>21</v>
      </c>
      <c r="G2" s="13">
        <v>6.0</v>
      </c>
      <c r="H2" s="13">
        <v>10.0</v>
      </c>
      <c r="I2" s="14">
        <f t="shared" ref="I2:I145" si="1">IF(AND(G2&lt;&gt;"",H2&lt;&gt;""),ROUNDUP(AVERAGE(G2:H2),0),"")</f>
        <v>8</v>
      </c>
      <c r="J2" s="9" t="b">
        <v>0</v>
      </c>
      <c r="K2" s="15" t="s">
        <v>22</v>
      </c>
      <c r="L2" s="16"/>
      <c r="M2" s="17"/>
      <c r="N2" s="18"/>
      <c r="O2" s="19"/>
      <c r="P2" s="20"/>
      <c r="Q2" s="20"/>
    </row>
    <row r="3">
      <c r="A3" s="9" t="s">
        <v>16</v>
      </c>
      <c r="B3" s="10" t="s">
        <v>17</v>
      </c>
      <c r="C3" s="21" t="s">
        <v>23</v>
      </c>
      <c r="D3" s="21" t="s">
        <v>24</v>
      </c>
      <c r="E3" s="21" t="s">
        <v>25</v>
      </c>
      <c r="F3" s="21" t="s">
        <v>26</v>
      </c>
      <c r="G3" s="13">
        <v>6.0</v>
      </c>
      <c r="H3" s="13">
        <v>10.0</v>
      </c>
      <c r="I3" s="14">
        <f t="shared" si="1"/>
        <v>8</v>
      </c>
      <c r="J3" s="22" t="b">
        <v>0</v>
      </c>
      <c r="K3" s="15" t="s">
        <v>22</v>
      </c>
      <c r="L3" s="23"/>
      <c r="M3" s="17"/>
      <c r="N3" s="18"/>
      <c r="O3" s="24"/>
      <c r="P3" s="25"/>
      <c r="Q3" s="25"/>
    </row>
    <row r="4">
      <c r="A4" s="9" t="s">
        <v>16</v>
      </c>
      <c r="B4" s="10" t="s">
        <v>17</v>
      </c>
      <c r="C4" s="11" t="s">
        <v>27</v>
      </c>
      <c r="D4" s="11" t="s">
        <v>28</v>
      </c>
      <c r="E4" s="11" t="s">
        <v>29</v>
      </c>
      <c r="F4" s="11" t="s">
        <v>30</v>
      </c>
      <c r="G4" s="13">
        <v>6.0</v>
      </c>
      <c r="H4" s="13">
        <v>10.0</v>
      </c>
      <c r="I4" s="14">
        <f t="shared" si="1"/>
        <v>8</v>
      </c>
      <c r="J4" s="9" t="b">
        <v>0</v>
      </c>
      <c r="K4" s="15" t="s">
        <v>22</v>
      </c>
      <c r="L4" s="16"/>
      <c r="M4" s="17"/>
      <c r="N4" s="18"/>
      <c r="O4" s="19"/>
      <c r="P4" s="26"/>
      <c r="Q4" s="26"/>
    </row>
    <row r="5">
      <c r="A5" s="9" t="s">
        <v>16</v>
      </c>
      <c r="B5" s="10" t="s">
        <v>17</v>
      </c>
      <c r="C5" s="11" t="s">
        <v>31</v>
      </c>
      <c r="D5" s="11" t="s">
        <v>32</v>
      </c>
      <c r="E5" s="11" t="s">
        <v>33</v>
      </c>
      <c r="F5" s="27" t="s">
        <v>34</v>
      </c>
      <c r="G5" s="28">
        <v>8.0</v>
      </c>
      <c r="H5" s="28">
        <v>12.0</v>
      </c>
      <c r="I5" s="14">
        <f t="shared" si="1"/>
        <v>10</v>
      </c>
      <c r="J5" s="9" t="b">
        <v>0</v>
      </c>
      <c r="K5" s="15" t="s">
        <v>22</v>
      </c>
      <c r="L5" s="16"/>
      <c r="M5" s="17"/>
      <c r="N5" s="18"/>
      <c r="O5" s="29"/>
      <c r="P5" s="26"/>
      <c r="Q5" s="26"/>
    </row>
    <row r="6">
      <c r="A6" s="9" t="s">
        <v>16</v>
      </c>
      <c r="B6" s="10" t="s">
        <v>17</v>
      </c>
      <c r="C6" s="11" t="s">
        <v>35</v>
      </c>
      <c r="D6" s="11" t="s">
        <v>36</v>
      </c>
      <c r="E6" s="11" t="s">
        <v>37</v>
      </c>
      <c r="F6" s="11" t="s">
        <v>38</v>
      </c>
      <c r="G6" s="13">
        <v>4.0</v>
      </c>
      <c r="H6" s="13">
        <v>6.0</v>
      </c>
      <c r="I6" s="14">
        <f t="shared" si="1"/>
        <v>5</v>
      </c>
      <c r="J6" s="9" t="b">
        <v>0</v>
      </c>
      <c r="K6" s="15" t="s">
        <v>22</v>
      </c>
      <c r="L6" s="16"/>
      <c r="M6" s="17"/>
      <c r="N6" s="30"/>
      <c r="O6" s="29"/>
      <c r="P6" s="26"/>
      <c r="Q6" s="26"/>
    </row>
    <row r="7">
      <c r="A7" s="9" t="s">
        <v>16</v>
      </c>
      <c r="B7" s="10" t="s">
        <v>17</v>
      </c>
      <c r="C7" s="11" t="s">
        <v>39</v>
      </c>
      <c r="D7" s="11" t="s">
        <v>40</v>
      </c>
      <c r="E7" s="11" t="s">
        <v>41</v>
      </c>
      <c r="F7" s="11" t="s">
        <v>42</v>
      </c>
      <c r="G7" s="28">
        <v>3.0</v>
      </c>
      <c r="H7" s="28">
        <v>6.0</v>
      </c>
      <c r="I7" s="14">
        <f t="shared" si="1"/>
        <v>5</v>
      </c>
      <c r="J7" s="9" t="b">
        <v>0</v>
      </c>
      <c r="K7" s="15" t="s">
        <v>22</v>
      </c>
      <c r="L7" s="16"/>
      <c r="M7" s="17"/>
      <c r="N7" s="30"/>
      <c r="O7" s="29"/>
      <c r="P7" s="26"/>
      <c r="Q7" s="26"/>
    </row>
    <row r="8">
      <c r="A8" s="9" t="s">
        <v>16</v>
      </c>
      <c r="B8" s="10" t="s">
        <v>17</v>
      </c>
      <c r="C8" s="11" t="s">
        <v>43</v>
      </c>
      <c r="D8" s="11" t="s">
        <v>44</v>
      </c>
      <c r="E8" s="11" t="s">
        <v>45</v>
      </c>
      <c r="F8" s="11" t="s">
        <v>46</v>
      </c>
      <c r="G8" s="28">
        <v>3.0</v>
      </c>
      <c r="H8" s="28">
        <v>6.0</v>
      </c>
      <c r="I8" s="14">
        <f t="shared" si="1"/>
        <v>5</v>
      </c>
      <c r="J8" s="9" t="b">
        <v>0</v>
      </c>
      <c r="K8" s="15" t="s">
        <v>22</v>
      </c>
      <c r="L8" s="16"/>
      <c r="M8" s="17"/>
      <c r="N8" s="30"/>
      <c r="O8" s="29"/>
      <c r="P8" s="26"/>
      <c r="Q8" s="26"/>
    </row>
    <row r="9">
      <c r="A9" s="31" t="s">
        <v>16</v>
      </c>
      <c r="B9" s="32" t="s">
        <v>17</v>
      </c>
      <c r="C9" s="33" t="s">
        <v>47</v>
      </c>
      <c r="D9" s="33" t="s">
        <v>48</v>
      </c>
      <c r="E9" s="33" t="s">
        <v>49</v>
      </c>
      <c r="F9" s="33" t="s">
        <v>50</v>
      </c>
      <c r="G9" s="34">
        <v>6.0</v>
      </c>
      <c r="H9" s="34">
        <v>10.0</v>
      </c>
      <c r="I9" s="35">
        <f t="shared" si="1"/>
        <v>8</v>
      </c>
      <c r="J9" s="31" t="b">
        <v>0</v>
      </c>
      <c r="K9" s="36" t="s">
        <v>51</v>
      </c>
      <c r="L9" s="37"/>
      <c r="M9" s="38"/>
      <c r="N9" s="39"/>
      <c r="O9" s="40"/>
      <c r="P9" s="41"/>
      <c r="Q9" s="41"/>
    </row>
    <row r="10">
      <c r="A10" s="9" t="s">
        <v>16</v>
      </c>
      <c r="B10" s="10" t="s">
        <v>52</v>
      </c>
      <c r="C10" s="11" t="s">
        <v>53</v>
      </c>
      <c r="D10" s="11" t="s">
        <v>54</v>
      </c>
      <c r="E10" s="11" t="s">
        <v>55</v>
      </c>
      <c r="F10" s="11" t="s">
        <v>56</v>
      </c>
      <c r="G10" s="28">
        <v>5.0</v>
      </c>
      <c r="H10" s="28">
        <v>10.0</v>
      </c>
      <c r="I10" s="14">
        <f t="shared" si="1"/>
        <v>8</v>
      </c>
      <c r="J10" s="9" t="b">
        <v>0</v>
      </c>
      <c r="K10" s="42" t="s">
        <v>22</v>
      </c>
      <c r="L10" s="16"/>
      <c r="M10" s="17"/>
      <c r="N10" s="30"/>
      <c r="O10" s="29"/>
      <c r="P10" s="26"/>
      <c r="Q10" s="26"/>
    </row>
    <row r="11">
      <c r="A11" s="9" t="s">
        <v>16</v>
      </c>
      <c r="B11" s="10" t="s">
        <v>52</v>
      </c>
      <c r="C11" s="11" t="s">
        <v>57</v>
      </c>
      <c r="D11" s="11" t="s">
        <v>58</v>
      </c>
      <c r="E11" s="11" t="s">
        <v>59</v>
      </c>
      <c r="F11" s="11" t="s">
        <v>60</v>
      </c>
      <c r="G11" s="28">
        <v>12.0</v>
      </c>
      <c r="H11" s="28">
        <v>18.0</v>
      </c>
      <c r="I11" s="14">
        <f t="shared" si="1"/>
        <v>15</v>
      </c>
      <c r="J11" s="9" t="b">
        <v>0</v>
      </c>
      <c r="K11" s="15" t="s">
        <v>22</v>
      </c>
      <c r="L11" s="16"/>
      <c r="M11" s="17"/>
      <c r="N11" s="30"/>
      <c r="O11" s="29"/>
      <c r="P11" s="26"/>
      <c r="Q11" s="26"/>
    </row>
    <row r="12">
      <c r="A12" s="9" t="s">
        <v>16</v>
      </c>
      <c r="B12" s="10" t="s">
        <v>52</v>
      </c>
      <c r="C12" s="11" t="s">
        <v>61</v>
      </c>
      <c r="D12" s="11" t="s">
        <v>62</v>
      </c>
      <c r="E12" s="11" t="s">
        <v>63</v>
      </c>
      <c r="F12" s="11" t="s">
        <v>64</v>
      </c>
      <c r="G12" s="28">
        <v>6.0</v>
      </c>
      <c r="H12" s="28">
        <v>10.0</v>
      </c>
      <c r="I12" s="14">
        <f t="shared" si="1"/>
        <v>8</v>
      </c>
      <c r="J12" s="9" t="b">
        <v>0</v>
      </c>
      <c r="K12" s="15" t="s">
        <v>22</v>
      </c>
      <c r="L12" s="16"/>
      <c r="M12" s="17"/>
      <c r="N12" s="30"/>
      <c r="O12" s="29"/>
      <c r="P12" s="26"/>
      <c r="Q12" s="26"/>
    </row>
    <row r="13">
      <c r="A13" s="9" t="s">
        <v>16</v>
      </c>
      <c r="B13" s="10" t="s">
        <v>52</v>
      </c>
      <c r="C13" s="11" t="s">
        <v>65</v>
      </c>
      <c r="D13" s="11" t="s">
        <v>66</v>
      </c>
      <c r="E13" s="11" t="s">
        <v>67</v>
      </c>
      <c r="F13" s="11" t="s">
        <v>68</v>
      </c>
      <c r="G13" s="28">
        <v>15.0</v>
      </c>
      <c r="H13" s="28">
        <v>20.0</v>
      </c>
      <c r="I13" s="14">
        <f t="shared" si="1"/>
        <v>18</v>
      </c>
      <c r="J13" s="9" t="b">
        <v>0</v>
      </c>
      <c r="K13" s="15" t="s">
        <v>22</v>
      </c>
      <c r="L13" s="16"/>
      <c r="M13" s="17"/>
      <c r="N13" s="30"/>
      <c r="O13" s="29"/>
      <c r="P13" s="26"/>
      <c r="Q13" s="26"/>
    </row>
    <row r="14">
      <c r="A14" s="43" t="s">
        <v>16</v>
      </c>
      <c r="B14" s="44" t="s">
        <v>69</v>
      </c>
      <c r="C14" s="45" t="s">
        <v>70</v>
      </c>
      <c r="D14" s="45" t="s">
        <v>71</v>
      </c>
      <c r="E14" s="45" t="s">
        <v>72</v>
      </c>
      <c r="F14" s="45" t="s">
        <v>73</v>
      </c>
      <c r="G14" s="46">
        <v>10.0</v>
      </c>
      <c r="H14" s="46">
        <v>14.0</v>
      </c>
      <c r="I14" s="47">
        <f t="shared" si="1"/>
        <v>12</v>
      </c>
      <c r="J14" s="43" t="b">
        <v>0</v>
      </c>
      <c r="K14" s="42" t="s">
        <v>51</v>
      </c>
      <c r="L14" s="48"/>
      <c r="M14" s="49"/>
      <c r="N14" s="50"/>
      <c r="O14" s="51"/>
      <c r="P14" s="52"/>
      <c r="Q14" s="52"/>
    </row>
    <row r="15">
      <c r="A15" s="53" t="s">
        <v>16</v>
      </c>
      <c r="B15" s="10" t="s">
        <v>69</v>
      </c>
      <c r="C15" s="36" t="s">
        <v>74</v>
      </c>
      <c r="D15" s="11" t="s">
        <v>75</v>
      </c>
      <c r="E15" s="11" t="s">
        <v>76</v>
      </c>
      <c r="F15" s="11" t="s">
        <v>77</v>
      </c>
      <c r="G15" s="28">
        <v>10.0</v>
      </c>
      <c r="H15" s="28">
        <v>14.0</v>
      </c>
      <c r="I15" s="54">
        <f t="shared" si="1"/>
        <v>12</v>
      </c>
      <c r="J15" s="55" t="b">
        <v>0</v>
      </c>
      <c r="K15" s="36" t="s">
        <v>51</v>
      </c>
      <c r="L15" s="56"/>
      <c r="M15" s="57"/>
      <c r="N15" s="57"/>
      <c r="O15" s="56"/>
      <c r="P15" s="56"/>
      <c r="Q15" s="56"/>
    </row>
    <row r="16">
      <c r="A16" s="9" t="s">
        <v>16</v>
      </c>
      <c r="B16" s="10" t="s">
        <v>69</v>
      </c>
      <c r="C16" s="11" t="s">
        <v>78</v>
      </c>
      <c r="D16" s="11" t="s">
        <v>79</v>
      </c>
      <c r="E16" s="11" t="s">
        <v>80</v>
      </c>
      <c r="F16" s="11" t="s">
        <v>81</v>
      </c>
      <c r="G16" s="28">
        <v>8.0</v>
      </c>
      <c r="H16" s="28">
        <v>15.0</v>
      </c>
      <c r="I16" s="14">
        <f t="shared" si="1"/>
        <v>12</v>
      </c>
      <c r="J16" s="9" t="b">
        <v>0</v>
      </c>
      <c r="K16" s="36" t="s">
        <v>51</v>
      </c>
      <c r="L16" s="16"/>
      <c r="M16" s="17"/>
      <c r="N16" s="30"/>
      <c r="O16" s="29"/>
      <c r="P16" s="26"/>
      <c r="Q16" s="26"/>
    </row>
    <row r="17">
      <c r="A17" s="43" t="s">
        <v>16</v>
      </c>
      <c r="B17" s="44" t="s">
        <v>82</v>
      </c>
      <c r="C17" s="45" t="s">
        <v>83</v>
      </c>
      <c r="D17" s="45" t="s">
        <v>84</v>
      </c>
      <c r="E17" s="45" t="s">
        <v>85</v>
      </c>
      <c r="F17" s="45" t="s">
        <v>86</v>
      </c>
      <c r="G17" s="46">
        <v>8.0</v>
      </c>
      <c r="H17" s="46">
        <v>12.0</v>
      </c>
      <c r="I17" s="47">
        <f t="shared" si="1"/>
        <v>10</v>
      </c>
      <c r="J17" s="43" t="b">
        <v>0</v>
      </c>
      <c r="K17" s="42" t="s">
        <v>22</v>
      </c>
      <c r="L17" s="48"/>
      <c r="M17" s="49"/>
      <c r="N17" s="50"/>
      <c r="O17" s="58"/>
      <c r="P17" s="52"/>
      <c r="Q17" s="52"/>
    </row>
    <row r="18">
      <c r="A18" s="9" t="s">
        <v>16</v>
      </c>
      <c r="B18" s="10" t="s">
        <v>82</v>
      </c>
      <c r="C18" s="11" t="s">
        <v>87</v>
      </c>
      <c r="D18" s="11" t="s">
        <v>88</v>
      </c>
      <c r="E18" s="11" t="s">
        <v>89</v>
      </c>
      <c r="F18" s="11" t="s">
        <v>90</v>
      </c>
      <c r="G18" s="28">
        <v>3.0</v>
      </c>
      <c r="H18" s="28">
        <v>6.0</v>
      </c>
      <c r="I18" s="14">
        <f t="shared" si="1"/>
        <v>5</v>
      </c>
      <c r="J18" s="9" t="b">
        <v>0</v>
      </c>
      <c r="K18" s="15" t="s">
        <v>22</v>
      </c>
      <c r="L18" s="16"/>
      <c r="M18" s="17"/>
      <c r="N18" s="30"/>
      <c r="O18" s="29"/>
      <c r="P18" s="26"/>
      <c r="Q18" s="26"/>
    </row>
    <row r="19">
      <c r="A19" s="31" t="s">
        <v>16</v>
      </c>
      <c r="B19" s="32" t="s">
        <v>82</v>
      </c>
      <c r="C19" s="33" t="s">
        <v>91</v>
      </c>
      <c r="D19" s="33" t="s">
        <v>92</v>
      </c>
      <c r="E19" s="33" t="s">
        <v>93</v>
      </c>
      <c r="F19" s="33" t="s">
        <v>94</v>
      </c>
      <c r="G19" s="34">
        <v>3.0</v>
      </c>
      <c r="H19" s="34">
        <v>5.0</v>
      </c>
      <c r="I19" s="35">
        <f t="shared" si="1"/>
        <v>4</v>
      </c>
      <c r="J19" s="31" t="b">
        <v>0</v>
      </c>
      <c r="K19" s="59" t="s">
        <v>22</v>
      </c>
      <c r="L19" s="37"/>
      <c r="M19" s="38"/>
      <c r="N19" s="39"/>
      <c r="O19" s="40"/>
      <c r="P19" s="41"/>
      <c r="Q19" s="41"/>
    </row>
    <row r="20">
      <c r="A20" s="9" t="s">
        <v>16</v>
      </c>
      <c r="B20" s="10" t="s">
        <v>95</v>
      </c>
      <c r="C20" s="11" t="s">
        <v>95</v>
      </c>
      <c r="D20" s="11" t="s">
        <v>96</v>
      </c>
      <c r="E20" s="11" t="s">
        <v>97</v>
      </c>
      <c r="F20" s="11" t="s">
        <v>98</v>
      </c>
      <c r="G20" s="28">
        <v>15.0</v>
      </c>
      <c r="H20" s="28">
        <v>15.0</v>
      </c>
      <c r="I20" s="14">
        <f t="shared" si="1"/>
        <v>15</v>
      </c>
      <c r="J20" s="9" t="b">
        <v>0</v>
      </c>
      <c r="K20" s="15" t="s">
        <v>99</v>
      </c>
      <c r="L20" s="16"/>
      <c r="M20" s="17"/>
      <c r="N20" s="30"/>
      <c r="O20" s="29"/>
      <c r="P20" s="26"/>
      <c r="Q20" s="26"/>
    </row>
    <row r="21">
      <c r="A21" s="9"/>
      <c r="B21" s="10"/>
      <c r="C21" s="11"/>
      <c r="D21" s="11"/>
      <c r="E21" s="11"/>
      <c r="F21" s="11"/>
      <c r="G21" s="28"/>
      <c r="H21" s="28"/>
      <c r="I21" s="14" t="str">
        <f t="shared" si="1"/>
        <v/>
      </c>
      <c r="J21" s="9" t="b">
        <v>0</v>
      </c>
      <c r="K21" s="15"/>
      <c r="L21" s="16"/>
      <c r="M21" s="17"/>
      <c r="N21" s="30"/>
      <c r="O21" s="29"/>
      <c r="P21" s="26"/>
      <c r="Q21" s="26"/>
    </row>
    <row r="22">
      <c r="A22" s="9"/>
      <c r="B22" s="10"/>
      <c r="C22" s="60"/>
      <c r="D22" s="60"/>
      <c r="E22" s="61"/>
      <c r="F22" s="61"/>
      <c r="G22" s="28"/>
      <c r="H22" s="28"/>
      <c r="I22" s="14" t="str">
        <f t="shared" si="1"/>
        <v/>
      </c>
      <c r="J22" s="9" t="b">
        <v>0</v>
      </c>
      <c r="K22" s="15"/>
      <c r="L22" s="16"/>
      <c r="M22" s="17"/>
      <c r="N22" s="30"/>
      <c r="O22" s="29"/>
      <c r="P22" s="26"/>
      <c r="Q22" s="26"/>
    </row>
    <row r="23">
      <c r="A23" s="9"/>
      <c r="B23" s="10"/>
      <c r="C23" s="60"/>
      <c r="D23" s="60"/>
      <c r="E23" s="61"/>
      <c r="F23" s="61"/>
      <c r="G23" s="28"/>
      <c r="H23" s="28"/>
      <c r="I23" s="14" t="str">
        <f t="shared" si="1"/>
        <v/>
      </c>
      <c r="J23" s="9" t="b">
        <v>0</v>
      </c>
      <c r="K23" s="15"/>
      <c r="L23" s="16"/>
      <c r="M23" s="17"/>
      <c r="N23" s="30"/>
      <c r="O23" s="29"/>
      <c r="P23" s="26"/>
      <c r="Q23" s="26"/>
    </row>
    <row r="24">
      <c r="A24" s="9"/>
      <c r="B24" s="10"/>
      <c r="C24" s="60"/>
      <c r="D24" s="60"/>
      <c r="E24" s="60"/>
      <c r="F24" s="60"/>
      <c r="G24" s="28"/>
      <c r="H24" s="28"/>
      <c r="I24" s="14" t="str">
        <f t="shared" si="1"/>
        <v/>
      </c>
      <c r="J24" s="9" t="b">
        <v>0</v>
      </c>
      <c r="K24" s="62"/>
      <c r="L24" s="16"/>
      <c r="M24" s="17"/>
      <c r="N24" s="30"/>
      <c r="O24" s="19"/>
      <c r="P24" s="26"/>
      <c r="Q24" s="26"/>
    </row>
    <row r="25">
      <c r="A25" s="9"/>
      <c r="B25" s="10"/>
      <c r="C25" s="11"/>
      <c r="D25" s="11"/>
      <c r="E25" s="11"/>
      <c r="F25" s="11"/>
      <c r="G25" s="63"/>
      <c r="H25" s="63"/>
      <c r="I25" s="14" t="str">
        <f t="shared" si="1"/>
        <v/>
      </c>
      <c r="J25" s="9" t="b">
        <v>0</v>
      </c>
      <c r="K25" s="15"/>
      <c r="L25" s="16"/>
      <c r="M25" s="17"/>
      <c r="N25" s="30"/>
      <c r="O25" s="29"/>
      <c r="P25" s="26"/>
      <c r="Q25" s="26"/>
    </row>
    <row r="26">
      <c r="A26" s="9"/>
      <c r="B26" s="10"/>
      <c r="C26" s="11"/>
      <c r="D26" s="11"/>
      <c r="E26" s="11"/>
      <c r="F26" s="11"/>
      <c r="G26" s="63"/>
      <c r="H26" s="63"/>
      <c r="I26" s="14" t="str">
        <f t="shared" si="1"/>
        <v/>
      </c>
      <c r="J26" s="9" t="b">
        <v>0</v>
      </c>
      <c r="K26" s="15"/>
      <c r="L26" s="16"/>
      <c r="M26" s="17"/>
      <c r="N26" s="30"/>
      <c r="O26" s="29"/>
      <c r="P26" s="26"/>
      <c r="Q26" s="26"/>
    </row>
    <row r="27">
      <c r="A27" s="9"/>
      <c r="B27" s="10"/>
      <c r="C27" s="11"/>
      <c r="D27" s="11"/>
      <c r="E27" s="11"/>
      <c r="F27" s="11"/>
      <c r="G27" s="28"/>
      <c r="H27" s="28"/>
      <c r="I27" s="14" t="str">
        <f t="shared" si="1"/>
        <v/>
      </c>
      <c r="J27" s="9" t="b">
        <v>0</v>
      </c>
      <c r="K27" s="15"/>
      <c r="L27" s="16"/>
      <c r="M27" s="17"/>
      <c r="N27" s="30"/>
      <c r="O27" s="29"/>
      <c r="P27" s="26"/>
      <c r="Q27" s="26"/>
    </row>
    <row r="28">
      <c r="A28" s="9"/>
      <c r="B28" s="10"/>
      <c r="C28" s="11"/>
      <c r="D28" s="11"/>
      <c r="E28" s="11"/>
      <c r="F28" s="11"/>
      <c r="G28" s="28"/>
      <c r="H28" s="28"/>
      <c r="I28" s="14" t="str">
        <f t="shared" si="1"/>
        <v/>
      </c>
      <c r="J28" s="9" t="b">
        <v>0</v>
      </c>
      <c r="K28" s="15"/>
      <c r="L28" s="16"/>
      <c r="M28" s="17"/>
      <c r="N28" s="30"/>
      <c r="O28" s="29"/>
      <c r="P28" s="26"/>
      <c r="Q28" s="26"/>
    </row>
    <row r="29">
      <c r="A29" s="9"/>
      <c r="B29" s="10"/>
      <c r="C29" s="11"/>
      <c r="D29" s="11"/>
      <c r="E29" s="11"/>
      <c r="F29" s="11"/>
      <c r="G29" s="63"/>
      <c r="H29" s="63"/>
      <c r="I29" s="14" t="str">
        <f t="shared" si="1"/>
        <v/>
      </c>
      <c r="J29" s="9" t="b">
        <v>0</v>
      </c>
      <c r="K29" s="15"/>
      <c r="L29" s="16"/>
      <c r="M29" s="17"/>
      <c r="N29" s="30"/>
      <c r="O29" s="29"/>
      <c r="P29" s="26"/>
      <c r="Q29" s="26"/>
    </row>
    <row r="30">
      <c r="A30" s="9"/>
      <c r="B30" s="64"/>
      <c r="C30" s="19"/>
      <c r="D30" s="19"/>
      <c r="E30" s="19"/>
      <c r="F30" s="19"/>
      <c r="G30" s="65"/>
      <c r="H30" s="65"/>
      <c r="I30" s="14" t="str">
        <f t="shared" si="1"/>
        <v/>
      </c>
      <c r="J30" s="9" t="b">
        <v>0</v>
      </c>
      <c r="K30" s="15"/>
      <c r="L30" s="16"/>
      <c r="M30" s="17"/>
      <c r="N30" s="30"/>
      <c r="O30" s="29"/>
      <c r="P30" s="26"/>
      <c r="Q30" s="26"/>
    </row>
    <row r="31">
      <c r="A31" s="9"/>
      <c r="B31" s="64"/>
      <c r="C31" s="19"/>
      <c r="D31" s="19"/>
      <c r="E31" s="19"/>
      <c r="F31" s="19"/>
      <c r="G31" s="65"/>
      <c r="H31" s="65"/>
      <c r="I31" s="14" t="str">
        <f t="shared" si="1"/>
        <v/>
      </c>
      <c r="J31" s="9" t="b">
        <v>0</v>
      </c>
      <c r="K31" s="15"/>
      <c r="L31" s="16"/>
      <c r="M31" s="17"/>
      <c r="N31" s="30"/>
      <c r="O31" s="29"/>
      <c r="P31" s="26"/>
      <c r="Q31" s="26"/>
    </row>
    <row r="32">
      <c r="A32" s="9"/>
      <c r="B32" s="64"/>
      <c r="C32" s="19"/>
      <c r="D32" s="19"/>
      <c r="E32" s="19"/>
      <c r="F32" s="19"/>
      <c r="G32" s="65"/>
      <c r="H32" s="65"/>
      <c r="I32" s="14" t="str">
        <f t="shared" si="1"/>
        <v/>
      </c>
      <c r="J32" s="9" t="b">
        <v>0</v>
      </c>
      <c r="K32" s="15"/>
      <c r="L32" s="16"/>
      <c r="M32" s="17"/>
      <c r="N32" s="30"/>
      <c r="O32" s="29"/>
      <c r="P32" s="26"/>
      <c r="Q32" s="26"/>
    </row>
    <row r="33">
      <c r="A33" s="9"/>
      <c r="B33" s="66"/>
      <c r="C33" s="29"/>
      <c r="D33" s="29"/>
      <c r="E33" s="29"/>
      <c r="F33" s="29"/>
      <c r="G33" s="67"/>
      <c r="H33" s="67"/>
      <c r="I33" s="14" t="str">
        <f t="shared" si="1"/>
        <v/>
      </c>
      <c r="J33" s="9" t="b">
        <v>0</v>
      </c>
      <c r="K33" s="15"/>
      <c r="L33" s="16"/>
      <c r="M33" s="68"/>
      <c r="N33" s="69"/>
      <c r="O33" s="29"/>
      <c r="P33" s="26"/>
      <c r="Q33" s="26"/>
    </row>
    <row r="34">
      <c r="A34" s="9"/>
      <c r="B34" s="66"/>
      <c r="C34" s="29"/>
      <c r="D34" s="29"/>
      <c r="E34" s="29"/>
      <c r="F34" s="29"/>
      <c r="G34" s="67"/>
      <c r="H34" s="67"/>
      <c r="I34" s="14" t="str">
        <f t="shared" si="1"/>
        <v/>
      </c>
      <c r="J34" s="9" t="b">
        <v>0</v>
      </c>
      <c r="K34" s="15"/>
      <c r="L34" s="16"/>
      <c r="M34" s="68"/>
      <c r="N34" s="69"/>
      <c r="O34" s="29"/>
      <c r="P34" s="26"/>
      <c r="Q34" s="26"/>
    </row>
    <row r="35">
      <c r="A35" s="9"/>
      <c r="B35" s="66"/>
      <c r="C35" s="29"/>
      <c r="D35" s="29"/>
      <c r="E35" s="29"/>
      <c r="F35" s="29"/>
      <c r="G35" s="67"/>
      <c r="H35" s="67"/>
      <c r="I35" s="14" t="str">
        <f t="shared" si="1"/>
        <v/>
      </c>
      <c r="J35" s="9" t="b">
        <v>0</v>
      </c>
      <c r="K35" s="15"/>
      <c r="L35" s="16"/>
      <c r="M35" s="68"/>
      <c r="N35" s="69"/>
      <c r="O35" s="29"/>
      <c r="P35" s="26"/>
      <c r="Q35" s="26"/>
    </row>
    <row r="36">
      <c r="A36" s="9"/>
      <c r="B36" s="66"/>
      <c r="C36" s="29"/>
      <c r="D36" s="29"/>
      <c r="E36" s="29"/>
      <c r="F36" s="29"/>
      <c r="G36" s="67"/>
      <c r="H36" s="67"/>
      <c r="I36" s="14" t="str">
        <f t="shared" si="1"/>
        <v/>
      </c>
      <c r="J36" s="9" t="b">
        <v>0</v>
      </c>
      <c r="K36" s="15"/>
      <c r="L36" s="16"/>
      <c r="M36" s="68"/>
      <c r="N36" s="69"/>
      <c r="O36" s="29"/>
      <c r="P36" s="26"/>
      <c r="Q36" s="26"/>
    </row>
    <row r="37">
      <c r="A37" s="9"/>
      <c r="B37" s="66"/>
      <c r="C37" s="29"/>
      <c r="D37" s="29"/>
      <c r="E37" s="29"/>
      <c r="F37" s="29"/>
      <c r="G37" s="67"/>
      <c r="H37" s="67"/>
      <c r="I37" s="14" t="str">
        <f t="shared" si="1"/>
        <v/>
      </c>
      <c r="J37" s="9" t="b">
        <v>0</v>
      </c>
      <c r="K37" s="15"/>
      <c r="L37" s="16"/>
      <c r="M37" s="68"/>
      <c r="N37" s="69"/>
      <c r="O37" s="29"/>
      <c r="P37" s="26"/>
      <c r="Q37" s="26"/>
    </row>
    <row r="38">
      <c r="A38" s="9"/>
      <c r="B38" s="66"/>
      <c r="C38" s="29"/>
      <c r="D38" s="19"/>
      <c r="E38" s="19"/>
      <c r="F38" s="19"/>
      <c r="G38" s="67"/>
      <c r="H38" s="67"/>
      <c r="I38" s="14" t="str">
        <f t="shared" si="1"/>
        <v/>
      </c>
      <c r="J38" s="9" t="b">
        <v>0</v>
      </c>
      <c r="K38" s="15"/>
      <c r="L38" s="16"/>
      <c r="M38" s="68"/>
      <c r="N38" s="69"/>
      <c r="O38" s="29"/>
      <c r="P38" s="26"/>
      <c r="Q38" s="26"/>
    </row>
    <row r="39">
      <c r="A39" s="9"/>
      <c r="B39" s="66"/>
      <c r="C39" s="29"/>
      <c r="D39" s="19"/>
      <c r="E39" s="19"/>
      <c r="F39" s="19"/>
      <c r="G39" s="67"/>
      <c r="H39" s="67"/>
      <c r="I39" s="14" t="str">
        <f t="shared" si="1"/>
        <v/>
      </c>
      <c r="J39" s="9" t="b">
        <v>0</v>
      </c>
      <c r="K39" s="15"/>
      <c r="L39" s="16"/>
      <c r="M39" s="68"/>
      <c r="N39" s="69"/>
      <c r="O39" s="29"/>
      <c r="P39" s="26"/>
      <c r="Q39" s="26"/>
    </row>
    <row r="40">
      <c r="A40" s="9"/>
      <c r="B40" s="66"/>
      <c r="C40" s="29"/>
      <c r="D40" s="19"/>
      <c r="E40" s="19"/>
      <c r="F40" s="19"/>
      <c r="G40" s="67"/>
      <c r="H40" s="67"/>
      <c r="I40" s="14" t="str">
        <f t="shared" si="1"/>
        <v/>
      </c>
      <c r="J40" s="9" t="b">
        <v>0</v>
      </c>
      <c r="K40" s="15"/>
      <c r="L40" s="16"/>
      <c r="M40" s="68"/>
      <c r="N40" s="69"/>
      <c r="O40" s="29"/>
      <c r="P40" s="26"/>
      <c r="Q40" s="26"/>
    </row>
    <row r="41">
      <c r="A41" s="9"/>
      <c r="B41" s="66"/>
      <c r="C41" s="29"/>
      <c r="D41" s="19"/>
      <c r="E41" s="19"/>
      <c r="F41" s="19"/>
      <c r="G41" s="67"/>
      <c r="H41" s="67"/>
      <c r="I41" s="14" t="str">
        <f t="shared" si="1"/>
        <v/>
      </c>
      <c r="J41" s="9" t="b">
        <v>0</v>
      </c>
      <c r="K41" s="15"/>
      <c r="L41" s="16"/>
      <c r="M41" s="68"/>
      <c r="N41" s="69"/>
      <c r="O41" s="29"/>
      <c r="P41" s="26"/>
      <c r="Q41" s="26"/>
    </row>
    <row r="42">
      <c r="A42" s="9"/>
      <c r="B42" s="66"/>
      <c r="C42" s="29"/>
      <c r="D42" s="19"/>
      <c r="E42" s="19"/>
      <c r="F42" s="19"/>
      <c r="G42" s="67"/>
      <c r="H42" s="67"/>
      <c r="I42" s="14" t="str">
        <f t="shared" si="1"/>
        <v/>
      </c>
      <c r="J42" s="9" t="b">
        <v>0</v>
      </c>
      <c r="K42" s="15"/>
      <c r="L42" s="16"/>
      <c r="M42" s="68"/>
      <c r="N42" s="69"/>
      <c r="O42" s="29"/>
      <c r="P42" s="26"/>
      <c r="Q42" s="26"/>
    </row>
    <row r="43">
      <c r="A43" s="9"/>
      <c r="B43" s="66"/>
      <c r="C43" s="29"/>
      <c r="D43" s="19"/>
      <c r="E43" s="19"/>
      <c r="F43" s="19"/>
      <c r="G43" s="67"/>
      <c r="H43" s="67"/>
      <c r="I43" s="14" t="str">
        <f t="shared" si="1"/>
        <v/>
      </c>
      <c r="J43" s="9" t="b">
        <v>0</v>
      </c>
      <c r="K43" s="15"/>
      <c r="L43" s="16"/>
      <c r="M43" s="68"/>
      <c r="N43" s="69"/>
      <c r="O43" s="29"/>
      <c r="P43" s="26"/>
      <c r="Q43" s="26"/>
    </row>
    <row r="44">
      <c r="A44" s="9"/>
      <c r="B44" s="66"/>
      <c r="C44" s="29"/>
      <c r="D44" s="19"/>
      <c r="E44" s="19"/>
      <c r="F44" s="19"/>
      <c r="G44" s="67"/>
      <c r="H44" s="67"/>
      <c r="I44" s="14" t="str">
        <f t="shared" si="1"/>
        <v/>
      </c>
      <c r="J44" s="9" t="b">
        <v>0</v>
      </c>
      <c r="K44" s="15"/>
      <c r="L44" s="16"/>
      <c r="M44" s="68"/>
      <c r="N44" s="69"/>
      <c r="O44" s="29"/>
      <c r="P44" s="26"/>
      <c r="Q44" s="26"/>
    </row>
    <row r="45">
      <c r="A45" s="9"/>
      <c r="B45" s="66"/>
      <c r="C45" s="29"/>
      <c r="D45" s="19"/>
      <c r="E45" s="19"/>
      <c r="F45" s="19"/>
      <c r="G45" s="67"/>
      <c r="H45" s="67"/>
      <c r="I45" s="14" t="str">
        <f t="shared" si="1"/>
        <v/>
      </c>
      <c r="J45" s="9" t="b">
        <v>0</v>
      </c>
      <c r="K45" s="15"/>
      <c r="L45" s="16"/>
      <c r="M45" s="68"/>
      <c r="N45" s="69"/>
      <c r="O45" s="29"/>
      <c r="P45" s="26"/>
      <c r="Q45" s="26"/>
    </row>
    <row r="46">
      <c r="A46" s="9"/>
      <c r="B46" s="66"/>
      <c r="C46" s="29"/>
      <c r="D46" s="19"/>
      <c r="E46" s="19"/>
      <c r="F46" s="19"/>
      <c r="G46" s="67"/>
      <c r="H46" s="67"/>
      <c r="I46" s="14" t="str">
        <f t="shared" si="1"/>
        <v/>
      </c>
      <c r="J46" s="9" t="b">
        <v>0</v>
      </c>
      <c r="K46" s="15"/>
      <c r="L46" s="16"/>
      <c r="M46" s="68"/>
      <c r="N46" s="69"/>
      <c r="O46" s="29"/>
      <c r="P46" s="26"/>
      <c r="Q46" s="26"/>
    </row>
    <row r="47">
      <c r="A47" s="9"/>
      <c r="B47" s="66"/>
      <c r="C47" s="29"/>
      <c r="D47" s="19"/>
      <c r="E47" s="19"/>
      <c r="F47" s="19"/>
      <c r="G47" s="67"/>
      <c r="H47" s="67"/>
      <c r="I47" s="14" t="str">
        <f t="shared" si="1"/>
        <v/>
      </c>
      <c r="J47" s="9" t="b">
        <v>0</v>
      </c>
      <c r="K47" s="15"/>
      <c r="L47" s="16"/>
      <c r="M47" s="68"/>
      <c r="N47" s="69"/>
      <c r="O47" s="29"/>
      <c r="P47" s="26"/>
      <c r="Q47" s="26"/>
    </row>
    <row r="48">
      <c r="A48" s="9"/>
      <c r="B48" s="66"/>
      <c r="C48" s="29"/>
      <c r="D48" s="19"/>
      <c r="E48" s="19"/>
      <c r="F48" s="19"/>
      <c r="G48" s="67"/>
      <c r="H48" s="67"/>
      <c r="I48" s="14" t="str">
        <f t="shared" si="1"/>
        <v/>
      </c>
      <c r="J48" s="9" t="b">
        <v>0</v>
      </c>
      <c r="K48" s="15"/>
      <c r="L48" s="16"/>
      <c r="M48" s="68"/>
      <c r="N48" s="69"/>
      <c r="O48" s="29"/>
      <c r="P48" s="26"/>
      <c r="Q48" s="26"/>
    </row>
    <row r="49">
      <c r="A49" s="9"/>
      <c r="B49" s="66"/>
      <c r="C49" s="29"/>
      <c r="D49" s="19"/>
      <c r="E49" s="19"/>
      <c r="F49" s="19"/>
      <c r="G49" s="67"/>
      <c r="H49" s="67"/>
      <c r="I49" s="14" t="str">
        <f t="shared" si="1"/>
        <v/>
      </c>
      <c r="J49" s="9" t="b">
        <v>0</v>
      </c>
      <c r="K49" s="15"/>
      <c r="L49" s="16"/>
      <c r="M49" s="68"/>
      <c r="N49" s="69"/>
      <c r="O49" s="29"/>
      <c r="P49" s="26"/>
      <c r="Q49" s="26"/>
    </row>
    <row r="50">
      <c r="A50" s="9"/>
      <c r="B50" s="66"/>
      <c r="C50" s="29"/>
      <c r="D50" s="19"/>
      <c r="E50" s="19"/>
      <c r="F50" s="19"/>
      <c r="G50" s="67"/>
      <c r="H50" s="67"/>
      <c r="I50" s="14" t="str">
        <f t="shared" si="1"/>
        <v/>
      </c>
      <c r="J50" s="9" t="b">
        <v>0</v>
      </c>
      <c r="K50" s="15"/>
      <c r="L50" s="16"/>
      <c r="M50" s="68"/>
      <c r="N50" s="69"/>
      <c r="O50" s="29"/>
      <c r="P50" s="26"/>
      <c r="Q50" s="26"/>
    </row>
    <row r="51">
      <c r="A51" s="9"/>
      <c r="B51" s="66"/>
      <c r="C51" s="29"/>
      <c r="D51" s="29"/>
      <c r="E51" s="29"/>
      <c r="F51" s="29"/>
      <c r="G51" s="67"/>
      <c r="H51" s="67"/>
      <c r="I51" s="14" t="str">
        <f t="shared" si="1"/>
        <v/>
      </c>
      <c r="J51" s="9" t="b">
        <v>0</v>
      </c>
      <c r="K51" s="15"/>
      <c r="L51" s="16"/>
      <c r="M51" s="68"/>
      <c r="N51" s="69"/>
      <c r="O51" s="29"/>
      <c r="P51" s="26"/>
      <c r="Q51" s="26"/>
    </row>
    <row r="52">
      <c r="A52" s="9"/>
      <c r="B52" s="66"/>
      <c r="C52" s="29"/>
      <c r="D52" s="29"/>
      <c r="E52" s="29"/>
      <c r="F52" s="29"/>
      <c r="G52" s="67"/>
      <c r="H52" s="67"/>
      <c r="I52" s="14" t="str">
        <f t="shared" si="1"/>
        <v/>
      </c>
      <c r="J52" s="9" t="b">
        <v>0</v>
      </c>
      <c r="K52" s="15"/>
      <c r="L52" s="16"/>
      <c r="M52" s="68"/>
      <c r="N52" s="69"/>
      <c r="O52" s="29"/>
      <c r="P52" s="26"/>
      <c r="Q52" s="26"/>
    </row>
    <row r="53">
      <c r="A53" s="9"/>
      <c r="B53" s="66"/>
      <c r="C53" s="29"/>
      <c r="D53" s="29"/>
      <c r="E53" s="29"/>
      <c r="F53" s="29"/>
      <c r="G53" s="67"/>
      <c r="H53" s="67"/>
      <c r="I53" s="14" t="str">
        <f t="shared" si="1"/>
        <v/>
      </c>
      <c r="J53" s="9" t="b">
        <v>0</v>
      </c>
      <c r="K53" s="15"/>
      <c r="L53" s="16"/>
      <c r="M53" s="68"/>
      <c r="N53" s="69"/>
      <c r="O53" s="29"/>
      <c r="P53" s="26"/>
      <c r="Q53" s="26"/>
    </row>
    <row r="54">
      <c r="A54" s="9"/>
      <c r="B54" s="66"/>
      <c r="C54" s="29"/>
      <c r="D54" s="29"/>
      <c r="E54" s="29"/>
      <c r="F54" s="29"/>
      <c r="G54" s="67"/>
      <c r="H54" s="67"/>
      <c r="I54" s="14" t="str">
        <f t="shared" si="1"/>
        <v/>
      </c>
      <c r="J54" s="9" t="b">
        <v>0</v>
      </c>
      <c r="K54" s="15"/>
      <c r="L54" s="16"/>
      <c r="M54" s="68"/>
      <c r="N54" s="69"/>
      <c r="O54" s="29"/>
      <c r="P54" s="26"/>
      <c r="Q54" s="26"/>
    </row>
    <row r="55">
      <c r="A55" s="9"/>
      <c r="B55" s="66"/>
      <c r="C55" s="29"/>
      <c r="D55" s="29"/>
      <c r="E55" s="29"/>
      <c r="F55" s="29"/>
      <c r="G55" s="67"/>
      <c r="H55" s="67"/>
      <c r="I55" s="14" t="str">
        <f t="shared" si="1"/>
        <v/>
      </c>
      <c r="J55" s="9" t="b">
        <v>0</v>
      </c>
      <c r="K55" s="15"/>
      <c r="L55" s="16"/>
      <c r="M55" s="68"/>
      <c r="N55" s="69"/>
      <c r="O55" s="29"/>
      <c r="P55" s="26"/>
      <c r="Q55" s="26"/>
    </row>
    <row r="56">
      <c r="A56" s="9"/>
      <c r="B56" s="66"/>
      <c r="C56" s="29"/>
      <c r="D56" s="29"/>
      <c r="E56" s="29"/>
      <c r="F56" s="29"/>
      <c r="G56" s="67"/>
      <c r="H56" s="67"/>
      <c r="I56" s="14" t="str">
        <f t="shared" si="1"/>
        <v/>
      </c>
      <c r="J56" s="9" t="b">
        <v>0</v>
      </c>
      <c r="K56" s="15"/>
      <c r="L56" s="16"/>
      <c r="M56" s="68"/>
      <c r="N56" s="69"/>
      <c r="O56" s="29"/>
      <c r="P56" s="26"/>
      <c r="Q56" s="26"/>
    </row>
    <row r="57">
      <c r="A57" s="9"/>
      <c r="B57" s="66"/>
      <c r="C57" s="29"/>
      <c r="D57" s="29"/>
      <c r="E57" s="29"/>
      <c r="F57" s="29"/>
      <c r="G57" s="67"/>
      <c r="H57" s="67"/>
      <c r="I57" s="14" t="str">
        <f t="shared" si="1"/>
        <v/>
      </c>
      <c r="J57" s="9" t="b">
        <v>0</v>
      </c>
      <c r="K57" s="15"/>
      <c r="L57" s="16"/>
      <c r="M57" s="68"/>
      <c r="N57" s="69"/>
      <c r="O57" s="29"/>
      <c r="P57" s="26"/>
      <c r="Q57" s="26"/>
    </row>
    <row r="58">
      <c r="A58" s="9"/>
      <c r="B58" s="66"/>
      <c r="C58" s="29"/>
      <c r="D58" s="29"/>
      <c r="E58" s="29"/>
      <c r="F58" s="29"/>
      <c r="G58" s="67"/>
      <c r="H58" s="67"/>
      <c r="I58" s="14" t="str">
        <f t="shared" si="1"/>
        <v/>
      </c>
      <c r="J58" s="9" t="b">
        <v>0</v>
      </c>
      <c r="K58" s="15"/>
      <c r="L58" s="16"/>
      <c r="M58" s="68"/>
      <c r="N58" s="69"/>
      <c r="O58" s="29"/>
      <c r="P58" s="26"/>
      <c r="Q58" s="26"/>
    </row>
    <row r="59">
      <c r="A59" s="9"/>
      <c r="B59" s="66"/>
      <c r="C59" s="29"/>
      <c r="D59" s="29"/>
      <c r="E59" s="29"/>
      <c r="F59" s="29"/>
      <c r="G59" s="67"/>
      <c r="H59" s="67"/>
      <c r="I59" s="14" t="str">
        <f t="shared" si="1"/>
        <v/>
      </c>
      <c r="J59" s="9" t="b">
        <v>0</v>
      </c>
      <c r="K59" s="15"/>
      <c r="L59" s="16"/>
      <c r="M59" s="68"/>
      <c r="N59" s="69"/>
      <c r="O59" s="29"/>
      <c r="P59" s="26"/>
      <c r="Q59" s="26"/>
    </row>
    <row r="60">
      <c r="A60" s="9"/>
      <c r="B60" s="66"/>
      <c r="C60" s="29"/>
      <c r="D60" s="29"/>
      <c r="E60" s="29"/>
      <c r="F60" s="29"/>
      <c r="G60" s="67"/>
      <c r="H60" s="67"/>
      <c r="I60" s="14" t="str">
        <f t="shared" si="1"/>
        <v/>
      </c>
      <c r="J60" s="9" t="b">
        <v>0</v>
      </c>
      <c r="K60" s="15"/>
      <c r="L60" s="16"/>
      <c r="M60" s="68"/>
      <c r="N60" s="69"/>
      <c r="O60" s="29"/>
      <c r="P60" s="26"/>
      <c r="Q60" s="26"/>
    </row>
    <row r="61">
      <c r="A61" s="9"/>
      <c r="B61" s="66"/>
      <c r="C61" s="29"/>
      <c r="D61" s="29"/>
      <c r="E61" s="29"/>
      <c r="F61" s="29"/>
      <c r="G61" s="67"/>
      <c r="H61" s="67"/>
      <c r="I61" s="14" t="str">
        <f t="shared" si="1"/>
        <v/>
      </c>
      <c r="J61" s="9" t="b">
        <v>0</v>
      </c>
      <c r="K61" s="15"/>
      <c r="L61" s="16"/>
      <c r="M61" s="68"/>
      <c r="N61" s="69"/>
      <c r="O61" s="29"/>
      <c r="P61" s="26"/>
      <c r="Q61" s="26"/>
    </row>
    <row r="62">
      <c r="A62" s="9"/>
      <c r="B62" s="66"/>
      <c r="C62" s="29"/>
      <c r="D62" s="29"/>
      <c r="E62" s="29"/>
      <c r="F62" s="29"/>
      <c r="G62" s="67"/>
      <c r="H62" s="67"/>
      <c r="I62" s="14" t="str">
        <f t="shared" si="1"/>
        <v/>
      </c>
      <c r="J62" s="9" t="b">
        <v>0</v>
      </c>
      <c r="K62" s="15"/>
      <c r="L62" s="16"/>
      <c r="M62" s="68"/>
      <c r="N62" s="69"/>
      <c r="O62" s="29"/>
      <c r="P62" s="26"/>
      <c r="Q62" s="26"/>
    </row>
    <row r="63">
      <c r="A63" s="9"/>
      <c r="B63" s="66"/>
      <c r="C63" s="29"/>
      <c r="D63" s="29"/>
      <c r="E63" s="29"/>
      <c r="F63" s="29"/>
      <c r="G63" s="67"/>
      <c r="H63" s="67"/>
      <c r="I63" s="14" t="str">
        <f t="shared" si="1"/>
        <v/>
      </c>
      <c r="J63" s="9" t="b">
        <v>0</v>
      </c>
      <c r="K63" s="15"/>
      <c r="L63" s="16"/>
      <c r="M63" s="68"/>
      <c r="N63" s="69"/>
      <c r="O63" s="29"/>
      <c r="P63" s="26"/>
      <c r="Q63" s="26"/>
    </row>
    <row r="64">
      <c r="A64" s="9"/>
      <c r="B64" s="66"/>
      <c r="C64" s="29"/>
      <c r="D64" s="29"/>
      <c r="E64" s="29"/>
      <c r="F64" s="29"/>
      <c r="G64" s="67"/>
      <c r="H64" s="67"/>
      <c r="I64" s="14" t="str">
        <f t="shared" si="1"/>
        <v/>
      </c>
      <c r="J64" s="9" t="b">
        <v>0</v>
      </c>
      <c r="K64" s="15"/>
      <c r="L64" s="16"/>
      <c r="M64" s="68"/>
      <c r="N64" s="69"/>
      <c r="O64" s="29"/>
      <c r="P64" s="26"/>
      <c r="Q64" s="26"/>
    </row>
    <row r="65">
      <c r="A65" s="9"/>
      <c r="B65" s="66"/>
      <c r="C65" s="29"/>
      <c r="D65" s="29"/>
      <c r="E65" s="29"/>
      <c r="F65" s="29"/>
      <c r="G65" s="67"/>
      <c r="H65" s="67"/>
      <c r="I65" s="14" t="str">
        <f t="shared" si="1"/>
        <v/>
      </c>
      <c r="J65" s="9" t="b">
        <v>0</v>
      </c>
      <c r="K65" s="15"/>
      <c r="L65" s="16"/>
      <c r="M65" s="68"/>
      <c r="N65" s="69"/>
      <c r="O65" s="29"/>
      <c r="P65" s="26"/>
      <c r="Q65" s="26"/>
    </row>
    <row r="66">
      <c r="A66" s="9"/>
      <c r="B66" s="66"/>
      <c r="C66" s="29"/>
      <c r="D66" s="29"/>
      <c r="E66" s="29"/>
      <c r="F66" s="29"/>
      <c r="G66" s="67"/>
      <c r="H66" s="67"/>
      <c r="I66" s="14" t="str">
        <f t="shared" si="1"/>
        <v/>
      </c>
      <c r="J66" s="9" t="b">
        <v>0</v>
      </c>
      <c r="K66" s="15"/>
      <c r="L66" s="16"/>
      <c r="M66" s="68"/>
      <c r="N66" s="69"/>
      <c r="O66" s="29"/>
      <c r="P66" s="26"/>
      <c r="Q66" s="26"/>
    </row>
    <row r="67">
      <c r="A67" s="9"/>
      <c r="B67" s="66"/>
      <c r="C67" s="29"/>
      <c r="D67" s="29"/>
      <c r="E67" s="29"/>
      <c r="F67" s="29"/>
      <c r="G67" s="67"/>
      <c r="H67" s="67"/>
      <c r="I67" s="14" t="str">
        <f t="shared" si="1"/>
        <v/>
      </c>
      <c r="J67" s="9" t="b">
        <v>0</v>
      </c>
      <c r="K67" s="15"/>
      <c r="L67" s="16"/>
      <c r="M67" s="68"/>
      <c r="N67" s="69"/>
      <c r="O67" s="29"/>
      <c r="P67" s="26"/>
      <c r="Q67" s="26"/>
    </row>
    <row r="68">
      <c r="A68" s="9"/>
      <c r="B68" s="66"/>
      <c r="C68" s="29"/>
      <c r="D68" s="29"/>
      <c r="E68" s="29"/>
      <c r="F68" s="29"/>
      <c r="G68" s="67"/>
      <c r="H68" s="67"/>
      <c r="I68" s="14" t="str">
        <f t="shared" si="1"/>
        <v/>
      </c>
      <c r="J68" s="9" t="b">
        <v>0</v>
      </c>
      <c r="K68" s="15"/>
      <c r="L68" s="16"/>
      <c r="M68" s="68"/>
      <c r="N68" s="69"/>
      <c r="O68" s="29"/>
      <c r="P68" s="26"/>
      <c r="Q68" s="26"/>
    </row>
    <row r="69">
      <c r="A69" s="9"/>
      <c r="B69" s="66"/>
      <c r="C69" s="29"/>
      <c r="D69" s="29"/>
      <c r="E69" s="29"/>
      <c r="F69" s="29"/>
      <c r="G69" s="67"/>
      <c r="H69" s="67"/>
      <c r="I69" s="14" t="str">
        <f t="shared" si="1"/>
        <v/>
      </c>
      <c r="J69" s="9" t="b">
        <v>0</v>
      </c>
      <c r="K69" s="15"/>
      <c r="L69" s="16"/>
      <c r="M69" s="68"/>
      <c r="N69" s="69"/>
      <c r="O69" s="29"/>
      <c r="P69" s="26"/>
      <c r="Q69" s="26"/>
    </row>
    <row r="70">
      <c r="A70" s="9"/>
      <c r="B70" s="66"/>
      <c r="C70" s="29"/>
      <c r="D70" s="29"/>
      <c r="E70" s="29"/>
      <c r="F70" s="29"/>
      <c r="G70" s="67"/>
      <c r="H70" s="67"/>
      <c r="I70" s="14" t="str">
        <f t="shared" si="1"/>
        <v/>
      </c>
      <c r="J70" s="9" t="b">
        <v>0</v>
      </c>
      <c r="K70" s="15"/>
      <c r="L70" s="16"/>
      <c r="M70" s="68"/>
      <c r="N70" s="69"/>
      <c r="O70" s="29"/>
      <c r="P70" s="26"/>
      <c r="Q70" s="26"/>
    </row>
    <row r="71">
      <c r="A71" s="9"/>
      <c r="B71" s="66"/>
      <c r="C71" s="29"/>
      <c r="D71" s="29"/>
      <c r="E71" s="29"/>
      <c r="F71" s="29"/>
      <c r="G71" s="67"/>
      <c r="H71" s="67"/>
      <c r="I71" s="14" t="str">
        <f t="shared" si="1"/>
        <v/>
      </c>
      <c r="J71" s="9" t="b">
        <v>0</v>
      </c>
      <c r="K71" s="15"/>
      <c r="L71" s="16"/>
      <c r="M71" s="68"/>
      <c r="N71" s="69"/>
      <c r="O71" s="29"/>
      <c r="P71" s="26"/>
      <c r="Q71" s="26"/>
    </row>
    <row r="72">
      <c r="A72" s="9"/>
      <c r="B72" s="66"/>
      <c r="C72" s="29"/>
      <c r="D72" s="29"/>
      <c r="E72" s="29"/>
      <c r="F72" s="29"/>
      <c r="G72" s="67"/>
      <c r="H72" s="67"/>
      <c r="I72" s="14" t="str">
        <f t="shared" si="1"/>
        <v/>
      </c>
      <c r="J72" s="9" t="b">
        <v>0</v>
      </c>
      <c r="K72" s="15"/>
      <c r="L72" s="16"/>
      <c r="M72" s="68"/>
      <c r="N72" s="69"/>
      <c r="O72" s="29"/>
      <c r="P72" s="26"/>
      <c r="Q72" s="26"/>
    </row>
    <row r="73">
      <c r="A73" s="9"/>
      <c r="B73" s="66"/>
      <c r="C73" s="29"/>
      <c r="D73" s="29"/>
      <c r="E73" s="29"/>
      <c r="F73" s="29"/>
      <c r="G73" s="67"/>
      <c r="H73" s="67"/>
      <c r="I73" s="14" t="str">
        <f t="shared" si="1"/>
        <v/>
      </c>
      <c r="J73" s="9" t="b">
        <v>0</v>
      </c>
      <c r="K73" s="15"/>
      <c r="L73" s="16"/>
      <c r="M73" s="68"/>
      <c r="N73" s="69"/>
      <c r="O73" s="29"/>
      <c r="P73" s="26"/>
      <c r="Q73" s="26"/>
    </row>
    <row r="74">
      <c r="A74" s="9"/>
      <c r="B74" s="66"/>
      <c r="C74" s="29"/>
      <c r="D74" s="29"/>
      <c r="E74" s="29"/>
      <c r="F74" s="29"/>
      <c r="G74" s="67"/>
      <c r="H74" s="67"/>
      <c r="I74" s="14" t="str">
        <f t="shared" si="1"/>
        <v/>
      </c>
      <c r="J74" s="9" t="b">
        <v>0</v>
      </c>
      <c r="K74" s="15"/>
      <c r="L74" s="16"/>
      <c r="M74" s="68"/>
      <c r="N74" s="69"/>
      <c r="O74" s="29"/>
      <c r="P74" s="26"/>
      <c r="Q74" s="26"/>
    </row>
    <row r="75">
      <c r="A75" s="9"/>
      <c r="B75" s="66"/>
      <c r="C75" s="29"/>
      <c r="D75" s="29"/>
      <c r="E75" s="29"/>
      <c r="F75" s="29"/>
      <c r="G75" s="67"/>
      <c r="H75" s="67"/>
      <c r="I75" s="14" t="str">
        <f t="shared" si="1"/>
        <v/>
      </c>
      <c r="J75" s="9" t="b">
        <v>0</v>
      </c>
      <c r="K75" s="15"/>
      <c r="L75" s="16"/>
      <c r="M75" s="68"/>
      <c r="N75" s="69"/>
      <c r="O75" s="29"/>
      <c r="P75" s="26"/>
      <c r="Q75" s="26"/>
    </row>
    <row r="76">
      <c r="A76" s="9"/>
      <c r="B76" s="66"/>
      <c r="C76" s="29"/>
      <c r="D76" s="29"/>
      <c r="E76" s="29"/>
      <c r="F76" s="29"/>
      <c r="G76" s="67"/>
      <c r="H76" s="67"/>
      <c r="I76" s="14" t="str">
        <f t="shared" si="1"/>
        <v/>
      </c>
      <c r="J76" s="9" t="b">
        <v>0</v>
      </c>
      <c r="K76" s="15"/>
      <c r="L76" s="16"/>
      <c r="M76" s="68"/>
      <c r="N76" s="69"/>
      <c r="O76" s="29"/>
      <c r="P76" s="26"/>
      <c r="Q76" s="26"/>
    </row>
    <row r="77">
      <c r="A77" s="9"/>
      <c r="B77" s="66"/>
      <c r="C77" s="29"/>
      <c r="D77" s="29"/>
      <c r="E77" s="29"/>
      <c r="F77" s="29"/>
      <c r="G77" s="67"/>
      <c r="H77" s="67"/>
      <c r="I77" s="14" t="str">
        <f t="shared" si="1"/>
        <v/>
      </c>
      <c r="J77" s="9" t="b">
        <v>0</v>
      </c>
      <c r="K77" s="15"/>
      <c r="L77" s="16"/>
      <c r="M77" s="68"/>
      <c r="N77" s="69"/>
      <c r="O77" s="29"/>
      <c r="P77" s="26"/>
      <c r="Q77" s="26"/>
    </row>
    <row r="78">
      <c r="A78" s="9"/>
      <c r="B78" s="66"/>
      <c r="C78" s="29"/>
      <c r="D78" s="29"/>
      <c r="E78" s="29"/>
      <c r="F78" s="29"/>
      <c r="G78" s="67"/>
      <c r="H78" s="67"/>
      <c r="I78" s="14" t="str">
        <f t="shared" si="1"/>
        <v/>
      </c>
      <c r="J78" s="9" t="b">
        <v>0</v>
      </c>
      <c r="K78" s="15"/>
      <c r="L78" s="16"/>
      <c r="M78" s="68"/>
      <c r="N78" s="69"/>
      <c r="O78" s="29"/>
      <c r="P78" s="26"/>
      <c r="Q78" s="26"/>
    </row>
    <row r="79">
      <c r="A79" s="9"/>
      <c r="B79" s="66"/>
      <c r="C79" s="29"/>
      <c r="D79" s="29"/>
      <c r="E79" s="29"/>
      <c r="F79" s="29"/>
      <c r="G79" s="67"/>
      <c r="H79" s="67"/>
      <c r="I79" s="14" t="str">
        <f t="shared" si="1"/>
        <v/>
      </c>
      <c r="J79" s="9" t="b">
        <v>0</v>
      </c>
      <c r="K79" s="15"/>
      <c r="L79" s="16"/>
      <c r="M79" s="68"/>
      <c r="N79" s="69"/>
      <c r="O79" s="29"/>
      <c r="P79" s="26"/>
      <c r="Q79" s="26"/>
    </row>
    <row r="80">
      <c r="A80" s="9"/>
      <c r="B80" s="66"/>
      <c r="C80" s="29"/>
      <c r="D80" s="29"/>
      <c r="E80" s="29"/>
      <c r="F80" s="29"/>
      <c r="G80" s="67"/>
      <c r="H80" s="67"/>
      <c r="I80" s="14" t="str">
        <f t="shared" si="1"/>
        <v/>
      </c>
      <c r="J80" s="9" t="b">
        <v>0</v>
      </c>
      <c r="K80" s="15"/>
      <c r="L80" s="16"/>
      <c r="M80" s="68"/>
      <c r="N80" s="69"/>
      <c r="O80" s="29"/>
      <c r="P80" s="26"/>
      <c r="Q80" s="26"/>
    </row>
    <row r="81">
      <c r="A81" s="9"/>
      <c r="B81" s="66"/>
      <c r="C81" s="29"/>
      <c r="D81" s="29"/>
      <c r="E81" s="29"/>
      <c r="F81" s="29"/>
      <c r="G81" s="67"/>
      <c r="H81" s="67"/>
      <c r="I81" s="14" t="str">
        <f t="shared" si="1"/>
        <v/>
      </c>
      <c r="J81" s="9" t="b">
        <v>0</v>
      </c>
      <c r="K81" s="15"/>
      <c r="L81" s="16"/>
      <c r="M81" s="68"/>
      <c r="N81" s="69"/>
      <c r="O81" s="29"/>
      <c r="P81" s="26"/>
      <c r="Q81" s="26"/>
    </row>
    <row r="82">
      <c r="A82" s="9"/>
      <c r="B82" s="66"/>
      <c r="C82" s="29"/>
      <c r="D82" s="29"/>
      <c r="E82" s="29"/>
      <c r="F82" s="29"/>
      <c r="G82" s="67"/>
      <c r="H82" s="67"/>
      <c r="I82" s="14" t="str">
        <f t="shared" si="1"/>
        <v/>
      </c>
      <c r="J82" s="9" t="b">
        <v>0</v>
      </c>
      <c r="K82" s="15"/>
      <c r="L82" s="16"/>
      <c r="M82" s="68"/>
      <c r="N82" s="69"/>
      <c r="O82" s="29"/>
      <c r="P82" s="26"/>
      <c r="Q82" s="26"/>
    </row>
    <row r="83">
      <c r="A83" s="9"/>
      <c r="B83" s="66"/>
      <c r="C83" s="29"/>
      <c r="D83" s="29"/>
      <c r="E83" s="29"/>
      <c r="F83" s="29"/>
      <c r="G83" s="67"/>
      <c r="H83" s="67"/>
      <c r="I83" s="14" t="str">
        <f t="shared" si="1"/>
        <v/>
      </c>
      <c r="J83" s="9" t="b">
        <v>0</v>
      </c>
      <c r="K83" s="15"/>
      <c r="L83" s="16"/>
      <c r="M83" s="68"/>
      <c r="N83" s="69"/>
      <c r="O83" s="29"/>
      <c r="P83" s="26"/>
      <c r="Q83" s="26"/>
    </row>
    <row r="84">
      <c r="A84" s="9"/>
      <c r="B84" s="66"/>
      <c r="C84" s="29"/>
      <c r="D84" s="29"/>
      <c r="E84" s="29"/>
      <c r="F84" s="29"/>
      <c r="G84" s="67"/>
      <c r="H84" s="67"/>
      <c r="I84" s="14" t="str">
        <f t="shared" si="1"/>
        <v/>
      </c>
      <c r="J84" s="9" t="b">
        <v>0</v>
      </c>
      <c r="K84" s="15"/>
      <c r="L84" s="16"/>
      <c r="M84" s="68"/>
      <c r="N84" s="69"/>
      <c r="O84" s="29"/>
      <c r="P84" s="26"/>
      <c r="Q84" s="26"/>
    </row>
    <row r="85">
      <c r="A85" s="9"/>
      <c r="B85" s="66"/>
      <c r="C85" s="29"/>
      <c r="D85" s="29"/>
      <c r="E85" s="29"/>
      <c r="F85" s="29"/>
      <c r="G85" s="67"/>
      <c r="H85" s="67"/>
      <c r="I85" s="14" t="str">
        <f t="shared" si="1"/>
        <v/>
      </c>
      <c r="J85" s="9" t="b">
        <v>0</v>
      </c>
      <c r="K85" s="15"/>
      <c r="L85" s="16"/>
      <c r="M85" s="68"/>
      <c r="N85" s="69"/>
      <c r="O85" s="29"/>
      <c r="P85" s="26"/>
      <c r="Q85" s="26"/>
    </row>
    <row r="86">
      <c r="A86" s="9"/>
      <c r="B86" s="66"/>
      <c r="C86" s="29"/>
      <c r="D86" s="29"/>
      <c r="E86" s="29"/>
      <c r="F86" s="29"/>
      <c r="G86" s="67"/>
      <c r="H86" s="67"/>
      <c r="I86" s="14" t="str">
        <f t="shared" si="1"/>
        <v/>
      </c>
      <c r="J86" s="9" t="b">
        <v>0</v>
      </c>
      <c r="K86" s="15"/>
      <c r="L86" s="16"/>
      <c r="M86" s="68"/>
      <c r="N86" s="69"/>
      <c r="O86" s="29"/>
      <c r="P86" s="26"/>
      <c r="Q86" s="26"/>
    </row>
    <row r="87">
      <c r="A87" s="9"/>
      <c r="B87" s="66"/>
      <c r="C87" s="29"/>
      <c r="D87" s="29"/>
      <c r="E87" s="29"/>
      <c r="F87" s="29"/>
      <c r="G87" s="67"/>
      <c r="H87" s="67"/>
      <c r="I87" s="14" t="str">
        <f t="shared" si="1"/>
        <v/>
      </c>
      <c r="J87" s="9" t="b">
        <v>0</v>
      </c>
      <c r="K87" s="15"/>
      <c r="L87" s="16"/>
      <c r="M87" s="68"/>
      <c r="N87" s="69"/>
      <c r="O87" s="29"/>
      <c r="P87" s="26"/>
      <c r="Q87" s="26"/>
    </row>
    <row r="88">
      <c r="A88" s="9"/>
      <c r="B88" s="66"/>
      <c r="C88" s="29"/>
      <c r="D88" s="29"/>
      <c r="E88" s="29"/>
      <c r="F88" s="29"/>
      <c r="G88" s="67"/>
      <c r="H88" s="67"/>
      <c r="I88" s="14" t="str">
        <f t="shared" si="1"/>
        <v/>
      </c>
      <c r="J88" s="9" t="b">
        <v>0</v>
      </c>
      <c r="K88" s="15"/>
      <c r="L88" s="16"/>
      <c r="M88" s="68"/>
      <c r="N88" s="69"/>
      <c r="O88" s="29"/>
      <c r="P88" s="26"/>
      <c r="Q88" s="26"/>
    </row>
    <row r="89">
      <c r="A89" s="9"/>
      <c r="B89" s="66"/>
      <c r="C89" s="29"/>
      <c r="D89" s="29"/>
      <c r="E89" s="29"/>
      <c r="F89" s="29"/>
      <c r="G89" s="67"/>
      <c r="H89" s="67"/>
      <c r="I89" s="14" t="str">
        <f t="shared" si="1"/>
        <v/>
      </c>
      <c r="J89" s="9" t="b">
        <v>0</v>
      </c>
      <c r="K89" s="15"/>
      <c r="L89" s="16"/>
      <c r="M89" s="68"/>
      <c r="N89" s="69"/>
      <c r="O89" s="29"/>
      <c r="P89" s="26"/>
      <c r="Q89" s="26"/>
    </row>
    <row r="90">
      <c r="A90" s="9"/>
      <c r="B90" s="66"/>
      <c r="C90" s="29"/>
      <c r="D90" s="29"/>
      <c r="E90" s="29"/>
      <c r="F90" s="29"/>
      <c r="G90" s="67"/>
      <c r="H90" s="67"/>
      <c r="I90" s="14" t="str">
        <f t="shared" si="1"/>
        <v/>
      </c>
      <c r="J90" s="9" t="b">
        <v>0</v>
      </c>
      <c r="K90" s="15"/>
      <c r="L90" s="16"/>
      <c r="M90" s="68"/>
      <c r="N90" s="69"/>
      <c r="O90" s="29"/>
      <c r="P90" s="26"/>
      <c r="Q90" s="26"/>
    </row>
    <row r="91">
      <c r="A91" s="9"/>
      <c r="B91" s="66"/>
      <c r="C91" s="29"/>
      <c r="D91" s="29"/>
      <c r="E91" s="29"/>
      <c r="F91" s="29"/>
      <c r="G91" s="67"/>
      <c r="H91" s="67"/>
      <c r="I91" s="14" t="str">
        <f t="shared" si="1"/>
        <v/>
      </c>
      <c r="J91" s="9" t="b">
        <v>0</v>
      </c>
      <c r="K91" s="15"/>
      <c r="L91" s="16"/>
      <c r="M91" s="68"/>
      <c r="N91" s="69"/>
      <c r="O91" s="29"/>
      <c r="P91" s="26"/>
      <c r="Q91" s="26"/>
    </row>
    <row r="92">
      <c r="A92" s="9"/>
      <c r="B92" s="66"/>
      <c r="C92" s="29"/>
      <c r="D92" s="29"/>
      <c r="E92" s="29"/>
      <c r="F92" s="29"/>
      <c r="G92" s="67"/>
      <c r="H92" s="67"/>
      <c r="I92" s="14" t="str">
        <f t="shared" si="1"/>
        <v/>
      </c>
      <c r="J92" s="9" t="b">
        <v>0</v>
      </c>
      <c r="K92" s="15"/>
      <c r="L92" s="16"/>
      <c r="M92" s="68"/>
      <c r="N92" s="69"/>
      <c r="O92" s="29"/>
      <c r="P92" s="26"/>
      <c r="Q92" s="26"/>
    </row>
    <row r="93">
      <c r="A93" s="9"/>
      <c r="B93" s="66"/>
      <c r="C93" s="29"/>
      <c r="D93" s="29"/>
      <c r="E93" s="29"/>
      <c r="F93" s="29"/>
      <c r="G93" s="67"/>
      <c r="H93" s="67"/>
      <c r="I93" s="14" t="str">
        <f t="shared" si="1"/>
        <v/>
      </c>
      <c r="J93" s="9" t="b">
        <v>0</v>
      </c>
      <c r="K93" s="15"/>
      <c r="L93" s="16"/>
      <c r="M93" s="68"/>
      <c r="N93" s="69"/>
      <c r="O93" s="29"/>
      <c r="P93" s="26"/>
      <c r="Q93" s="26"/>
    </row>
    <row r="94">
      <c r="A94" s="9"/>
      <c r="B94" s="66"/>
      <c r="C94" s="29"/>
      <c r="D94" s="29"/>
      <c r="E94" s="29"/>
      <c r="F94" s="29"/>
      <c r="G94" s="67"/>
      <c r="H94" s="67"/>
      <c r="I94" s="14" t="str">
        <f t="shared" si="1"/>
        <v/>
      </c>
      <c r="J94" s="9" t="b">
        <v>0</v>
      </c>
      <c r="K94" s="15"/>
      <c r="L94" s="16"/>
      <c r="M94" s="68"/>
      <c r="N94" s="69"/>
      <c r="O94" s="29"/>
      <c r="P94" s="26"/>
      <c r="Q94" s="26"/>
    </row>
    <row r="95">
      <c r="A95" s="9"/>
      <c r="B95" s="66"/>
      <c r="C95" s="29"/>
      <c r="D95" s="29"/>
      <c r="E95" s="29"/>
      <c r="F95" s="29"/>
      <c r="G95" s="67"/>
      <c r="H95" s="67"/>
      <c r="I95" s="14" t="str">
        <f t="shared" si="1"/>
        <v/>
      </c>
      <c r="J95" s="9" t="b">
        <v>0</v>
      </c>
      <c r="K95" s="15"/>
      <c r="L95" s="16"/>
      <c r="M95" s="68"/>
      <c r="N95" s="69"/>
      <c r="O95" s="29"/>
      <c r="P95" s="26"/>
      <c r="Q95" s="26"/>
    </row>
    <row r="96">
      <c r="A96" s="9"/>
      <c r="B96" s="66"/>
      <c r="C96" s="29"/>
      <c r="D96" s="29"/>
      <c r="E96" s="29"/>
      <c r="F96" s="29"/>
      <c r="G96" s="67"/>
      <c r="H96" s="67"/>
      <c r="I96" s="14" t="str">
        <f t="shared" si="1"/>
        <v/>
      </c>
      <c r="J96" s="9" t="b">
        <v>0</v>
      </c>
      <c r="K96" s="15"/>
      <c r="L96" s="16"/>
      <c r="M96" s="68"/>
      <c r="N96" s="69"/>
      <c r="O96" s="29"/>
      <c r="P96" s="26"/>
      <c r="Q96" s="26"/>
    </row>
    <row r="97">
      <c r="A97" s="9"/>
      <c r="B97" s="66"/>
      <c r="C97" s="29"/>
      <c r="D97" s="29"/>
      <c r="E97" s="29"/>
      <c r="F97" s="29"/>
      <c r="G97" s="67"/>
      <c r="H97" s="67"/>
      <c r="I97" s="14" t="str">
        <f t="shared" si="1"/>
        <v/>
      </c>
      <c r="J97" s="9" t="b">
        <v>0</v>
      </c>
      <c r="K97" s="15"/>
      <c r="L97" s="16"/>
      <c r="M97" s="68"/>
      <c r="N97" s="69"/>
      <c r="O97" s="29"/>
      <c r="P97" s="26"/>
      <c r="Q97" s="26"/>
    </row>
    <row r="98">
      <c r="A98" s="9"/>
      <c r="B98" s="66"/>
      <c r="C98" s="29"/>
      <c r="D98" s="29"/>
      <c r="E98" s="29"/>
      <c r="F98" s="29"/>
      <c r="G98" s="67"/>
      <c r="H98" s="67"/>
      <c r="I98" s="14" t="str">
        <f t="shared" si="1"/>
        <v/>
      </c>
      <c r="J98" s="9" t="b">
        <v>0</v>
      </c>
      <c r="K98" s="15"/>
      <c r="L98" s="16"/>
      <c r="M98" s="68"/>
      <c r="N98" s="69"/>
      <c r="O98" s="29"/>
      <c r="P98" s="26"/>
      <c r="Q98" s="26"/>
    </row>
    <row r="99">
      <c r="A99" s="9"/>
      <c r="B99" s="66"/>
      <c r="C99" s="29"/>
      <c r="D99" s="29"/>
      <c r="E99" s="29"/>
      <c r="F99" s="29"/>
      <c r="G99" s="67"/>
      <c r="H99" s="67"/>
      <c r="I99" s="14" t="str">
        <f t="shared" si="1"/>
        <v/>
      </c>
      <c r="J99" s="9" t="b">
        <v>0</v>
      </c>
      <c r="K99" s="15"/>
      <c r="L99" s="16"/>
      <c r="M99" s="68"/>
      <c r="N99" s="69"/>
      <c r="O99" s="29"/>
      <c r="P99" s="26"/>
      <c r="Q99" s="26"/>
    </row>
    <row r="100">
      <c r="A100" s="9"/>
      <c r="B100" s="66"/>
      <c r="C100" s="29"/>
      <c r="D100" s="29"/>
      <c r="E100" s="29"/>
      <c r="F100" s="29"/>
      <c r="G100" s="67"/>
      <c r="H100" s="67"/>
      <c r="I100" s="14" t="str">
        <f t="shared" si="1"/>
        <v/>
      </c>
      <c r="J100" s="9" t="b">
        <v>0</v>
      </c>
      <c r="K100" s="15"/>
      <c r="L100" s="16"/>
      <c r="M100" s="68"/>
      <c r="N100" s="69"/>
      <c r="O100" s="29"/>
      <c r="P100" s="26"/>
      <c r="Q100" s="26"/>
    </row>
    <row r="101">
      <c r="A101" s="9"/>
      <c r="B101" s="66"/>
      <c r="C101" s="29"/>
      <c r="D101" s="29"/>
      <c r="E101" s="29"/>
      <c r="F101" s="29"/>
      <c r="G101" s="67"/>
      <c r="H101" s="67"/>
      <c r="I101" s="14" t="str">
        <f t="shared" si="1"/>
        <v/>
      </c>
      <c r="J101" s="9" t="b">
        <v>0</v>
      </c>
      <c r="K101" s="15"/>
      <c r="L101" s="16"/>
      <c r="M101" s="68"/>
      <c r="N101" s="69"/>
      <c r="O101" s="29"/>
      <c r="P101" s="26"/>
      <c r="Q101" s="26"/>
    </row>
    <row r="102">
      <c r="A102" s="9"/>
      <c r="B102" s="66"/>
      <c r="C102" s="29"/>
      <c r="D102" s="29"/>
      <c r="E102" s="29"/>
      <c r="F102" s="29"/>
      <c r="G102" s="67"/>
      <c r="H102" s="67"/>
      <c r="I102" s="14" t="str">
        <f t="shared" si="1"/>
        <v/>
      </c>
      <c r="J102" s="9" t="b">
        <v>0</v>
      </c>
      <c r="K102" s="15"/>
      <c r="L102" s="16"/>
      <c r="M102" s="68"/>
      <c r="N102" s="69"/>
      <c r="O102" s="29"/>
      <c r="P102" s="26"/>
      <c r="Q102" s="26"/>
    </row>
    <row r="103">
      <c r="A103" s="9"/>
      <c r="B103" s="66"/>
      <c r="C103" s="29"/>
      <c r="D103" s="29"/>
      <c r="E103" s="29"/>
      <c r="F103" s="29"/>
      <c r="G103" s="67"/>
      <c r="H103" s="67"/>
      <c r="I103" s="14" t="str">
        <f t="shared" si="1"/>
        <v/>
      </c>
      <c r="J103" s="9" t="b">
        <v>0</v>
      </c>
      <c r="K103" s="15"/>
      <c r="L103" s="16"/>
      <c r="M103" s="68"/>
      <c r="N103" s="69"/>
      <c r="O103" s="29"/>
      <c r="P103" s="26"/>
      <c r="Q103" s="26"/>
    </row>
    <row r="104">
      <c r="A104" s="9"/>
      <c r="B104" s="66"/>
      <c r="C104" s="29"/>
      <c r="D104" s="29"/>
      <c r="E104" s="29"/>
      <c r="F104" s="29"/>
      <c r="G104" s="67"/>
      <c r="H104" s="67"/>
      <c r="I104" s="14" t="str">
        <f t="shared" si="1"/>
        <v/>
      </c>
      <c r="J104" s="9" t="b">
        <v>0</v>
      </c>
      <c r="K104" s="15"/>
      <c r="L104" s="16"/>
      <c r="M104" s="68"/>
      <c r="N104" s="69"/>
      <c r="O104" s="29"/>
      <c r="P104" s="26"/>
      <c r="Q104" s="26"/>
    </row>
    <row r="105">
      <c r="A105" s="9"/>
      <c r="B105" s="66"/>
      <c r="C105" s="29"/>
      <c r="D105" s="29"/>
      <c r="E105" s="29"/>
      <c r="F105" s="29"/>
      <c r="G105" s="67"/>
      <c r="H105" s="67"/>
      <c r="I105" s="14" t="str">
        <f t="shared" si="1"/>
        <v/>
      </c>
      <c r="J105" s="9" t="b">
        <v>0</v>
      </c>
      <c r="K105" s="15"/>
      <c r="L105" s="16"/>
      <c r="M105" s="68"/>
      <c r="N105" s="69"/>
      <c r="O105" s="29"/>
      <c r="P105" s="26"/>
      <c r="Q105" s="26"/>
    </row>
    <row r="106">
      <c r="A106" s="9"/>
      <c r="B106" s="66"/>
      <c r="C106" s="29"/>
      <c r="D106" s="29"/>
      <c r="E106" s="29"/>
      <c r="F106" s="29"/>
      <c r="G106" s="67"/>
      <c r="H106" s="67"/>
      <c r="I106" s="14" t="str">
        <f t="shared" si="1"/>
        <v/>
      </c>
      <c r="J106" s="9" t="b">
        <v>0</v>
      </c>
      <c r="K106" s="15"/>
      <c r="L106" s="16"/>
      <c r="M106" s="68"/>
      <c r="N106" s="69"/>
      <c r="O106" s="29"/>
      <c r="P106" s="26"/>
      <c r="Q106" s="26"/>
    </row>
    <row r="107">
      <c r="A107" s="9"/>
      <c r="B107" s="66"/>
      <c r="C107" s="29"/>
      <c r="D107" s="29"/>
      <c r="E107" s="29"/>
      <c r="F107" s="29"/>
      <c r="G107" s="67"/>
      <c r="H107" s="67"/>
      <c r="I107" s="14" t="str">
        <f t="shared" si="1"/>
        <v/>
      </c>
      <c r="J107" s="9" t="b">
        <v>0</v>
      </c>
      <c r="K107" s="15"/>
      <c r="L107" s="16"/>
      <c r="M107" s="68"/>
      <c r="N107" s="69"/>
      <c r="O107" s="29"/>
      <c r="P107" s="26"/>
      <c r="Q107" s="26"/>
    </row>
    <row r="108">
      <c r="A108" s="9"/>
      <c r="B108" s="66"/>
      <c r="C108" s="29"/>
      <c r="D108" s="29"/>
      <c r="E108" s="29"/>
      <c r="F108" s="29"/>
      <c r="G108" s="67"/>
      <c r="H108" s="67"/>
      <c r="I108" s="14" t="str">
        <f t="shared" si="1"/>
        <v/>
      </c>
      <c r="J108" s="9" t="b">
        <v>0</v>
      </c>
      <c r="K108" s="15"/>
      <c r="L108" s="16"/>
      <c r="M108" s="68"/>
      <c r="N108" s="69"/>
      <c r="O108" s="29"/>
      <c r="P108" s="26"/>
      <c r="Q108" s="26"/>
    </row>
    <row r="109">
      <c r="A109" s="9"/>
      <c r="B109" s="66"/>
      <c r="C109" s="29"/>
      <c r="D109" s="29"/>
      <c r="E109" s="29"/>
      <c r="F109" s="29"/>
      <c r="G109" s="67"/>
      <c r="H109" s="67"/>
      <c r="I109" s="14" t="str">
        <f t="shared" si="1"/>
        <v/>
      </c>
      <c r="J109" s="9" t="b">
        <v>0</v>
      </c>
      <c r="K109" s="15"/>
      <c r="L109" s="16"/>
      <c r="M109" s="68"/>
      <c r="N109" s="69"/>
      <c r="O109" s="29"/>
      <c r="P109" s="26"/>
      <c r="Q109" s="26"/>
    </row>
    <row r="110">
      <c r="A110" s="9"/>
      <c r="B110" s="66"/>
      <c r="C110" s="29"/>
      <c r="D110" s="29"/>
      <c r="E110" s="29"/>
      <c r="F110" s="29"/>
      <c r="G110" s="67"/>
      <c r="H110" s="67"/>
      <c r="I110" s="14" t="str">
        <f t="shared" si="1"/>
        <v/>
      </c>
      <c r="J110" s="9" t="b">
        <v>0</v>
      </c>
      <c r="K110" s="15"/>
      <c r="L110" s="16"/>
      <c r="M110" s="68"/>
      <c r="N110" s="69"/>
      <c r="O110" s="29"/>
      <c r="P110" s="26"/>
      <c r="Q110" s="26"/>
    </row>
    <row r="111">
      <c r="A111" s="9"/>
      <c r="B111" s="66"/>
      <c r="C111" s="29"/>
      <c r="D111" s="29"/>
      <c r="E111" s="29"/>
      <c r="F111" s="29"/>
      <c r="G111" s="67"/>
      <c r="H111" s="67"/>
      <c r="I111" s="14" t="str">
        <f t="shared" si="1"/>
        <v/>
      </c>
      <c r="J111" s="9" t="b">
        <v>0</v>
      </c>
      <c r="K111" s="15"/>
      <c r="L111" s="16"/>
      <c r="M111" s="68"/>
      <c r="N111" s="69"/>
      <c r="O111" s="29"/>
      <c r="P111" s="26"/>
      <c r="Q111" s="26"/>
    </row>
    <row r="112">
      <c r="A112" s="9"/>
      <c r="B112" s="66"/>
      <c r="C112" s="29"/>
      <c r="D112" s="29"/>
      <c r="E112" s="29"/>
      <c r="F112" s="29"/>
      <c r="G112" s="67"/>
      <c r="H112" s="67"/>
      <c r="I112" s="14" t="str">
        <f t="shared" si="1"/>
        <v/>
      </c>
      <c r="J112" s="9" t="b">
        <v>0</v>
      </c>
      <c r="K112" s="15"/>
      <c r="L112" s="16"/>
      <c r="M112" s="68"/>
      <c r="N112" s="69"/>
      <c r="O112" s="29"/>
      <c r="P112" s="26"/>
      <c r="Q112" s="26"/>
    </row>
    <row r="113">
      <c r="A113" s="9"/>
      <c r="B113" s="66"/>
      <c r="C113" s="29"/>
      <c r="D113" s="29"/>
      <c r="E113" s="29"/>
      <c r="F113" s="29"/>
      <c r="G113" s="67"/>
      <c r="H113" s="67"/>
      <c r="I113" s="14" t="str">
        <f t="shared" si="1"/>
        <v/>
      </c>
      <c r="J113" s="9" t="b">
        <v>0</v>
      </c>
      <c r="K113" s="15"/>
      <c r="L113" s="16"/>
      <c r="M113" s="68"/>
      <c r="N113" s="69"/>
      <c r="O113" s="29"/>
      <c r="P113" s="26"/>
      <c r="Q113" s="26"/>
    </row>
    <row r="114">
      <c r="A114" s="9"/>
      <c r="B114" s="66"/>
      <c r="C114" s="29"/>
      <c r="D114" s="29"/>
      <c r="E114" s="29"/>
      <c r="F114" s="29"/>
      <c r="G114" s="67"/>
      <c r="H114" s="67"/>
      <c r="I114" s="14" t="str">
        <f t="shared" si="1"/>
        <v/>
      </c>
      <c r="J114" s="9" t="b">
        <v>0</v>
      </c>
      <c r="K114" s="15"/>
      <c r="L114" s="16"/>
      <c r="M114" s="68"/>
      <c r="N114" s="69"/>
      <c r="O114" s="29"/>
      <c r="P114" s="26"/>
      <c r="Q114" s="26"/>
    </row>
    <row r="115">
      <c r="A115" s="9"/>
      <c r="B115" s="66"/>
      <c r="C115" s="29"/>
      <c r="D115" s="29"/>
      <c r="E115" s="29"/>
      <c r="F115" s="29"/>
      <c r="G115" s="67"/>
      <c r="H115" s="67"/>
      <c r="I115" s="14" t="str">
        <f t="shared" si="1"/>
        <v/>
      </c>
      <c r="J115" s="9" t="b">
        <v>0</v>
      </c>
      <c r="K115" s="15"/>
      <c r="L115" s="16"/>
      <c r="M115" s="68"/>
      <c r="N115" s="69"/>
      <c r="O115" s="29"/>
      <c r="P115" s="26"/>
      <c r="Q115" s="26"/>
    </row>
    <row r="116">
      <c r="A116" s="9"/>
      <c r="B116" s="66"/>
      <c r="C116" s="29"/>
      <c r="D116" s="29"/>
      <c r="E116" s="29"/>
      <c r="F116" s="29"/>
      <c r="G116" s="67"/>
      <c r="H116" s="67"/>
      <c r="I116" s="14" t="str">
        <f t="shared" si="1"/>
        <v/>
      </c>
      <c r="J116" s="9" t="b">
        <v>0</v>
      </c>
      <c r="K116" s="15"/>
      <c r="L116" s="16"/>
      <c r="M116" s="68"/>
      <c r="N116" s="69"/>
      <c r="O116" s="29"/>
      <c r="P116" s="26"/>
      <c r="Q116" s="26"/>
    </row>
    <row r="117">
      <c r="A117" s="9"/>
      <c r="B117" s="66"/>
      <c r="C117" s="29"/>
      <c r="D117" s="29"/>
      <c r="E117" s="29"/>
      <c r="F117" s="29"/>
      <c r="G117" s="67"/>
      <c r="H117" s="67"/>
      <c r="I117" s="14" t="str">
        <f t="shared" si="1"/>
        <v/>
      </c>
      <c r="J117" s="9" t="b">
        <v>0</v>
      </c>
      <c r="K117" s="15"/>
      <c r="L117" s="16"/>
      <c r="M117" s="68"/>
      <c r="N117" s="69"/>
      <c r="O117" s="29"/>
      <c r="P117" s="26"/>
      <c r="Q117" s="26"/>
    </row>
    <row r="118">
      <c r="A118" s="9"/>
      <c r="B118" s="66"/>
      <c r="C118" s="29"/>
      <c r="D118" s="29"/>
      <c r="E118" s="29"/>
      <c r="F118" s="29"/>
      <c r="G118" s="67"/>
      <c r="H118" s="67"/>
      <c r="I118" s="14" t="str">
        <f t="shared" si="1"/>
        <v/>
      </c>
      <c r="J118" s="9" t="b">
        <v>0</v>
      </c>
      <c r="K118" s="15"/>
      <c r="L118" s="16"/>
      <c r="M118" s="68"/>
      <c r="N118" s="69"/>
      <c r="O118" s="29"/>
      <c r="P118" s="26"/>
      <c r="Q118" s="26"/>
    </row>
    <row r="119">
      <c r="A119" s="9"/>
      <c r="B119" s="66"/>
      <c r="C119" s="29"/>
      <c r="D119" s="29"/>
      <c r="E119" s="29"/>
      <c r="F119" s="29"/>
      <c r="G119" s="67"/>
      <c r="H119" s="67"/>
      <c r="I119" s="14" t="str">
        <f t="shared" si="1"/>
        <v/>
      </c>
      <c r="J119" s="9" t="b">
        <v>0</v>
      </c>
      <c r="K119" s="15"/>
      <c r="L119" s="16"/>
      <c r="M119" s="68"/>
      <c r="N119" s="69"/>
      <c r="O119" s="29"/>
      <c r="P119" s="26"/>
      <c r="Q119" s="26"/>
    </row>
    <row r="120">
      <c r="A120" s="9"/>
      <c r="B120" s="66"/>
      <c r="C120" s="29"/>
      <c r="D120" s="29"/>
      <c r="E120" s="29"/>
      <c r="F120" s="29"/>
      <c r="G120" s="67"/>
      <c r="H120" s="67"/>
      <c r="I120" s="14" t="str">
        <f t="shared" si="1"/>
        <v/>
      </c>
      <c r="J120" s="9" t="b">
        <v>0</v>
      </c>
      <c r="K120" s="15"/>
      <c r="L120" s="16"/>
      <c r="M120" s="68"/>
      <c r="N120" s="69"/>
      <c r="O120" s="29"/>
      <c r="P120" s="26"/>
      <c r="Q120" s="26"/>
    </row>
    <row r="121">
      <c r="A121" s="9"/>
      <c r="B121" s="66"/>
      <c r="C121" s="29"/>
      <c r="D121" s="29"/>
      <c r="E121" s="29"/>
      <c r="F121" s="29"/>
      <c r="G121" s="67"/>
      <c r="H121" s="67"/>
      <c r="I121" s="14" t="str">
        <f t="shared" si="1"/>
        <v/>
      </c>
      <c r="J121" s="9" t="b">
        <v>0</v>
      </c>
      <c r="K121" s="15"/>
      <c r="L121" s="16"/>
      <c r="M121" s="68"/>
      <c r="N121" s="69"/>
      <c r="O121" s="29"/>
      <c r="P121" s="26"/>
      <c r="Q121" s="26"/>
    </row>
    <row r="122">
      <c r="A122" s="9"/>
      <c r="B122" s="66"/>
      <c r="C122" s="29"/>
      <c r="D122" s="29"/>
      <c r="E122" s="29"/>
      <c r="F122" s="29"/>
      <c r="G122" s="67"/>
      <c r="H122" s="67"/>
      <c r="I122" s="14" t="str">
        <f t="shared" si="1"/>
        <v/>
      </c>
      <c r="J122" s="9" t="b">
        <v>0</v>
      </c>
      <c r="K122" s="15"/>
      <c r="L122" s="16"/>
      <c r="M122" s="68"/>
      <c r="N122" s="69"/>
      <c r="O122" s="29"/>
      <c r="P122" s="26"/>
      <c r="Q122" s="26"/>
    </row>
    <row r="123">
      <c r="A123" s="9"/>
      <c r="B123" s="66"/>
      <c r="C123" s="29"/>
      <c r="D123" s="29"/>
      <c r="E123" s="29"/>
      <c r="F123" s="29"/>
      <c r="G123" s="67"/>
      <c r="H123" s="67"/>
      <c r="I123" s="14" t="str">
        <f t="shared" si="1"/>
        <v/>
      </c>
      <c r="J123" s="9" t="b">
        <v>0</v>
      </c>
      <c r="K123" s="15"/>
      <c r="L123" s="16"/>
      <c r="M123" s="68"/>
      <c r="N123" s="69"/>
      <c r="O123" s="29"/>
      <c r="P123" s="26"/>
      <c r="Q123" s="26"/>
    </row>
    <row r="124">
      <c r="A124" s="9"/>
      <c r="B124" s="66"/>
      <c r="C124" s="29"/>
      <c r="D124" s="29"/>
      <c r="E124" s="29"/>
      <c r="F124" s="29"/>
      <c r="G124" s="67"/>
      <c r="H124" s="67"/>
      <c r="I124" s="14" t="str">
        <f t="shared" si="1"/>
        <v/>
      </c>
      <c r="J124" s="9" t="b">
        <v>0</v>
      </c>
      <c r="K124" s="15"/>
      <c r="L124" s="16"/>
      <c r="M124" s="68"/>
      <c r="N124" s="69"/>
      <c r="O124" s="29"/>
      <c r="P124" s="26"/>
      <c r="Q124" s="26"/>
    </row>
    <row r="125">
      <c r="A125" s="9"/>
      <c r="B125" s="66"/>
      <c r="C125" s="29"/>
      <c r="D125" s="29"/>
      <c r="E125" s="29"/>
      <c r="F125" s="29"/>
      <c r="G125" s="67"/>
      <c r="H125" s="67"/>
      <c r="I125" s="14" t="str">
        <f t="shared" si="1"/>
        <v/>
      </c>
      <c r="J125" s="9" t="b">
        <v>0</v>
      </c>
      <c r="K125" s="15"/>
      <c r="L125" s="16"/>
      <c r="M125" s="68"/>
      <c r="N125" s="69"/>
      <c r="O125" s="29"/>
      <c r="P125" s="26"/>
      <c r="Q125" s="26"/>
    </row>
    <row r="126">
      <c r="A126" s="9"/>
      <c r="B126" s="66"/>
      <c r="C126" s="29"/>
      <c r="D126" s="29"/>
      <c r="E126" s="29"/>
      <c r="F126" s="29"/>
      <c r="G126" s="67"/>
      <c r="H126" s="67"/>
      <c r="I126" s="14" t="str">
        <f t="shared" si="1"/>
        <v/>
      </c>
      <c r="J126" s="9" t="b">
        <v>0</v>
      </c>
      <c r="K126" s="15"/>
      <c r="L126" s="16"/>
      <c r="M126" s="68"/>
      <c r="N126" s="69"/>
      <c r="O126" s="29"/>
      <c r="P126" s="26"/>
      <c r="Q126" s="26"/>
    </row>
    <row r="127">
      <c r="A127" s="9"/>
      <c r="B127" s="66"/>
      <c r="C127" s="29"/>
      <c r="D127" s="29"/>
      <c r="E127" s="29"/>
      <c r="F127" s="29"/>
      <c r="G127" s="67"/>
      <c r="H127" s="67"/>
      <c r="I127" s="14" t="str">
        <f t="shared" si="1"/>
        <v/>
      </c>
      <c r="J127" s="9" t="b">
        <v>0</v>
      </c>
      <c r="K127" s="15"/>
      <c r="L127" s="16"/>
      <c r="M127" s="68"/>
      <c r="N127" s="69"/>
      <c r="O127" s="29"/>
      <c r="P127" s="26"/>
      <c r="Q127" s="26"/>
    </row>
    <row r="128">
      <c r="A128" s="9"/>
      <c r="B128" s="66"/>
      <c r="C128" s="29"/>
      <c r="D128" s="29"/>
      <c r="E128" s="29"/>
      <c r="F128" s="29"/>
      <c r="G128" s="67"/>
      <c r="H128" s="67"/>
      <c r="I128" s="14" t="str">
        <f t="shared" si="1"/>
        <v/>
      </c>
      <c r="J128" s="9" t="b">
        <v>0</v>
      </c>
      <c r="K128" s="15"/>
      <c r="L128" s="16"/>
      <c r="M128" s="68"/>
      <c r="N128" s="69"/>
      <c r="O128" s="29"/>
      <c r="P128" s="26"/>
      <c r="Q128" s="26"/>
    </row>
    <row r="129">
      <c r="A129" s="9"/>
      <c r="B129" s="66"/>
      <c r="C129" s="29"/>
      <c r="D129" s="29"/>
      <c r="E129" s="29"/>
      <c r="F129" s="29"/>
      <c r="G129" s="67"/>
      <c r="H129" s="67"/>
      <c r="I129" s="14" t="str">
        <f t="shared" si="1"/>
        <v/>
      </c>
      <c r="J129" s="9" t="b">
        <v>0</v>
      </c>
      <c r="K129" s="15"/>
      <c r="L129" s="16"/>
      <c r="M129" s="68"/>
      <c r="N129" s="69"/>
      <c r="O129" s="29"/>
      <c r="P129" s="26"/>
      <c r="Q129" s="26"/>
    </row>
    <row r="130">
      <c r="A130" s="9"/>
      <c r="B130" s="66"/>
      <c r="C130" s="29"/>
      <c r="D130" s="29"/>
      <c r="E130" s="29"/>
      <c r="F130" s="29"/>
      <c r="G130" s="67"/>
      <c r="H130" s="67"/>
      <c r="I130" s="14" t="str">
        <f t="shared" si="1"/>
        <v/>
      </c>
      <c r="J130" s="9" t="b">
        <v>0</v>
      </c>
      <c r="K130" s="15"/>
      <c r="L130" s="16"/>
      <c r="M130" s="68"/>
      <c r="N130" s="69"/>
      <c r="O130" s="29"/>
      <c r="P130" s="26"/>
      <c r="Q130" s="26"/>
    </row>
    <row r="131">
      <c r="A131" s="9"/>
      <c r="B131" s="66"/>
      <c r="C131" s="29"/>
      <c r="D131" s="29"/>
      <c r="E131" s="29"/>
      <c r="F131" s="29"/>
      <c r="G131" s="67"/>
      <c r="H131" s="67"/>
      <c r="I131" s="14" t="str">
        <f t="shared" si="1"/>
        <v/>
      </c>
      <c r="J131" s="9" t="b">
        <v>0</v>
      </c>
      <c r="K131" s="15"/>
      <c r="L131" s="16"/>
      <c r="M131" s="68"/>
      <c r="N131" s="69"/>
      <c r="O131" s="29"/>
      <c r="P131" s="26"/>
      <c r="Q131" s="26"/>
    </row>
    <row r="132">
      <c r="A132" s="9"/>
      <c r="B132" s="66"/>
      <c r="C132" s="29"/>
      <c r="D132" s="29"/>
      <c r="E132" s="29"/>
      <c r="F132" s="29"/>
      <c r="G132" s="67"/>
      <c r="H132" s="67"/>
      <c r="I132" s="14" t="str">
        <f t="shared" si="1"/>
        <v/>
      </c>
      <c r="J132" s="9" t="b">
        <v>0</v>
      </c>
      <c r="K132" s="15"/>
      <c r="L132" s="16"/>
      <c r="M132" s="68"/>
      <c r="N132" s="69"/>
      <c r="O132" s="29"/>
      <c r="P132" s="26"/>
      <c r="Q132" s="26"/>
    </row>
    <row r="133">
      <c r="A133" s="9"/>
      <c r="B133" s="66"/>
      <c r="C133" s="29"/>
      <c r="D133" s="29"/>
      <c r="E133" s="29"/>
      <c r="F133" s="29"/>
      <c r="G133" s="67"/>
      <c r="H133" s="67"/>
      <c r="I133" s="14" t="str">
        <f t="shared" si="1"/>
        <v/>
      </c>
      <c r="J133" s="9" t="b">
        <v>0</v>
      </c>
      <c r="K133" s="15"/>
      <c r="L133" s="16"/>
      <c r="M133" s="68"/>
      <c r="N133" s="69"/>
      <c r="O133" s="29"/>
      <c r="P133" s="26"/>
      <c r="Q133" s="26"/>
    </row>
    <row r="134">
      <c r="A134" s="9"/>
      <c r="B134" s="66"/>
      <c r="C134" s="29"/>
      <c r="D134" s="29"/>
      <c r="E134" s="29"/>
      <c r="F134" s="29"/>
      <c r="G134" s="67"/>
      <c r="H134" s="67"/>
      <c r="I134" s="14" t="str">
        <f t="shared" si="1"/>
        <v/>
      </c>
      <c r="J134" s="9" t="b">
        <v>0</v>
      </c>
      <c r="K134" s="15"/>
      <c r="L134" s="16"/>
      <c r="M134" s="68"/>
      <c r="N134" s="69"/>
      <c r="O134" s="29"/>
      <c r="P134" s="26"/>
      <c r="Q134" s="26"/>
    </row>
    <row r="135">
      <c r="A135" s="9"/>
      <c r="B135" s="66"/>
      <c r="C135" s="29"/>
      <c r="D135" s="29"/>
      <c r="E135" s="29"/>
      <c r="F135" s="29"/>
      <c r="G135" s="67"/>
      <c r="H135" s="67"/>
      <c r="I135" s="14" t="str">
        <f t="shared" si="1"/>
        <v/>
      </c>
      <c r="J135" s="9" t="b">
        <v>0</v>
      </c>
      <c r="K135" s="15"/>
      <c r="L135" s="16"/>
      <c r="M135" s="68"/>
      <c r="N135" s="69"/>
      <c r="O135" s="29"/>
      <c r="P135" s="26"/>
      <c r="Q135" s="26"/>
    </row>
    <row r="136">
      <c r="A136" s="9"/>
      <c r="B136" s="66"/>
      <c r="C136" s="29"/>
      <c r="D136" s="29"/>
      <c r="E136" s="29"/>
      <c r="F136" s="29"/>
      <c r="G136" s="67"/>
      <c r="H136" s="67"/>
      <c r="I136" s="14" t="str">
        <f t="shared" si="1"/>
        <v/>
      </c>
      <c r="J136" s="9" t="b">
        <v>0</v>
      </c>
      <c r="K136" s="15"/>
      <c r="L136" s="16"/>
      <c r="M136" s="68"/>
      <c r="N136" s="69"/>
      <c r="O136" s="29"/>
      <c r="P136" s="26"/>
      <c r="Q136" s="26"/>
    </row>
    <row r="137">
      <c r="A137" s="9"/>
      <c r="B137" s="66"/>
      <c r="C137" s="29"/>
      <c r="D137" s="29"/>
      <c r="E137" s="29"/>
      <c r="F137" s="29"/>
      <c r="G137" s="67"/>
      <c r="H137" s="67"/>
      <c r="I137" s="14" t="str">
        <f t="shared" si="1"/>
        <v/>
      </c>
      <c r="J137" s="9" t="b">
        <v>0</v>
      </c>
      <c r="K137" s="15"/>
      <c r="L137" s="16"/>
      <c r="M137" s="68"/>
      <c r="N137" s="69"/>
      <c r="O137" s="29"/>
      <c r="P137" s="26"/>
      <c r="Q137" s="26"/>
    </row>
    <row r="138">
      <c r="A138" s="9"/>
      <c r="B138" s="66"/>
      <c r="C138" s="29"/>
      <c r="D138" s="29"/>
      <c r="E138" s="29"/>
      <c r="F138" s="29"/>
      <c r="G138" s="67"/>
      <c r="H138" s="67"/>
      <c r="I138" s="14" t="str">
        <f t="shared" si="1"/>
        <v/>
      </c>
      <c r="J138" s="9" t="b">
        <v>0</v>
      </c>
      <c r="K138" s="15"/>
      <c r="L138" s="16"/>
      <c r="M138" s="68"/>
      <c r="N138" s="69"/>
      <c r="O138" s="29"/>
      <c r="P138" s="26"/>
      <c r="Q138" s="26"/>
    </row>
    <row r="139">
      <c r="A139" s="9"/>
      <c r="B139" s="66"/>
      <c r="C139" s="29"/>
      <c r="D139" s="29"/>
      <c r="E139" s="29"/>
      <c r="F139" s="29"/>
      <c r="G139" s="67"/>
      <c r="H139" s="67"/>
      <c r="I139" s="14" t="str">
        <f t="shared" si="1"/>
        <v/>
      </c>
      <c r="J139" s="9" t="b">
        <v>0</v>
      </c>
      <c r="K139" s="15"/>
      <c r="L139" s="16"/>
      <c r="M139" s="68"/>
      <c r="N139" s="69"/>
      <c r="O139" s="29"/>
      <c r="P139" s="26"/>
      <c r="Q139" s="26"/>
    </row>
    <row r="140">
      <c r="A140" s="9"/>
      <c r="B140" s="66"/>
      <c r="C140" s="29"/>
      <c r="D140" s="29"/>
      <c r="E140" s="29"/>
      <c r="F140" s="29"/>
      <c r="G140" s="67"/>
      <c r="H140" s="67"/>
      <c r="I140" s="14" t="str">
        <f t="shared" si="1"/>
        <v/>
      </c>
      <c r="J140" s="9" t="b">
        <v>0</v>
      </c>
      <c r="K140" s="15"/>
      <c r="L140" s="16"/>
      <c r="M140" s="68"/>
      <c r="N140" s="69"/>
      <c r="O140" s="29"/>
      <c r="P140" s="26"/>
      <c r="Q140" s="26"/>
    </row>
    <row r="141">
      <c r="A141" s="9"/>
      <c r="B141" s="66"/>
      <c r="C141" s="29"/>
      <c r="D141" s="29"/>
      <c r="E141" s="29"/>
      <c r="F141" s="29"/>
      <c r="G141" s="67"/>
      <c r="H141" s="67"/>
      <c r="I141" s="14" t="str">
        <f t="shared" si="1"/>
        <v/>
      </c>
      <c r="J141" s="9" t="b">
        <v>0</v>
      </c>
      <c r="K141" s="15"/>
      <c r="L141" s="16"/>
      <c r="M141" s="68"/>
      <c r="N141" s="69"/>
      <c r="O141" s="29"/>
      <c r="P141" s="26"/>
      <c r="Q141" s="26"/>
    </row>
    <row r="142">
      <c r="A142" s="9"/>
      <c r="B142" s="66"/>
      <c r="C142" s="29"/>
      <c r="D142" s="29"/>
      <c r="E142" s="29"/>
      <c r="F142" s="29"/>
      <c r="G142" s="67"/>
      <c r="H142" s="67"/>
      <c r="I142" s="14" t="str">
        <f t="shared" si="1"/>
        <v/>
      </c>
      <c r="J142" s="9" t="b">
        <v>0</v>
      </c>
      <c r="K142" s="15"/>
      <c r="L142" s="16"/>
      <c r="M142" s="68"/>
      <c r="N142" s="69"/>
      <c r="O142" s="29"/>
      <c r="P142" s="26"/>
      <c r="Q142" s="26"/>
    </row>
    <row r="143">
      <c r="A143" s="9"/>
      <c r="B143" s="66"/>
      <c r="C143" s="29"/>
      <c r="D143" s="29"/>
      <c r="E143" s="29"/>
      <c r="F143" s="29"/>
      <c r="G143" s="67"/>
      <c r="H143" s="67"/>
      <c r="I143" s="14" t="str">
        <f t="shared" si="1"/>
        <v/>
      </c>
      <c r="J143" s="9" t="b">
        <v>0</v>
      </c>
      <c r="K143" s="15"/>
      <c r="L143" s="16"/>
      <c r="M143" s="68"/>
      <c r="N143" s="69"/>
      <c r="O143" s="29"/>
      <c r="P143" s="26"/>
      <c r="Q143" s="26"/>
    </row>
    <row r="144">
      <c r="A144" s="9"/>
      <c r="B144" s="66"/>
      <c r="C144" s="29"/>
      <c r="D144" s="29"/>
      <c r="E144" s="29"/>
      <c r="F144" s="29"/>
      <c r="G144" s="67"/>
      <c r="H144" s="67"/>
      <c r="I144" s="14" t="str">
        <f t="shared" si="1"/>
        <v/>
      </c>
      <c r="J144" s="9" t="b">
        <v>0</v>
      </c>
      <c r="K144" s="15"/>
      <c r="L144" s="16"/>
      <c r="M144" s="68"/>
      <c r="N144" s="69"/>
      <c r="O144" s="29"/>
      <c r="P144" s="26"/>
      <c r="Q144" s="26"/>
    </row>
    <row r="145">
      <c r="A145" s="9"/>
      <c r="B145" s="66"/>
      <c r="C145" s="29"/>
      <c r="D145" s="29"/>
      <c r="E145" s="29"/>
      <c r="F145" s="29"/>
      <c r="G145" s="67"/>
      <c r="H145" s="67"/>
      <c r="I145" s="14" t="str">
        <f t="shared" si="1"/>
        <v/>
      </c>
      <c r="J145" s="9" t="b">
        <v>0</v>
      </c>
      <c r="K145" s="15"/>
      <c r="L145" s="16"/>
      <c r="M145" s="68"/>
      <c r="N145" s="69"/>
      <c r="O145" s="29"/>
      <c r="P145" s="26"/>
      <c r="Q145" s="26"/>
    </row>
    <row r="146">
      <c r="A146" s="9"/>
      <c r="B146" s="66"/>
      <c r="C146" s="29"/>
      <c r="D146" s="29"/>
      <c r="E146" s="29"/>
      <c r="F146" s="29"/>
      <c r="G146" s="67"/>
      <c r="H146" s="67"/>
      <c r="I146" s="70"/>
      <c r="J146" s="9" t="b">
        <v>0</v>
      </c>
      <c r="K146" s="15"/>
      <c r="L146" s="16"/>
      <c r="M146" s="68"/>
      <c r="N146" s="69"/>
      <c r="O146" s="29"/>
      <c r="P146" s="26"/>
      <c r="Q146" s="26"/>
    </row>
    <row r="147">
      <c r="A147" s="9"/>
      <c r="B147" s="66"/>
      <c r="C147" s="29"/>
      <c r="D147" s="29"/>
      <c r="E147" s="29"/>
      <c r="F147" s="29"/>
      <c r="G147" s="67"/>
      <c r="H147" s="67"/>
      <c r="I147" s="70"/>
      <c r="J147" s="9" t="b">
        <v>0</v>
      </c>
      <c r="K147" s="15"/>
      <c r="L147" s="16"/>
      <c r="M147" s="68"/>
      <c r="N147" s="69"/>
      <c r="O147" s="29"/>
      <c r="P147" s="26"/>
      <c r="Q147" s="26"/>
    </row>
  </sheetData>
  <conditionalFormatting sqref="I1:I147">
    <cfRule type="containsBlanks" dxfId="0" priority="1">
      <formula>LEN(TRIM(I1))=0</formula>
    </cfRule>
  </conditionalFormatting>
  <dataValidations>
    <dataValidation type="list" allowBlank="1" showErrorMessage="1" sqref="A2:A147">
      <formula1>"Now,Later,Hide"</formula1>
    </dataValidation>
    <dataValidation type="list" allowBlank="1" showErrorMessage="1" sqref="L2:L147">
      <formula1>"Low,Standard,High"</formula1>
    </dataValidation>
    <dataValidation type="list" allowBlank="1" showErrorMessage="1" sqref="K2:K147">
      <formula1>"Consulting,Development,Solutions Engineering,Strategy"</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43.88"/>
    <col customWidth="1" min="3" max="3" width="50.13"/>
    <col customWidth="1" min="4" max="5" width="12.63"/>
  </cols>
  <sheetData>
    <row r="1">
      <c r="A1" s="71" t="s">
        <v>100</v>
      </c>
      <c r="B1" s="71" t="s">
        <v>101</v>
      </c>
      <c r="C1" s="71" t="s">
        <v>102</v>
      </c>
      <c r="D1" s="71" t="s">
        <v>103</v>
      </c>
      <c r="E1" s="71" t="s">
        <v>104</v>
      </c>
    </row>
    <row r="2">
      <c r="A2" s="72" t="s">
        <v>1</v>
      </c>
      <c r="B2" s="72" t="s">
        <v>69</v>
      </c>
      <c r="C2" s="73"/>
      <c r="D2" s="73"/>
      <c r="E2" s="73"/>
    </row>
    <row r="3">
      <c r="A3" s="74" t="s">
        <v>105</v>
      </c>
      <c r="B3" s="74" t="s">
        <v>70</v>
      </c>
      <c r="C3" s="74" t="s">
        <v>106</v>
      </c>
      <c r="D3" s="75">
        <v>14.0</v>
      </c>
      <c r="E3" s="75">
        <v>12.0</v>
      </c>
    </row>
    <row r="4">
      <c r="A4" s="74" t="s">
        <v>105</v>
      </c>
      <c r="B4" s="74" t="s">
        <v>74</v>
      </c>
      <c r="C4" s="74" t="s">
        <v>107</v>
      </c>
      <c r="D4" s="75">
        <v>14.0</v>
      </c>
      <c r="E4" s="75">
        <v>12.0</v>
      </c>
    </row>
    <row r="5">
      <c r="A5" s="74" t="s">
        <v>105</v>
      </c>
      <c r="B5" s="74" t="s">
        <v>78</v>
      </c>
      <c r="C5" s="74" t="s">
        <v>108</v>
      </c>
      <c r="D5" s="75">
        <v>15.0</v>
      </c>
      <c r="E5" s="75">
        <v>12.0</v>
      </c>
    </row>
    <row r="6">
      <c r="A6" s="72" t="s">
        <v>1</v>
      </c>
      <c r="B6" s="72" t="s">
        <v>17</v>
      </c>
      <c r="C6" s="73"/>
      <c r="D6" s="73"/>
      <c r="E6" s="73"/>
    </row>
    <row r="7">
      <c r="A7" s="74" t="s">
        <v>105</v>
      </c>
      <c r="B7" s="74" t="s">
        <v>109</v>
      </c>
      <c r="C7" s="74" t="s">
        <v>110</v>
      </c>
      <c r="D7" s="75">
        <v>10.0</v>
      </c>
      <c r="E7" s="75">
        <v>8.0</v>
      </c>
    </row>
    <row r="8">
      <c r="A8" s="74" t="s">
        <v>105</v>
      </c>
      <c r="B8" s="74" t="s">
        <v>111</v>
      </c>
      <c r="C8" s="74" t="s">
        <v>112</v>
      </c>
      <c r="D8" s="75">
        <v>10.0</v>
      </c>
      <c r="E8" s="75">
        <v>8.0</v>
      </c>
    </row>
    <row r="9">
      <c r="A9" s="74" t="s">
        <v>105</v>
      </c>
      <c r="B9" s="74" t="s">
        <v>113</v>
      </c>
      <c r="C9" s="74" t="s">
        <v>114</v>
      </c>
      <c r="D9" s="75">
        <v>10.0</v>
      </c>
      <c r="E9" s="75">
        <v>8.0</v>
      </c>
    </row>
    <row r="10">
      <c r="A10" s="74" t="s">
        <v>105</v>
      </c>
      <c r="B10" s="74" t="s">
        <v>115</v>
      </c>
      <c r="C10" s="74" t="s">
        <v>116</v>
      </c>
      <c r="D10" s="75">
        <v>12.0</v>
      </c>
      <c r="E10" s="75">
        <v>10.0</v>
      </c>
    </row>
    <row r="11">
      <c r="A11" s="74" t="s">
        <v>105</v>
      </c>
      <c r="B11" s="74" t="s">
        <v>117</v>
      </c>
      <c r="C11" s="74" t="s">
        <v>118</v>
      </c>
      <c r="D11" s="75">
        <v>6.0</v>
      </c>
      <c r="E11" s="75">
        <v>5.0</v>
      </c>
    </row>
    <row r="12">
      <c r="A12" s="74" t="s">
        <v>105</v>
      </c>
      <c r="B12" s="74" t="s">
        <v>119</v>
      </c>
      <c r="C12" s="74" t="s">
        <v>120</v>
      </c>
      <c r="D12" s="75">
        <v>6.0</v>
      </c>
      <c r="E12" s="75">
        <v>5.0</v>
      </c>
    </row>
    <row r="13">
      <c r="A13" s="74" t="s">
        <v>105</v>
      </c>
      <c r="B13" s="74" t="s">
        <v>121</v>
      </c>
      <c r="C13" s="74" t="s">
        <v>122</v>
      </c>
      <c r="D13" s="75">
        <v>6.0</v>
      </c>
      <c r="E13" s="75">
        <v>5.0</v>
      </c>
    </row>
    <row r="14">
      <c r="A14" s="74" t="s">
        <v>105</v>
      </c>
      <c r="B14" s="74" t="s">
        <v>47</v>
      </c>
      <c r="C14" s="74" t="s">
        <v>123</v>
      </c>
      <c r="D14" s="75">
        <v>10.0</v>
      </c>
      <c r="E14" s="75">
        <v>8.0</v>
      </c>
    </row>
    <row r="15">
      <c r="A15" s="72" t="s">
        <v>1</v>
      </c>
      <c r="B15" s="72" t="s">
        <v>95</v>
      </c>
      <c r="C15" s="73"/>
      <c r="D15" s="73"/>
      <c r="E15" s="73"/>
    </row>
    <row r="16">
      <c r="A16" s="74" t="s">
        <v>105</v>
      </c>
      <c r="B16" s="74" t="s">
        <v>95</v>
      </c>
      <c r="C16" s="74" t="s">
        <v>124</v>
      </c>
      <c r="D16" s="75">
        <v>15.0</v>
      </c>
      <c r="E16" s="75">
        <v>15.0</v>
      </c>
    </row>
    <row r="17">
      <c r="A17" s="72" t="s">
        <v>1</v>
      </c>
      <c r="B17" s="72" t="s">
        <v>82</v>
      </c>
      <c r="C17" s="73"/>
      <c r="D17" s="73"/>
      <c r="E17" s="73"/>
    </row>
    <row r="18">
      <c r="A18" s="74" t="s">
        <v>105</v>
      </c>
      <c r="B18" s="74" t="s">
        <v>83</v>
      </c>
      <c r="C18" s="74" t="s">
        <v>125</v>
      </c>
      <c r="D18" s="75">
        <v>12.0</v>
      </c>
      <c r="E18" s="75">
        <v>10.0</v>
      </c>
    </row>
    <row r="19">
      <c r="A19" s="74" t="s">
        <v>105</v>
      </c>
      <c r="B19" s="74" t="s">
        <v>87</v>
      </c>
      <c r="C19" s="74" t="s">
        <v>126</v>
      </c>
      <c r="D19" s="75">
        <v>6.0</v>
      </c>
      <c r="E19" s="75">
        <v>5.0</v>
      </c>
    </row>
    <row r="20">
      <c r="A20" s="74" t="s">
        <v>105</v>
      </c>
      <c r="B20" s="74" t="s">
        <v>91</v>
      </c>
      <c r="C20" s="74" t="s">
        <v>127</v>
      </c>
      <c r="D20" s="75">
        <v>5.0</v>
      </c>
      <c r="E20" s="75">
        <v>4.0</v>
      </c>
    </row>
    <row r="21">
      <c r="A21" s="72" t="s">
        <v>1</v>
      </c>
      <c r="B21" s="72" t="s">
        <v>52</v>
      </c>
      <c r="C21" s="73"/>
      <c r="D21" s="73"/>
      <c r="E21" s="73"/>
    </row>
    <row r="22">
      <c r="A22" s="74" t="s">
        <v>105</v>
      </c>
      <c r="B22" s="74" t="s">
        <v>53</v>
      </c>
      <c r="C22" s="74" t="s">
        <v>128</v>
      </c>
      <c r="D22" s="75">
        <v>10.0</v>
      </c>
      <c r="E22" s="75">
        <v>8.0</v>
      </c>
    </row>
    <row r="23">
      <c r="A23" s="74" t="s">
        <v>105</v>
      </c>
      <c r="B23" s="74" t="s">
        <v>57</v>
      </c>
      <c r="C23" s="74" t="s">
        <v>129</v>
      </c>
      <c r="D23" s="75">
        <v>18.0</v>
      </c>
      <c r="E23" s="75">
        <v>15.0</v>
      </c>
    </row>
    <row r="24">
      <c r="A24" s="74" t="s">
        <v>105</v>
      </c>
      <c r="B24" s="74" t="s">
        <v>61</v>
      </c>
      <c r="C24" s="74" t="s">
        <v>130</v>
      </c>
      <c r="D24" s="75">
        <v>10.0</v>
      </c>
      <c r="E24" s="75">
        <v>8.0</v>
      </c>
    </row>
    <row r="25">
      <c r="A25" s="74" t="s">
        <v>105</v>
      </c>
      <c r="B25" s="74" t="s">
        <v>65</v>
      </c>
      <c r="C25" s="74" t="s">
        <v>131</v>
      </c>
      <c r="D25" s="75">
        <v>20.0</v>
      </c>
      <c r="E25" s="75">
        <v>18.0</v>
      </c>
    </row>
    <row r="26">
      <c r="A26" s="72" t="s">
        <v>1</v>
      </c>
      <c r="B26" s="72" t="s">
        <v>132</v>
      </c>
      <c r="C26" s="73"/>
      <c r="D26" s="73"/>
      <c r="E26" s="76">
        <v>35.0</v>
      </c>
    </row>
    <row r="27">
      <c r="A27" s="74" t="s">
        <v>105</v>
      </c>
      <c r="B27" s="74" t="s">
        <v>133</v>
      </c>
    </row>
    <row r="28">
      <c r="A28" s="74" t="s">
        <v>105</v>
      </c>
      <c r="B28" s="74" t="s">
        <v>134</v>
      </c>
    </row>
    <row r="29">
      <c r="A29" s="74" t="s">
        <v>105</v>
      </c>
      <c r="B29" s="74" t="s">
        <v>135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9.0"/>
    <col customWidth="1" min="3" max="3" width="40.38"/>
    <col customWidth="1" min="4" max="4" width="20.0"/>
  </cols>
  <sheetData>
    <row r="1">
      <c r="A1" s="77" t="s">
        <v>136</v>
      </c>
      <c r="B1" s="77" t="s">
        <v>137</v>
      </c>
      <c r="C1" s="77" t="s">
        <v>138</v>
      </c>
      <c r="D1" s="77" t="s">
        <v>139</v>
      </c>
    </row>
    <row r="2">
      <c r="A2" s="78" t="s">
        <v>140</v>
      </c>
      <c r="B2" s="79"/>
      <c r="C2" s="80"/>
      <c r="D2" s="80"/>
    </row>
    <row r="3">
      <c r="A3" s="81" t="s">
        <v>141</v>
      </c>
      <c r="B3" s="82" t="s">
        <v>142</v>
      </c>
      <c r="C3" s="83" t="s">
        <v>143</v>
      </c>
      <c r="D3" s="84"/>
    </row>
    <row r="4">
      <c r="A4" s="85" t="s">
        <v>144</v>
      </c>
      <c r="B4" s="86" t="s">
        <v>145</v>
      </c>
      <c r="C4" s="87" t="s">
        <v>146</v>
      </c>
      <c r="D4" s="84"/>
    </row>
    <row r="5">
      <c r="A5" s="81" t="s">
        <v>147</v>
      </c>
      <c r="B5" s="82">
        <v>3.3928287798E10</v>
      </c>
      <c r="C5" s="88" t="s">
        <v>148</v>
      </c>
      <c r="D5" s="84"/>
    </row>
    <row r="6">
      <c r="A6" s="85" t="s">
        <v>149</v>
      </c>
      <c r="B6" s="89">
        <v>45918.28666666667</v>
      </c>
      <c r="C6" s="87" t="s">
        <v>150</v>
      </c>
      <c r="D6" s="84"/>
    </row>
    <row r="7">
      <c r="A7" s="85"/>
      <c r="B7" s="89"/>
      <c r="C7" s="87"/>
      <c r="D7" s="84"/>
    </row>
    <row r="8">
      <c r="A8" s="78" t="s">
        <v>151</v>
      </c>
      <c r="B8" s="79"/>
      <c r="C8" s="90"/>
      <c r="D8" s="80"/>
    </row>
    <row r="9">
      <c r="A9" s="91" t="s">
        <v>152</v>
      </c>
      <c r="B9" s="92" t="s">
        <v>153</v>
      </c>
      <c r="C9" s="88" t="s">
        <v>154</v>
      </c>
      <c r="D9" s="93" t="s">
        <v>155</v>
      </c>
    </row>
    <row r="10">
      <c r="A10" s="91" t="s">
        <v>156</v>
      </c>
      <c r="B10" s="94">
        <v>45917.48393519676</v>
      </c>
      <c r="C10" s="88" t="s">
        <v>157</v>
      </c>
      <c r="D10" s="84"/>
    </row>
    <row r="11">
      <c r="A11" s="91" t="s">
        <v>158</v>
      </c>
      <c r="B11" s="95" t="s">
        <v>159</v>
      </c>
      <c r="C11" s="88" t="s">
        <v>160</v>
      </c>
      <c r="D11" s="84"/>
    </row>
    <row r="12">
      <c r="A12" s="91" t="s">
        <v>161</v>
      </c>
      <c r="B12" s="96" t="s">
        <v>162</v>
      </c>
      <c r="C12" s="88" t="s">
        <v>163</v>
      </c>
      <c r="D12" s="84"/>
    </row>
    <row r="13">
      <c r="A13" s="81" t="s">
        <v>164</v>
      </c>
      <c r="B13" s="82" t="s">
        <v>165</v>
      </c>
      <c r="C13" s="83" t="s">
        <v>166</v>
      </c>
      <c r="D13" s="93"/>
    </row>
    <row r="14">
      <c r="A14" s="85" t="s">
        <v>167</v>
      </c>
      <c r="B14" s="97"/>
      <c r="C14" s="87" t="s">
        <v>168</v>
      </c>
      <c r="D14" s="98"/>
    </row>
    <row r="15">
      <c r="A15" s="85" t="s">
        <v>169</v>
      </c>
      <c r="B15" s="97"/>
      <c r="C15" s="87" t="s">
        <v>168</v>
      </c>
      <c r="D15" s="98"/>
    </row>
    <row r="16">
      <c r="A16" s="85"/>
      <c r="B16" s="99"/>
      <c r="C16" s="87"/>
      <c r="D16" s="98"/>
    </row>
    <row r="17">
      <c r="A17" s="78" t="s">
        <v>170</v>
      </c>
      <c r="B17" s="79"/>
      <c r="C17" s="90"/>
      <c r="D17" s="80"/>
    </row>
    <row r="18">
      <c r="A18" s="81" t="s">
        <v>171</v>
      </c>
      <c r="B18" s="100">
        <v>325.0</v>
      </c>
      <c r="C18" s="83" t="s">
        <v>172</v>
      </c>
      <c r="D18" s="98" t="s">
        <v>173</v>
      </c>
    </row>
    <row r="19">
      <c r="A19" s="81" t="s">
        <v>174</v>
      </c>
      <c r="B19" s="101">
        <v>0.2</v>
      </c>
      <c r="C19" s="83" t="s">
        <v>175</v>
      </c>
      <c r="D19" s="84"/>
    </row>
    <row r="20">
      <c r="A20" s="102" t="s">
        <v>176</v>
      </c>
      <c r="B20" s="103" t="s">
        <v>177</v>
      </c>
      <c r="C20" s="104" t="s">
        <v>178</v>
      </c>
      <c r="D20" s="105"/>
    </row>
    <row r="21">
      <c r="A21" s="91" t="s">
        <v>179</v>
      </c>
      <c r="B21" s="106">
        <v>45936.0</v>
      </c>
      <c r="C21" s="83" t="s">
        <v>180</v>
      </c>
      <c r="D21" s="84"/>
    </row>
    <row r="22">
      <c r="A22" s="91" t="s">
        <v>181</v>
      </c>
      <c r="B22" s="107">
        <v>2.0</v>
      </c>
      <c r="C22" s="83" t="s">
        <v>182</v>
      </c>
      <c r="D22" s="98" t="s">
        <v>183</v>
      </c>
    </row>
    <row r="23">
      <c r="A23" s="108"/>
      <c r="B23" s="109"/>
      <c r="C23" s="83"/>
      <c r="D23" s="84"/>
    </row>
    <row r="24">
      <c r="A24" s="78" t="s">
        <v>184</v>
      </c>
      <c r="B24" s="79"/>
      <c r="C24" s="90"/>
      <c r="D24" s="80"/>
    </row>
    <row r="25">
      <c r="A25" s="81" t="s">
        <v>185</v>
      </c>
      <c r="B25" s="100">
        <v>0.0</v>
      </c>
      <c r="C25" s="88" t="s">
        <v>186</v>
      </c>
      <c r="D25" s="98" t="s">
        <v>187</v>
      </c>
    </row>
    <row r="26">
      <c r="A26" s="81" t="s">
        <v>188</v>
      </c>
      <c r="B26" s="82">
        <v>0.0</v>
      </c>
      <c r="C26" s="88" t="s">
        <v>189</v>
      </c>
      <c r="D26" s="98" t="s">
        <v>190</v>
      </c>
    </row>
    <row r="27">
      <c r="A27" s="81" t="s">
        <v>191</v>
      </c>
      <c r="B27" s="82">
        <v>0.0</v>
      </c>
      <c r="C27" s="88" t="s">
        <v>192</v>
      </c>
      <c r="D27" s="98" t="s">
        <v>193</v>
      </c>
    </row>
    <row r="28">
      <c r="A28" s="102" t="s">
        <v>194</v>
      </c>
      <c r="B28" s="103" t="s">
        <v>195</v>
      </c>
      <c r="C28" s="110" t="s">
        <v>196</v>
      </c>
      <c r="D28" s="105"/>
    </row>
    <row r="29">
      <c r="A29" s="81"/>
      <c r="B29" s="111"/>
      <c r="C29" s="112"/>
      <c r="D29" s="84"/>
    </row>
    <row r="30">
      <c r="A30" s="81"/>
      <c r="B30" s="111"/>
      <c r="C30" s="113"/>
      <c r="D30" s="84"/>
    </row>
    <row r="31">
      <c r="A31" s="114" t="s">
        <v>197</v>
      </c>
      <c r="B31" s="79"/>
      <c r="C31" s="80"/>
      <c r="D31" s="80"/>
    </row>
    <row r="32">
      <c r="A32" s="115" t="s">
        <v>198</v>
      </c>
      <c r="B32" s="116" t="s">
        <v>199</v>
      </c>
      <c r="C32" s="104" t="s">
        <v>200</v>
      </c>
      <c r="D32" s="111"/>
    </row>
    <row r="33">
      <c r="A33" s="81"/>
      <c r="B33" s="111"/>
      <c r="C33" s="111"/>
      <c r="D33" s="111"/>
    </row>
  </sheetData>
  <dataValidations>
    <dataValidation type="list" allowBlank="1" showErrorMessage="1" sqref="B14:B15">
      <formula1>"Yes,No"</formula1>
    </dataValidation>
    <dataValidation type="list" allowBlank="1" showErrorMessage="1" sqref="B11">
      <formula1>"Draft,Hide Hours + Financials,Show Estimates + Ranges,Final Presentation,Archived"</formula1>
    </dataValidation>
  </dataValidations>
  <hyperlinks>
    <hyperlink r:id="rId1" ref="B4"/>
    <hyperlink r:id="rId2" ref="B9"/>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4" width="25.75"/>
  </cols>
  <sheetData>
    <row r="1">
      <c r="A1" s="77"/>
      <c r="B1" s="77"/>
      <c r="C1" s="77"/>
      <c r="D1" s="77" t="s">
        <v>139</v>
      </c>
      <c r="E1" s="117"/>
      <c r="F1" s="117"/>
      <c r="G1" s="117"/>
      <c r="H1" s="117"/>
      <c r="I1" s="117"/>
      <c r="J1" s="117"/>
      <c r="K1" s="117"/>
      <c r="L1" s="117"/>
      <c r="M1" s="117"/>
      <c r="N1" s="117"/>
      <c r="O1" s="117"/>
      <c r="P1" s="117"/>
      <c r="Q1" s="117"/>
      <c r="R1" s="117"/>
      <c r="S1" s="117"/>
      <c r="T1" s="117"/>
      <c r="U1" s="117"/>
      <c r="V1" s="117"/>
      <c r="W1" s="117"/>
      <c r="X1" s="117"/>
      <c r="Y1" s="117"/>
      <c r="Z1" s="117"/>
    </row>
    <row r="2">
      <c r="A2" s="118" t="s">
        <v>201</v>
      </c>
      <c r="B2" s="119"/>
      <c r="C2" s="120"/>
      <c r="D2" s="120"/>
      <c r="E2" s="117"/>
      <c r="F2" s="117"/>
      <c r="G2" s="117"/>
      <c r="H2" s="117"/>
      <c r="I2" s="117"/>
      <c r="J2" s="117"/>
      <c r="K2" s="117"/>
      <c r="L2" s="117"/>
      <c r="M2" s="117"/>
      <c r="N2" s="117"/>
      <c r="O2" s="117"/>
      <c r="P2" s="117"/>
      <c r="Q2" s="117"/>
      <c r="R2" s="117"/>
      <c r="S2" s="117"/>
      <c r="T2" s="117"/>
      <c r="U2" s="117"/>
      <c r="V2" s="117"/>
      <c r="W2" s="117"/>
      <c r="X2" s="117"/>
      <c r="Y2" s="117"/>
      <c r="Z2" s="117"/>
    </row>
    <row r="3">
      <c r="A3" s="91" t="s">
        <v>202</v>
      </c>
      <c r="B3" s="121">
        <f>SUMIF(Input!A:A,"Now",Input!I:I)</f>
        <v>176</v>
      </c>
      <c r="C3" s="87" t="s">
        <v>203</v>
      </c>
      <c r="D3" s="122"/>
      <c r="E3" s="117"/>
      <c r="F3" s="117"/>
      <c r="G3" s="117"/>
      <c r="H3" s="117"/>
      <c r="I3" s="117"/>
      <c r="J3" s="117"/>
      <c r="K3" s="117"/>
      <c r="L3" s="117"/>
      <c r="M3" s="117"/>
      <c r="N3" s="117"/>
      <c r="O3" s="117"/>
      <c r="P3" s="117"/>
      <c r="Q3" s="117"/>
      <c r="R3" s="117"/>
      <c r="S3" s="117"/>
      <c r="T3" s="117"/>
      <c r="U3" s="117"/>
      <c r="V3" s="117"/>
      <c r="W3" s="117"/>
      <c r="X3" s="117"/>
      <c r="Y3" s="117"/>
      <c r="Z3" s="117"/>
    </row>
    <row r="4">
      <c r="A4" s="91" t="s">
        <v>204</v>
      </c>
      <c r="B4" s="121">
        <f>round(B3*Config!B19,0)</f>
        <v>35</v>
      </c>
      <c r="C4" s="87" t="s">
        <v>205</v>
      </c>
      <c r="D4" s="123"/>
      <c r="E4" s="117"/>
      <c r="F4" s="117"/>
      <c r="G4" s="117"/>
      <c r="H4" s="117"/>
      <c r="I4" s="117"/>
      <c r="J4" s="117"/>
      <c r="K4" s="117"/>
      <c r="L4" s="117"/>
      <c r="M4" s="117"/>
      <c r="N4" s="117"/>
      <c r="O4" s="117"/>
      <c r="P4" s="117"/>
      <c r="Q4" s="117"/>
      <c r="R4" s="117"/>
      <c r="S4" s="117"/>
      <c r="T4" s="117"/>
      <c r="U4" s="117"/>
      <c r="V4" s="117"/>
      <c r="W4" s="117"/>
      <c r="X4" s="117"/>
      <c r="Y4" s="117"/>
      <c r="Z4" s="117"/>
    </row>
    <row r="5">
      <c r="A5" s="91" t="s">
        <v>206</v>
      </c>
      <c r="B5" s="121">
        <f>sum(B3:B4)</f>
        <v>211</v>
      </c>
      <c r="C5" s="87" t="s">
        <v>207</v>
      </c>
      <c r="D5" s="124" t="s">
        <v>208</v>
      </c>
      <c r="E5" s="117"/>
      <c r="F5" s="117"/>
      <c r="G5" s="117"/>
      <c r="H5" s="117"/>
      <c r="I5" s="117"/>
      <c r="J5" s="117"/>
      <c r="K5" s="117"/>
      <c r="L5" s="117"/>
      <c r="M5" s="117"/>
      <c r="N5" s="117"/>
      <c r="O5" s="117"/>
      <c r="P5" s="117"/>
      <c r="Q5" s="117"/>
      <c r="R5" s="117"/>
      <c r="S5" s="117"/>
      <c r="T5" s="117"/>
      <c r="U5" s="117"/>
      <c r="V5" s="117"/>
      <c r="W5" s="117"/>
      <c r="X5" s="117"/>
      <c r="Y5" s="117"/>
      <c r="Z5" s="117"/>
    </row>
    <row r="6">
      <c r="A6" s="91" t="s">
        <v>209</v>
      </c>
      <c r="B6" s="121">
        <f>Config!B26 * Config!B27</f>
        <v>0</v>
      </c>
      <c r="C6" s="125"/>
      <c r="D6" s="126"/>
      <c r="E6" s="117"/>
      <c r="F6" s="117"/>
      <c r="G6" s="117"/>
      <c r="H6" s="117"/>
      <c r="I6" s="117"/>
      <c r="J6" s="117"/>
      <c r="K6" s="117"/>
      <c r="L6" s="117"/>
      <c r="M6" s="117"/>
      <c r="N6" s="117"/>
      <c r="O6" s="117"/>
      <c r="P6" s="117"/>
      <c r="Q6" s="117"/>
      <c r="R6" s="117"/>
      <c r="S6" s="117"/>
      <c r="T6" s="117"/>
      <c r="U6" s="117"/>
      <c r="V6" s="117"/>
      <c r="W6" s="117"/>
      <c r="X6" s="117"/>
      <c r="Y6" s="117"/>
      <c r="Z6" s="117"/>
    </row>
    <row r="7">
      <c r="A7" s="91" t="s">
        <v>210</v>
      </c>
      <c r="B7" s="127">
        <f>sum(B5:B6)</f>
        <v>211</v>
      </c>
      <c r="C7" s="88" t="s">
        <v>211</v>
      </c>
      <c r="D7" s="124" t="s">
        <v>212</v>
      </c>
      <c r="E7" s="117"/>
      <c r="F7" s="117"/>
      <c r="G7" s="117"/>
      <c r="H7" s="117"/>
      <c r="I7" s="117"/>
      <c r="J7" s="117"/>
      <c r="K7" s="117"/>
      <c r="L7" s="117"/>
      <c r="M7" s="117"/>
      <c r="N7" s="117"/>
      <c r="O7" s="117"/>
      <c r="P7" s="117"/>
      <c r="Q7" s="117"/>
      <c r="R7" s="117"/>
      <c r="S7" s="117"/>
      <c r="T7" s="117"/>
      <c r="U7" s="117"/>
      <c r="V7" s="117"/>
      <c r="W7" s="117"/>
      <c r="X7" s="117"/>
      <c r="Y7" s="117"/>
      <c r="Z7" s="117"/>
    </row>
    <row r="8">
      <c r="A8" s="91" t="s">
        <v>213</v>
      </c>
      <c r="B8" s="128">
        <f>(B5*Config!B18)+(B6*Config!B25)</f>
        <v>68575</v>
      </c>
      <c r="C8" s="88" t="s">
        <v>211</v>
      </c>
      <c r="D8" s="124" t="s">
        <v>214</v>
      </c>
      <c r="E8" s="117"/>
      <c r="F8" s="117"/>
      <c r="G8" s="117"/>
      <c r="H8" s="117"/>
      <c r="I8" s="117"/>
      <c r="J8" s="117"/>
      <c r="K8" s="117"/>
      <c r="L8" s="117"/>
      <c r="M8" s="117"/>
      <c r="N8" s="117"/>
      <c r="O8" s="117"/>
      <c r="P8" s="117"/>
      <c r="Q8" s="117"/>
      <c r="R8" s="117"/>
      <c r="S8" s="117"/>
      <c r="T8" s="117"/>
      <c r="U8" s="117"/>
      <c r="V8" s="117"/>
      <c r="W8" s="117"/>
      <c r="X8" s="117"/>
      <c r="Y8" s="117"/>
      <c r="Z8" s="117"/>
    </row>
    <row r="9">
      <c r="A9" s="91" t="s">
        <v>215</v>
      </c>
      <c r="B9" s="129">
        <f>EDATE(Config!B21, Config!B22)</f>
        <v>45997</v>
      </c>
      <c r="C9" s="125"/>
      <c r="D9" s="126"/>
      <c r="E9" s="117"/>
      <c r="F9" s="117"/>
      <c r="G9" s="117"/>
      <c r="H9" s="117"/>
      <c r="I9" s="117"/>
      <c r="J9" s="117"/>
      <c r="K9" s="117"/>
      <c r="L9" s="117"/>
      <c r="M9" s="117"/>
      <c r="N9" s="117"/>
      <c r="O9" s="117"/>
      <c r="P9" s="117"/>
      <c r="Q9" s="117"/>
      <c r="R9" s="117"/>
      <c r="S9" s="117"/>
      <c r="T9" s="117"/>
      <c r="U9" s="117"/>
      <c r="V9" s="117"/>
      <c r="W9" s="117"/>
      <c r="X9" s="117"/>
      <c r="Y9" s="117"/>
      <c r="Z9" s="117"/>
    </row>
    <row r="10">
      <c r="A10" s="91" t="s">
        <v>216</v>
      </c>
      <c r="B10" s="121">
        <f>roundup(B3/Config!B22,0)</f>
        <v>88</v>
      </c>
      <c r="C10" s="125"/>
      <c r="D10" s="126"/>
      <c r="E10" s="117"/>
      <c r="F10" s="117"/>
      <c r="G10" s="117"/>
      <c r="H10" s="117"/>
      <c r="I10" s="117"/>
      <c r="J10" s="117"/>
      <c r="K10" s="117"/>
      <c r="L10" s="117"/>
      <c r="M10" s="117"/>
      <c r="N10" s="117"/>
      <c r="O10" s="117"/>
      <c r="P10" s="117"/>
      <c r="Q10" s="117"/>
      <c r="R10" s="117"/>
      <c r="S10" s="117"/>
      <c r="T10" s="117"/>
      <c r="U10" s="117"/>
      <c r="V10" s="117"/>
      <c r="W10" s="117"/>
      <c r="X10" s="117"/>
      <c r="Y10" s="117"/>
      <c r="Z10" s="117"/>
    </row>
    <row r="11">
      <c r="A11" s="91" t="s">
        <v>217</v>
      </c>
      <c r="B11" s="121">
        <f>roundup(B10/4.3,0)</f>
        <v>21</v>
      </c>
      <c r="C11" s="125"/>
      <c r="D11" s="126"/>
      <c r="E11" s="117"/>
      <c r="F11" s="117"/>
      <c r="G11" s="117"/>
      <c r="H11" s="117"/>
      <c r="I11" s="117"/>
      <c r="J11" s="117"/>
      <c r="K11" s="117"/>
      <c r="L11" s="117"/>
      <c r="M11" s="117"/>
      <c r="N11" s="117"/>
      <c r="O11" s="117"/>
      <c r="P11" s="117"/>
      <c r="Q11" s="117"/>
      <c r="R11" s="117"/>
      <c r="S11" s="117"/>
      <c r="T11" s="117"/>
      <c r="U11" s="117"/>
      <c r="V11" s="117"/>
      <c r="W11" s="117"/>
      <c r="X11" s="117"/>
      <c r="Y11" s="117"/>
      <c r="Z11" s="117"/>
    </row>
    <row r="12">
      <c r="A12" s="91" t="s">
        <v>218</v>
      </c>
      <c r="B12" s="121">
        <f>B11*1.2</f>
        <v>25.2</v>
      </c>
      <c r="C12" s="87"/>
      <c r="D12" s="124"/>
      <c r="E12" s="117"/>
      <c r="F12" s="117"/>
      <c r="G12" s="117"/>
      <c r="H12" s="117"/>
      <c r="I12" s="117"/>
      <c r="J12" s="117"/>
      <c r="K12" s="117"/>
      <c r="L12" s="117"/>
      <c r="M12" s="117"/>
      <c r="N12" s="117"/>
      <c r="O12" s="117"/>
      <c r="P12" s="117"/>
      <c r="Q12" s="117"/>
      <c r="R12" s="117"/>
      <c r="S12" s="117"/>
      <c r="T12" s="117"/>
      <c r="U12" s="117"/>
      <c r="V12" s="117"/>
      <c r="W12" s="117"/>
      <c r="X12" s="117"/>
      <c r="Y12" s="117"/>
      <c r="Z12" s="117"/>
    </row>
    <row r="13">
      <c r="A13" s="91" t="s">
        <v>219</v>
      </c>
      <c r="B13" s="121">
        <f>B11*0.5</f>
        <v>10.5</v>
      </c>
      <c r="C13" s="87"/>
      <c r="D13" s="124"/>
      <c r="E13" s="117"/>
      <c r="F13" s="117"/>
      <c r="G13" s="117"/>
      <c r="H13" s="117"/>
      <c r="I13" s="117"/>
      <c r="J13" s="117"/>
      <c r="K13" s="117"/>
      <c r="L13" s="117"/>
      <c r="M13" s="117"/>
      <c r="N13" s="117"/>
      <c r="O13" s="117"/>
      <c r="P13" s="117"/>
      <c r="Q13" s="117"/>
      <c r="R13" s="117"/>
      <c r="S13" s="117"/>
      <c r="T13" s="117"/>
      <c r="U13" s="117"/>
      <c r="V13" s="117"/>
      <c r="W13" s="117"/>
      <c r="X13" s="117"/>
      <c r="Y13" s="117"/>
      <c r="Z13" s="117"/>
    </row>
    <row r="14">
      <c r="A14" s="91" t="s">
        <v>220</v>
      </c>
      <c r="B14" s="130">
        <f>C21</f>
        <v>0</v>
      </c>
      <c r="C14" s="87"/>
      <c r="D14" s="124" t="s">
        <v>221</v>
      </c>
      <c r="E14" s="117"/>
      <c r="F14" s="117"/>
      <c r="G14" s="117"/>
      <c r="H14" s="117"/>
      <c r="I14" s="117"/>
      <c r="J14" s="117"/>
      <c r="K14" s="117"/>
      <c r="L14" s="117"/>
      <c r="M14" s="117"/>
      <c r="N14" s="117"/>
      <c r="O14" s="117"/>
      <c r="P14" s="117"/>
      <c r="Q14" s="117"/>
      <c r="R14" s="117"/>
      <c r="S14" s="117"/>
      <c r="T14" s="117"/>
      <c r="U14" s="117"/>
      <c r="V14" s="117"/>
      <c r="W14" s="117"/>
      <c r="X14" s="117"/>
      <c r="Y14" s="117"/>
      <c r="Z14" s="117"/>
    </row>
    <row r="15">
      <c r="A15" s="91" t="s">
        <v>222</v>
      </c>
      <c r="B15" s="130">
        <f>C23</f>
        <v>0.2085308057</v>
      </c>
      <c r="C15" s="87"/>
      <c r="D15" s="124" t="s">
        <v>223</v>
      </c>
      <c r="E15" s="117"/>
      <c r="F15" s="117"/>
      <c r="G15" s="117"/>
      <c r="H15" s="117"/>
      <c r="I15" s="117"/>
      <c r="J15" s="117"/>
      <c r="K15" s="117"/>
      <c r="L15" s="117"/>
      <c r="M15" s="117"/>
      <c r="N15" s="117"/>
      <c r="O15" s="117"/>
      <c r="P15" s="117"/>
      <c r="Q15" s="117"/>
      <c r="R15" s="117"/>
      <c r="S15" s="117"/>
      <c r="T15" s="117"/>
      <c r="U15" s="117"/>
      <c r="V15" s="117"/>
      <c r="W15" s="117"/>
      <c r="X15" s="117"/>
      <c r="Y15" s="117"/>
      <c r="Z15" s="117"/>
    </row>
    <row r="16">
      <c r="A16" s="117"/>
      <c r="B16" s="117"/>
      <c r="C16" s="125"/>
      <c r="D16" s="123"/>
      <c r="E16" s="117"/>
      <c r="F16" s="117"/>
      <c r="G16" s="117"/>
      <c r="H16" s="117"/>
      <c r="I16" s="117"/>
      <c r="J16" s="117"/>
      <c r="K16" s="117"/>
      <c r="L16" s="117"/>
      <c r="M16" s="117"/>
      <c r="N16" s="117"/>
      <c r="O16" s="117"/>
      <c r="P16" s="117"/>
      <c r="Q16" s="117"/>
      <c r="R16" s="117"/>
      <c r="S16" s="117"/>
      <c r="T16" s="117"/>
      <c r="U16" s="117"/>
      <c r="V16" s="117"/>
      <c r="W16" s="117"/>
      <c r="X16" s="117"/>
      <c r="Y16" s="117"/>
      <c r="Z16" s="117"/>
    </row>
    <row r="17">
      <c r="A17" s="117"/>
      <c r="B17" s="117"/>
      <c r="C17" s="125"/>
      <c r="D17" s="123"/>
      <c r="E17" s="117"/>
      <c r="F17" s="117"/>
      <c r="G17" s="117"/>
      <c r="H17" s="117"/>
      <c r="I17" s="117"/>
      <c r="J17" s="117"/>
      <c r="K17" s="117"/>
      <c r="L17" s="117"/>
      <c r="M17" s="117"/>
      <c r="N17" s="117"/>
      <c r="O17" s="117"/>
      <c r="P17" s="117"/>
      <c r="Q17" s="117"/>
      <c r="R17" s="117"/>
      <c r="S17" s="117"/>
      <c r="T17" s="117"/>
      <c r="U17" s="117"/>
      <c r="V17" s="117"/>
      <c r="W17" s="117"/>
      <c r="X17" s="117"/>
      <c r="Y17" s="117"/>
      <c r="Z17" s="117"/>
    </row>
    <row r="18">
      <c r="A18" s="118" t="s">
        <v>224</v>
      </c>
      <c r="B18" s="131"/>
      <c r="C18" s="131"/>
      <c r="D18" s="132"/>
      <c r="E18" s="117"/>
      <c r="F18" s="117"/>
      <c r="G18" s="117"/>
      <c r="H18" s="117"/>
      <c r="I18" s="117"/>
      <c r="J18" s="117"/>
      <c r="K18" s="117"/>
      <c r="L18" s="117"/>
      <c r="M18" s="117"/>
      <c r="N18" s="117"/>
      <c r="O18" s="117"/>
      <c r="P18" s="117"/>
      <c r="Q18" s="117"/>
      <c r="R18" s="117"/>
      <c r="S18" s="117"/>
      <c r="T18" s="117"/>
      <c r="U18" s="117"/>
      <c r="V18" s="117"/>
      <c r="W18" s="117"/>
      <c r="X18" s="117"/>
      <c r="Y18" s="117"/>
      <c r="Z18" s="117"/>
    </row>
    <row r="19">
      <c r="A19" s="133"/>
      <c r="B19" s="134" t="s">
        <v>225</v>
      </c>
      <c r="C19" s="134" t="s">
        <v>226</v>
      </c>
      <c r="D19" s="123"/>
      <c r="E19" s="117"/>
      <c r="F19" s="117"/>
      <c r="G19" s="117"/>
      <c r="H19" s="117"/>
      <c r="I19" s="117"/>
      <c r="J19" s="117"/>
      <c r="K19" s="117"/>
      <c r="L19" s="117"/>
      <c r="M19" s="117"/>
      <c r="N19" s="117"/>
      <c r="O19" s="117"/>
      <c r="P19" s="117"/>
      <c r="Q19" s="117"/>
      <c r="R19" s="117"/>
      <c r="S19" s="117"/>
      <c r="T19" s="117"/>
      <c r="U19" s="117"/>
      <c r="V19" s="117"/>
      <c r="W19" s="117"/>
      <c r="X19" s="117"/>
      <c r="Y19" s="117"/>
      <c r="Z19" s="117"/>
    </row>
    <row r="20">
      <c r="A20" s="85" t="s">
        <v>99</v>
      </c>
      <c r="B20" s="135">
        <f>SUMIFS(Input!I:I,Input!K:K,"Consulting",Input!A:A,"Now")</f>
        <v>15</v>
      </c>
      <c r="C20" s="136">
        <f>B20/B26</f>
        <v>0.07109004739</v>
      </c>
      <c r="D20" s="122"/>
      <c r="E20" s="137"/>
      <c r="F20" s="117"/>
      <c r="G20" s="117"/>
      <c r="H20" s="117"/>
      <c r="I20" s="117"/>
      <c r="J20" s="117"/>
      <c r="K20" s="117"/>
      <c r="L20" s="117"/>
      <c r="M20" s="117"/>
      <c r="N20" s="117"/>
      <c r="O20" s="117"/>
      <c r="P20" s="117"/>
      <c r="Q20" s="117"/>
      <c r="R20" s="117"/>
      <c r="S20" s="117"/>
      <c r="T20" s="117"/>
      <c r="U20" s="117"/>
      <c r="V20" s="117"/>
      <c r="W20" s="117"/>
      <c r="X20" s="117"/>
      <c r="Y20" s="117"/>
      <c r="Z20" s="117"/>
    </row>
    <row r="21">
      <c r="A21" s="85" t="s">
        <v>227</v>
      </c>
      <c r="B21" s="135">
        <f>SUMIFS(Input!I:I,Input!K:K,"Development",Input!A:A,"Now")</f>
        <v>0</v>
      </c>
      <c r="C21" s="136">
        <f>B21/B26</f>
        <v>0</v>
      </c>
      <c r="D21" s="122"/>
      <c r="E21" s="117"/>
      <c r="F21" s="117"/>
      <c r="G21" s="117"/>
      <c r="H21" s="117"/>
      <c r="I21" s="117"/>
      <c r="J21" s="117"/>
      <c r="K21" s="117"/>
      <c r="L21" s="117"/>
      <c r="M21" s="117"/>
      <c r="N21" s="117"/>
      <c r="O21" s="117"/>
      <c r="P21" s="117"/>
      <c r="Q21" s="117"/>
      <c r="R21" s="117"/>
      <c r="S21" s="117"/>
      <c r="T21" s="117"/>
      <c r="U21" s="117"/>
      <c r="V21" s="117"/>
      <c r="W21" s="117"/>
      <c r="X21" s="117"/>
      <c r="Y21" s="117"/>
      <c r="Z21" s="117"/>
    </row>
    <row r="22">
      <c r="A22" s="85" t="s">
        <v>132</v>
      </c>
      <c r="B22" s="135">
        <f>B4</f>
        <v>35</v>
      </c>
      <c r="C22" s="136">
        <f>B22/B26</f>
        <v>0.1658767773</v>
      </c>
      <c r="D22" s="122"/>
      <c r="E22" s="117"/>
      <c r="F22" s="117"/>
      <c r="G22" s="117"/>
      <c r="H22" s="117"/>
      <c r="I22" s="117"/>
      <c r="J22" s="117"/>
      <c r="K22" s="117"/>
      <c r="L22" s="117"/>
      <c r="M22" s="117"/>
      <c r="N22" s="117"/>
      <c r="O22" s="117"/>
      <c r="P22" s="117"/>
      <c r="Q22" s="117"/>
      <c r="R22" s="117"/>
      <c r="S22" s="117"/>
      <c r="T22" s="117"/>
      <c r="U22" s="117"/>
      <c r="V22" s="117"/>
      <c r="W22" s="117"/>
      <c r="X22" s="117"/>
      <c r="Y22" s="117"/>
      <c r="Z22" s="117"/>
    </row>
    <row r="23">
      <c r="A23" s="85" t="s">
        <v>51</v>
      </c>
      <c r="B23" s="135">
        <f>SUMIFS(Input!I:I,Input!K:K,"Solutions Engineering",Input!A:A,"Now")</f>
        <v>44</v>
      </c>
      <c r="C23" s="136">
        <f>B23/B26</f>
        <v>0.2085308057</v>
      </c>
      <c r="D23" s="122"/>
      <c r="E23" s="117"/>
      <c r="F23" s="117"/>
      <c r="G23" s="117"/>
      <c r="H23" s="117"/>
      <c r="I23" s="117"/>
      <c r="J23" s="117"/>
      <c r="K23" s="117"/>
      <c r="L23" s="117"/>
      <c r="M23" s="117"/>
      <c r="N23" s="117"/>
      <c r="O23" s="117"/>
      <c r="P23" s="117"/>
      <c r="Q23" s="117"/>
      <c r="R23" s="117"/>
      <c r="S23" s="117"/>
      <c r="T23" s="117"/>
      <c r="U23" s="117"/>
      <c r="V23" s="117"/>
      <c r="W23" s="117"/>
      <c r="X23" s="117"/>
      <c r="Y23" s="117"/>
      <c r="Z23" s="117"/>
    </row>
    <row r="24">
      <c r="A24" s="85" t="s">
        <v>22</v>
      </c>
      <c r="B24" s="135">
        <f>SUMIFS(Input!I:I,Input!K:K,"Strategy",Input!A:A,"Now")</f>
        <v>117</v>
      </c>
      <c r="C24" s="136">
        <f>B24/B26</f>
        <v>0.5545023697</v>
      </c>
      <c r="D24" s="122"/>
      <c r="E24" s="117"/>
      <c r="F24" s="117"/>
      <c r="G24" s="117"/>
      <c r="H24" s="117"/>
      <c r="I24" s="117"/>
      <c r="J24" s="117"/>
      <c r="K24" s="117"/>
      <c r="L24" s="117"/>
      <c r="M24" s="117"/>
      <c r="N24" s="117"/>
      <c r="O24" s="117"/>
      <c r="P24" s="117"/>
      <c r="Q24" s="117"/>
      <c r="R24" s="117"/>
      <c r="S24" s="117"/>
      <c r="T24" s="117"/>
      <c r="U24" s="117"/>
      <c r="V24" s="117"/>
      <c r="W24" s="117"/>
      <c r="X24" s="117"/>
      <c r="Y24" s="117"/>
      <c r="Z24" s="117"/>
    </row>
    <row r="25">
      <c r="A25" s="108"/>
      <c r="B25" s="135"/>
      <c r="C25" s="136"/>
      <c r="D25" s="123"/>
      <c r="E25" s="117"/>
      <c r="F25" s="117"/>
      <c r="G25" s="117"/>
      <c r="H25" s="117"/>
      <c r="I25" s="117"/>
      <c r="J25" s="117"/>
      <c r="K25" s="117"/>
      <c r="L25" s="117"/>
      <c r="M25" s="117"/>
      <c r="N25" s="117"/>
      <c r="O25" s="117"/>
      <c r="P25" s="117"/>
      <c r="Q25" s="117"/>
      <c r="R25" s="117"/>
      <c r="S25" s="117"/>
      <c r="T25" s="117"/>
      <c r="U25" s="117"/>
      <c r="V25" s="117"/>
      <c r="W25" s="117"/>
      <c r="X25" s="117"/>
      <c r="Y25" s="117"/>
      <c r="Z25" s="117"/>
    </row>
    <row r="26">
      <c r="A26" s="85" t="s">
        <v>228</v>
      </c>
      <c r="B26" s="135">
        <f t="shared" ref="B26:C26" si="1">sum(B20:B24)</f>
        <v>211</v>
      </c>
      <c r="C26" s="130">
        <f t="shared" si="1"/>
        <v>1</v>
      </c>
      <c r="D26" s="122"/>
      <c r="E26" s="117"/>
      <c r="F26" s="117"/>
      <c r="G26" s="117"/>
      <c r="H26" s="117"/>
      <c r="I26" s="117"/>
      <c r="J26" s="117"/>
      <c r="K26" s="117"/>
      <c r="L26" s="117"/>
      <c r="M26" s="117"/>
      <c r="N26" s="117"/>
      <c r="O26" s="117"/>
      <c r="P26" s="117"/>
      <c r="Q26" s="117"/>
      <c r="R26" s="117"/>
      <c r="S26" s="117"/>
      <c r="T26" s="117"/>
      <c r="U26" s="117"/>
      <c r="V26" s="117"/>
      <c r="W26" s="117"/>
      <c r="X26" s="117"/>
      <c r="Y26" s="117"/>
      <c r="Z26" s="117"/>
    </row>
    <row r="27">
      <c r="A27" s="138"/>
      <c r="B27" s="111"/>
      <c r="C27" s="111"/>
      <c r="D27" s="123"/>
      <c r="E27" s="117"/>
      <c r="F27" s="117"/>
      <c r="G27" s="117"/>
      <c r="H27" s="117"/>
      <c r="I27" s="117"/>
      <c r="J27" s="117"/>
      <c r="K27" s="117"/>
      <c r="L27" s="117"/>
      <c r="M27" s="117"/>
      <c r="N27" s="117"/>
      <c r="O27" s="117"/>
      <c r="P27" s="117"/>
      <c r="Q27" s="117"/>
      <c r="R27" s="117"/>
      <c r="S27" s="117"/>
      <c r="T27" s="117"/>
      <c r="U27" s="117"/>
      <c r="V27" s="117"/>
      <c r="W27" s="117"/>
      <c r="X27" s="117"/>
      <c r="Y27" s="117"/>
      <c r="Z27" s="117"/>
    </row>
    <row r="28">
      <c r="A28" s="138"/>
      <c r="B28" s="111"/>
      <c r="C28" s="111"/>
      <c r="D28" s="123"/>
      <c r="E28" s="117"/>
      <c r="F28" s="117"/>
      <c r="G28" s="117"/>
      <c r="H28" s="117"/>
      <c r="I28" s="117"/>
      <c r="J28" s="117"/>
      <c r="K28" s="117"/>
      <c r="L28" s="117"/>
      <c r="M28" s="117"/>
      <c r="N28" s="117"/>
      <c r="O28" s="117"/>
      <c r="P28" s="117"/>
      <c r="Q28" s="117"/>
      <c r="R28" s="117"/>
      <c r="S28" s="117"/>
      <c r="T28" s="117"/>
      <c r="U28" s="117"/>
      <c r="V28" s="117"/>
      <c r="W28" s="117"/>
      <c r="X28" s="117"/>
      <c r="Y28" s="117"/>
      <c r="Z28" s="117"/>
    </row>
    <row r="29">
      <c r="A29" s="118" t="s">
        <v>229</v>
      </c>
      <c r="B29" s="139" t="s">
        <v>230</v>
      </c>
      <c r="C29" s="140" t="s">
        <v>231</v>
      </c>
      <c r="D29" s="132"/>
      <c r="E29" s="117"/>
      <c r="F29" s="117"/>
      <c r="G29" s="117"/>
      <c r="H29" s="117"/>
      <c r="I29" s="117"/>
      <c r="J29" s="117"/>
      <c r="K29" s="117"/>
      <c r="L29" s="117"/>
      <c r="M29" s="117"/>
      <c r="N29" s="117"/>
      <c r="O29" s="117"/>
      <c r="P29" s="117"/>
      <c r="Q29" s="117"/>
      <c r="R29" s="117"/>
      <c r="S29" s="117"/>
      <c r="T29" s="117"/>
      <c r="U29" s="117"/>
      <c r="V29" s="117"/>
      <c r="W29" s="117"/>
      <c r="X29" s="117"/>
      <c r="Y29" s="117"/>
      <c r="Z29" s="117"/>
    </row>
    <row r="30">
      <c r="A30" s="85" t="s">
        <v>232</v>
      </c>
      <c r="B30" s="141">
        <f>SUMIF(Input!A:A,"Now",Input!G:G)</f>
        <v>137</v>
      </c>
      <c r="C30" s="141">
        <f>SUMIF(Input!A:A,"Now",Input!H:H)</f>
        <v>209</v>
      </c>
      <c r="D30" s="122"/>
      <c r="E30" s="117"/>
      <c r="F30" s="117"/>
      <c r="G30" s="117"/>
      <c r="H30" s="117"/>
      <c r="I30" s="117"/>
      <c r="J30" s="117"/>
      <c r="K30" s="117"/>
      <c r="L30" s="117"/>
      <c r="M30" s="117"/>
      <c r="N30" s="117"/>
      <c r="O30" s="117"/>
      <c r="P30" s="117"/>
      <c r="Q30" s="117"/>
      <c r="R30" s="117"/>
      <c r="S30" s="117"/>
      <c r="T30" s="117"/>
      <c r="U30" s="117"/>
      <c r="V30" s="117"/>
      <c r="W30" s="117"/>
      <c r="X30" s="117"/>
      <c r="Y30" s="117"/>
      <c r="Z30" s="117"/>
    </row>
    <row r="31">
      <c r="A31" s="85" t="s">
        <v>233</v>
      </c>
      <c r="B31" s="142">
        <f>round(B30*Config!B19,0)</f>
        <v>27</v>
      </c>
      <c r="C31" s="142">
        <f>round(C30*Config!B19,0)</f>
        <v>42</v>
      </c>
      <c r="D31" s="123"/>
      <c r="E31" s="117"/>
      <c r="F31" s="117"/>
      <c r="G31" s="117"/>
      <c r="H31" s="117"/>
      <c r="I31" s="117"/>
      <c r="J31" s="117"/>
      <c r="K31" s="117"/>
      <c r="L31" s="117"/>
      <c r="M31" s="117"/>
      <c r="N31" s="117"/>
      <c r="O31" s="117"/>
      <c r="P31" s="117"/>
      <c r="Q31" s="117"/>
      <c r="R31" s="117"/>
      <c r="S31" s="117"/>
      <c r="T31" s="117"/>
      <c r="U31" s="117"/>
      <c r="V31" s="117"/>
      <c r="W31" s="117"/>
      <c r="X31" s="117"/>
      <c r="Y31" s="117"/>
      <c r="Z31" s="117"/>
    </row>
    <row r="32">
      <c r="A32" s="85" t="s">
        <v>234</v>
      </c>
      <c r="B32" s="141">
        <f>B6</f>
        <v>0</v>
      </c>
      <c r="C32" s="141">
        <f>B6</f>
        <v>0</v>
      </c>
      <c r="D32" s="123"/>
      <c r="E32" s="117"/>
      <c r="F32" s="117"/>
      <c r="G32" s="117"/>
      <c r="H32" s="117"/>
      <c r="I32" s="117"/>
      <c r="J32" s="117"/>
      <c r="K32" s="117"/>
      <c r="L32" s="117"/>
      <c r="M32" s="117"/>
      <c r="N32" s="117"/>
      <c r="O32" s="117"/>
      <c r="P32" s="117"/>
      <c r="Q32" s="117"/>
      <c r="R32" s="117"/>
      <c r="S32" s="117"/>
      <c r="T32" s="117"/>
      <c r="U32" s="117"/>
      <c r="V32" s="117"/>
      <c r="W32" s="117"/>
      <c r="X32" s="117"/>
      <c r="Y32" s="117"/>
      <c r="Z32" s="117"/>
    </row>
    <row r="33">
      <c r="A33" s="85" t="s">
        <v>235</v>
      </c>
      <c r="B33" s="141">
        <f t="shared" ref="B33:C33" si="2">SUM(B30:B32)</f>
        <v>164</v>
      </c>
      <c r="C33" s="121">
        <f t="shared" si="2"/>
        <v>251</v>
      </c>
      <c r="D33" s="143"/>
      <c r="E33" s="117"/>
      <c r="F33" s="117"/>
      <c r="G33" s="117"/>
      <c r="H33" s="117"/>
      <c r="I33" s="117"/>
      <c r="J33" s="117"/>
      <c r="K33" s="117"/>
      <c r="L33" s="117"/>
      <c r="M33" s="117"/>
      <c r="N33" s="117"/>
      <c r="O33" s="117"/>
      <c r="P33" s="117"/>
      <c r="Q33" s="117"/>
      <c r="R33" s="117"/>
      <c r="S33" s="117"/>
      <c r="T33" s="117"/>
      <c r="U33" s="117"/>
      <c r="V33" s="117"/>
      <c r="W33" s="117"/>
      <c r="X33" s="117"/>
      <c r="Y33" s="117"/>
      <c r="Z33" s="117"/>
    </row>
    <row r="34">
      <c r="A34" s="85" t="s">
        <v>236</v>
      </c>
      <c r="B34" s="144">
        <f>(sum(B30:B31)*Config!B18)+(B32*Config!B25)</f>
        <v>53300</v>
      </c>
      <c r="C34" s="144">
        <f>(sum(C30:C31)*Config!B18)+(C32*Config!B25)</f>
        <v>81575</v>
      </c>
      <c r="D34" s="123"/>
      <c r="E34" s="117"/>
      <c r="F34" s="117"/>
      <c r="G34" s="117"/>
      <c r="H34" s="117"/>
      <c r="I34" s="117"/>
      <c r="J34" s="117"/>
      <c r="K34" s="117"/>
      <c r="L34" s="117"/>
      <c r="M34" s="117"/>
      <c r="N34" s="117"/>
      <c r="O34" s="117"/>
      <c r="P34" s="117"/>
      <c r="Q34" s="117"/>
      <c r="R34" s="117"/>
      <c r="S34" s="117"/>
      <c r="T34" s="117"/>
      <c r="U34" s="117"/>
      <c r="V34" s="117"/>
      <c r="W34" s="117"/>
      <c r="X34" s="117"/>
      <c r="Y34" s="117"/>
      <c r="Z34" s="117"/>
    </row>
    <row r="35">
      <c r="A35" s="117"/>
      <c r="B35" s="117"/>
      <c r="C35" s="117"/>
      <c r="D35" s="123"/>
      <c r="E35" s="117"/>
      <c r="F35" s="117"/>
      <c r="G35" s="117"/>
      <c r="H35" s="117"/>
      <c r="I35" s="117"/>
      <c r="J35" s="117"/>
      <c r="K35" s="117"/>
      <c r="L35" s="117"/>
      <c r="M35" s="117"/>
      <c r="N35" s="117"/>
      <c r="O35" s="117"/>
      <c r="P35" s="117"/>
      <c r="Q35" s="117"/>
      <c r="R35" s="117"/>
      <c r="S35" s="117"/>
      <c r="T35" s="117"/>
      <c r="U35" s="117"/>
      <c r="V35" s="117"/>
      <c r="W35" s="117"/>
      <c r="X35" s="117"/>
      <c r="Y35" s="117"/>
      <c r="Z35" s="117"/>
    </row>
    <row r="36">
      <c r="A36" s="118" t="s">
        <v>237</v>
      </c>
      <c r="B36" s="145"/>
      <c r="C36" s="131"/>
      <c r="D36" s="132"/>
      <c r="E36" s="117"/>
      <c r="F36" s="117"/>
      <c r="G36" s="117"/>
      <c r="H36" s="117"/>
      <c r="I36" s="117"/>
      <c r="J36" s="117"/>
      <c r="K36" s="117"/>
      <c r="L36" s="117"/>
      <c r="M36" s="117"/>
      <c r="N36" s="117"/>
      <c r="O36" s="117"/>
      <c r="P36" s="117"/>
      <c r="Q36" s="117"/>
      <c r="R36" s="117"/>
      <c r="S36" s="117"/>
      <c r="T36" s="117"/>
      <c r="U36" s="117"/>
      <c r="V36" s="117"/>
      <c r="W36" s="117"/>
      <c r="X36" s="117"/>
      <c r="Y36" s="117"/>
      <c r="Z36" s="117"/>
    </row>
    <row r="37">
      <c r="A37" s="146" t="str">
        <f>IFERROR(__xludf.DUMMYFUNCTION("VSTACK(
  QUERY(Input!A:I,""SELECT B, SUM(I), SUM(I)*""&amp;Config!B18&amp;"" WHERE B IS NOT NULL AND A = 'Now' GROUP BY B LABEL B 'Workstream', SUM(I) 'Total Hours', SUM(I)*""&amp;Config!B18&amp;"" 'Total Investment'"",1),
  {""Project Management"", ROUND(SUMPRODUCT(QUE"&amp;"RY(Input!A:I,""SELECT SUM(I) WHERE B IS NOT NULL AND A = 'Now' GROUP BY B LABEL SUM(I) ''"",0))*Config!B19,0), ROUND(SUMPRODUCT(QUERY(Input!A:I,""SELECT SUM(I) WHERE B IS NOT NULL AND A = 'Now' GROUP BY B LABEL SUM(I) ''"",0))*Config!B19,0)*Config!B18},
 "&amp;" {""Post-Launch Support"", Config!B26*Config!B27, Config!B26*Config!B27*Config!B25}
)"),"Workstream")</f>
        <v>Workstream</v>
      </c>
      <c r="B37" s="147" t="str">
        <f>IFERROR(__xludf.DUMMYFUNCTION("""COMPUTED_VALUE"""),"Total Hours")</f>
        <v>Total Hours</v>
      </c>
      <c r="C37" s="148" t="str">
        <f>IFERROR(__xludf.DUMMYFUNCTION("""COMPUTED_VALUE"""),"Total Investment")</f>
        <v>Total Investment</v>
      </c>
      <c r="D37" s="122"/>
      <c r="E37" s="117"/>
      <c r="F37" s="117"/>
      <c r="G37" s="117"/>
      <c r="H37" s="117"/>
      <c r="I37" s="117"/>
      <c r="J37" s="117"/>
      <c r="K37" s="117"/>
      <c r="L37" s="117"/>
      <c r="M37" s="117"/>
      <c r="N37" s="117"/>
      <c r="O37" s="117"/>
      <c r="P37" s="117"/>
      <c r="Q37" s="117"/>
      <c r="R37" s="117"/>
      <c r="S37" s="117"/>
      <c r="T37" s="117"/>
      <c r="U37" s="117"/>
      <c r="V37" s="117"/>
      <c r="W37" s="117"/>
      <c r="X37" s="117"/>
      <c r="Y37" s="117"/>
      <c r="Z37" s="117"/>
    </row>
    <row r="38">
      <c r="A38" s="111" t="str">
        <f>IFERROR(__xludf.DUMMYFUNCTION("""COMPUTED_VALUE"""),"Custom Integration Strategy + Technology Planning")</f>
        <v>Custom Integration Strategy + Technology Planning</v>
      </c>
      <c r="B38" s="149">
        <f>IFERROR(__xludf.DUMMYFUNCTION("""COMPUTED_VALUE"""),36.0)</f>
        <v>36</v>
      </c>
      <c r="C38" s="150">
        <f>IFERROR(__xludf.DUMMYFUNCTION("""COMPUTED_VALUE"""),11700.0)</f>
        <v>11700</v>
      </c>
      <c r="D38" s="123"/>
      <c r="E38" s="117"/>
      <c r="F38" s="117"/>
      <c r="G38" s="117"/>
      <c r="H38" s="117"/>
      <c r="I38" s="117"/>
      <c r="J38" s="117"/>
      <c r="K38" s="117"/>
      <c r="L38" s="117"/>
      <c r="M38" s="117"/>
      <c r="N38" s="117"/>
      <c r="O38" s="117"/>
      <c r="P38" s="117"/>
      <c r="Q38" s="117"/>
      <c r="R38" s="117"/>
      <c r="S38" s="117"/>
      <c r="T38" s="117"/>
      <c r="U38" s="117"/>
      <c r="V38" s="117"/>
      <c r="W38" s="117"/>
      <c r="X38" s="117"/>
      <c r="Y38" s="117"/>
      <c r="Z38" s="117"/>
    </row>
    <row r="39">
      <c r="A39" s="111" t="str">
        <f>IFERROR(__xludf.DUMMYFUNCTION("""COMPUTED_VALUE"""),"Discovery Interviews + Workshops")</f>
        <v>Discovery Interviews + Workshops</v>
      </c>
      <c r="B39" s="149">
        <f>IFERROR(__xludf.DUMMYFUNCTION("""COMPUTED_VALUE"""),57.0)</f>
        <v>57</v>
      </c>
      <c r="C39" s="150">
        <f>IFERROR(__xludf.DUMMYFUNCTION("""COMPUTED_VALUE"""),18525.0)</f>
        <v>18525</v>
      </c>
      <c r="D39" s="123"/>
      <c r="E39" s="117"/>
      <c r="F39" s="117"/>
      <c r="G39" s="117"/>
      <c r="H39" s="117"/>
      <c r="I39" s="117"/>
      <c r="J39" s="117"/>
      <c r="K39" s="117"/>
      <c r="L39" s="117"/>
      <c r="M39" s="117"/>
      <c r="N39" s="117"/>
      <c r="O39" s="117"/>
      <c r="P39" s="117"/>
      <c r="Q39" s="117"/>
      <c r="R39" s="117"/>
      <c r="S39" s="117"/>
      <c r="T39" s="117"/>
      <c r="U39" s="117"/>
      <c r="V39" s="117"/>
      <c r="W39" s="117"/>
      <c r="X39" s="117"/>
      <c r="Y39" s="117"/>
      <c r="Z39" s="117"/>
    </row>
    <row r="40">
      <c r="A40" s="117" t="str">
        <f>IFERROR(__xludf.DUMMYFUNCTION("""COMPUTED_VALUE"""),"Flex Hours")</f>
        <v>Flex Hours</v>
      </c>
      <c r="B40" s="121">
        <f>IFERROR(__xludf.DUMMYFUNCTION("""COMPUTED_VALUE"""),15.0)</f>
        <v>15</v>
      </c>
      <c r="C40" s="151">
        <f>IFERROR(__xludf.DUMMYFUNCTION("""COMPUTED_VALUE"""),4875.0)</f>
        <v>4875</v>
      </c>
      <c r="D40" s="123"/>
      <c r="E40" s="117"/>
      <c r="F40" s="117"/>
      <c r="G40" s="117"/>
      <c r="H40" s="117"/>
      <c r="I40" s="117"/>
      <c r="J40" s="117"/>
      <c r="K40" s="117"/>
      <c r="L40" s="117"/>
      <c r="M40" s="117"/>
      <c r="N40" s="117"/>
      <c r="O40" s="117"/>
      <c r="P40" s="117"/>
      <c r="Q40" s="117"/>
      <c r="R40" s="117"/>
      <c r="S40" s="117"/>
      <c r="T40" s="117"/>
      <c r="U40" s="117"/>
      <c r="V40" s="117"/>
      <c r="W40" s="117"/>
      <c r="X40" s="117"/>
      <c r="Y40" s="117"/>
      <c r="Z40" s="117"/>
    </row>
    <row r="41">
      <c r="A41" s="117" t="str">
        <f>IFERROR(__xludf.DUMMYFUNCTION("""COMPUTED_VALUE"""),"Phase 1 Implementation Planning")</f>
        <v>Phase 1 Implementation Planning</v>
      </c>
      <c r="B41" s="121">
        <f>IFERROR(__xludf.DUMMYFUNCTION("""COMPUTED_VALUE"""),19.0)</f>
        <v>19</v>
      </c>
      <c r="C41" s="151">
        <f>IFERROR(__xludf.DUMMYFUNCTION("""COMPUTED_VALUE"""),6175.0)</f>
        <v>6175</v>
      </c>
      <c r="D41" s="123"/>
      <c r="E41" s="117"/>
      <c r="F41" s="117"/>
      <c r="G41" s="117"/>
      <c r="H41" s="117"/>
      <c r="I41" s="117"/>
      <c r="J41" s="117"/>
      <c r="K41" s="117"/>
      <c r="L41" s="117"/>
      <c r="M41" s="117"/>
      <c r="N41" s="117"/>
      <c r="O41" s="117"/>
      <c r="P41" s="117"/>
      <c r="Q41" s="117"/>
      <c r="R41" s="117"/>
      <c r="S41" s="117"/>
      <c r="T41" s="117"/>
      <c r="U41" s="117"/>
      <c r="V41" s="117"/>
      <c r="W41" s="117"/>
      <c r="X41" s="117"/>
      <c r="Y41" s="117"/>
      <c r="Z41" s="117"/>
    </row>
    <row r="42">
      <c r="A42" s="117" t="str">
        <f>IFERROR(__xludf.DUMMYFUNCTION("""COMPUTED_VALUE"""),"Strategy Development + Design")</f>
        <v>Strategy Development + Design</v>
      </c>
      <c r="B42" s="121">
        <f>IFERROR(__xludf.DUMMYFUNCTION("""COMPUTED_VALUE"""),49.0)</f>
        <v>49</v>
      </c>
      <c r="C42" s="151">
        <f>IFERROR(__xludf.DUMMYFUNCTION("""COMPUTED_VALUE"""),15925.0)</f>
        <v>15925</v>
      </c>
      <c r="D42" s="123"/>
      <c r="E42" s="117"/>
      <c r="F42" s="117"/>
      <c r="G42" s="117"/>
      <c r="H42" s="117"/>
      <c r="I42" s="117"/>
      <c r="J42" s="117"/>
      <c r="K42" s="117"/>
      <c r="L42" s="117"/>
      <c r="M42" s="117"/>
      <c r="N42" s="117"/>
      <c r="O42" s="117"/>
      <c r="P42" s="117"/>
      <c r="Q42" s="117"/>
      <c r="R42" s="117"/>
      <c r="S42" s="117"/>
      <c r="T42" s="117"/>
      <c r="U42" s="117"/>
      <c r="V42" s="117"/>
      <c r="W42" s="117"/>
      <c r="X42" s="117"/>
      <c r="Y42" s="117"/>
      <c r="Z42" s="117"/>
    </row>
    <row r="43">
      <c r="A43" s="117" t="str">
        <f>IFERROR(__xludf.DUMMYFUNCTION("""COMPUTED_VALUE"""),"Project Management")</f>
        <v>Project Management</v>
      </c>
      <c r="B43" s="121">
        <f>IFERROR(__xludf.DUMMYFUNCTION("""COMPUTED_VALUE"""),35.0)</f>
        <v>35</v>
      </c>
      <c r="C43" s="151">
        <f>IFERROR(__xludf.DUMMYFUNCTION("""COMPUTED_VALUE"""),11375.0)</f>
        <v>11375</v>
      </c>
      <c r="D43" s="123"/>
      <c r="E43" s="117"/>
      <c r="F43" s="117"/>
      <c r="G43" s="117"/>
      <c r="H43" s="117"/>
      <c r="I43" s="117"/>
      <c r="J43" s="117"/>
      <c r="K43" s="117"/>
      <c r="L43" s="117"/>
      <c r="M43" s="117"/>
      <c r="N43" s="117"/>
      <c r="O43" s="117"/>
      <c r="P43" s="117"/>
      <c r="Q43" s="117"/>
      <c r="R43" s="117"/>
      <c r="S43" s="117"/>
      <c r="T43" s="117"/>
      <c r="U43" s="117"/>
      <c r="V43" s="117"/>
      <c r="W43" s="117"/>
      <c r="X43" s="117"/>
      <c r="Y43" s="117"/>
      <c r="Z43" s="117"/>
    </row>
    <row r="44">
      <c r="A44" s="117" t="str">
        <f>IFERROR(__xludf.DUMMYFUNCTION("""COMPUTED_VALUE"""),"Post-Launch Support")</f>
        <v>Post-Launch Support</v>
      </c>
      <c r="B44" s="121">
        <f>IFERROR(__xludf.DUMMYFUNCTION("""COMPUTED_VALUE"""),0.0)</f>
        <v>0</v>
      </c>
      <c r="C44" s="151">
        <f>IFERROR(__xludf.DUMMYFUNCTION("""COMPUTED_VALUE"""),0.0)</f>
        <v>0</v>
      </c>
      <c r="D44" s="123"/>
      <c r="E44" s="117"/>
      <c r="F44" s="117"/>
      <c r="G44" s="117"/>
      <c r="H44" s="117"/>
      <c r="I44" s="117"/>
      <c r="J44" s="117"/>
      <c r="K44" s="117"/>
      <c r="L44" s="117"/>
      <c r="M44" s="117"/>
      <c r="N44" s="117"/>
      <c r="O44" s="117"/>
      <c r="P44" s="117"/>
      <c r="Q44" s="117"/>
      <c r="R44" s="117"/>
      <c r="S44" s="117"/>
      <c r="T44" s="117"/>
      <c r="U44" s="117"/>
      <c r="V44" s="117"/>
      <c r="W44" s="117"/>
      <c r="X44" s="117"/>
      <c r="Y44" s="117"/>
      <c r="Z44" s="117"/>
    </row>
    <row r="45">
      <c r="A45" s="117"/>
      <c r="B45" s="121"/>
      <c r="C45" s="151"/>
      <c r="D45" s="123"/>
      <c r="E45" s="117"/>
      <c r="F45" s="117"/>
      <c r="G45" s="117"/>
      <c r="H45" s="117"/>
      <c r="I45" s="117"/>
      <c r="J45" s="117"/>
      <c r="K45" s="117"/>
      <c r="L45" s="117"/>
      <c r="M45" s="117"/>
      <c r="N45" s="117"/>
      <c r="O45" s="117"/>
      <c r="P45" s="117"/>
      <c r="Q45" s="117"/>
      <c r="R45" s="117"/>
      <c r="S45" s="117"/>
      <c r="T45" s="117"/>
      <c r="U45" s="117"/>
      <c r="V45" s="117"/>
      <c r="W45" s="117"/>
      <c r="X45" s="117"/>
      <c r="Y45" s="117"/>
      <c r="Z45" s="117"/>
    </row>
    <row r="46">
      <c r="A46" s="117"/>
      <c r="B46" s="121"/>
      <c r="C46" s="151"/>
      <c r="D46" s="123"/>
      <c r="E46" s="117"/>
      <c r="F46" s="117"/>
      <c r="G46" s="117"/>
      <c r="H46" s="117"/>
      <c r="I46" s="117"/>
      <c r="J46" s="117"/>
      <c r="K46" s="117"/>
      <c r="L46" s="117"/>
      <c r="M46" s="117"/>
      <c r="N46" s="117"/>
      <c r="O46" s="117"/>
      <c r="P46" s="117"/>
      <c r="Q46" s="117"/>
      <c r="R46" s="117"/>
      <c r="S46" s="117"/>
      <c r="T46" s="117"/>
      <c r="U46" s="117"/>
      <c r="V46" s="117"/>
      <c r="W46" s="117"/>
      <c r="X46" s="117"/>
      <c r="Y46" s="117"/>
      <c r="Z46" s="117"/>
    </row>
    <row r="47">
      <c r="A47" s="117"/>
      <c r="B47" s="121"/>
      <c r="C47" s="151"/>
      <c r="D47" s="123"/>
      <c r="E47" s="117"/>
      <c r="F47" s="117"/>
      <c r="G47" s="117"/>
      <c r="H47" s="117"/>
      <c r="I47" s="117"/>
      <c r="J47" s="117"/>
      <c r="K47" s="117"/>
      <c r="L47" s="117"/>
      <c r="M47" s="117"/>
      <c r="N47" s="117"/>
      <c r="O47" s="117"/>
      <c r="P47" s="117"/>
      <c r="Q47" s="117"/>
      <c r="R47" s="117"/>
      <c r="S47" s="117"/>
      <c r="T47" s="117"/>
      <c r="U47" s="117"/>
      <c r="V47" s="117"/>
      <c r="W47" s="117"/>
      <c r="X47" s="117"/>
      <c r="Y47" s="117"/>
      <c r="Z47" s="117"/>
    </row>
    <row r="48">
      <c r="A48" s="117"/>
      <c r="B48" s="121"/>
      <c r="C48" s="151"/>
      <c r="D48" s="123"/>
      <c r="E48" s="117"/>
      <c r="F48" s="117"/>
      <c r="G48" s="117"/>
      <c r="H48" s="117"/>
      <c r="I48" s="117"/>
      <c r="J48" s="117"/>
      <c r="K48" s="117"/>
      <c r="L48" s="117"/>
      <c r="M48" s="117"/>
      <c r="N48" s="117"/>
      <c r="O48" s="117"/>
      <c r="P48" s="117"/>
      <c r="Q48" s="117"/>
      <c r="R48" s="117"/>
      <c r="S48" s="117"/>
      <c r="T48" s="117"/>
      <c r="U48" s="117"/>
      <c r="V48" s="117"/>
      <c r="W48" s="117"/>
      <c r="X48" s="117"/>
      <c r="Y48" s="117"/>
      <c r="Z48" s="117"/>
    </row>
    <row r="49">
      <c r="A49" s="117"/>
      <c r="B49" s="121"/>
      <c r="C49" s="151"/>
      <c r="D49" s="123"/>
      <c r="E49" s="117"/>
      <c r="F49" s="117"/>
      <c r="G49" s="117"/>
      <c r="H49" s="117"/>
      <c r="I49" s="117"/>
      <c r="J49" s="117"/>
      <c r="K49" s="117"/>
      <c r="L49" s="117"/>
      <c r="M49" s="117"/>
      <c r="N49" s="117"/>
      <c r="O49" s="117"/>
      <c r="P49" s="117"/>
      <c r="Q49" s="117"/>
      <c r="R49" s="117"/>
      <c r="S49" s="117"/>
      <c r="T49" s="117"/>
      <c r="U49" s="117"/>
      <c r="V49" s="117"/>
      <c r="W49" s="117"/>
      <c r="X49" s="117"/>
      <c r="Y49" s="117"/>
      <c r="Z49" s="117"/>
    </row>
    <row r="50">
      <c r="A50" s="117"/>
      <c r="B50" s="121"/>
      <c r="C50" s="151"/>
      <c r="D50" s="123"/>
      <c r="E50" s="117"/>
      <c r="F50" s="117"/>
      <c r="G50" s="117"/>
      <c r="H50" s="117"/>
      <c r="I50" s="117"/>
      <c r="J50" s="117"/>
      <c r="K50" s="117"/>
      <c r="L50" s="117"/>
      <c r="M50" s="117"/>
      <c r="N50" s="117"/>
      <c r="O50" s="117"/>
      <c r="P50" s="117"/>
      <c r="Q50" s="117"/>
      <c r="R50" s="117"/>
      <c r="S50" s="117"/>
      <c r="T50" s="117"/>
      <c r="U50" s="117"/>
      <c r="V50" s="117"/>
      <c r="W50" s="117"/>
      <c r="X50" s="117"/>
      <c r="Y50" s="117"/>
      <c r="Z50" s="117"/>
    </row>
    <row r="51">
      <c r="A51" s="117"/>
      <c r="B51" s="121"/>
      <c r="C51" s="151"/>
      <c r="D51" s="123"/>
      <c r="E51" s="117"/>
      <c r="F51" s="117"/>
      <c r="G51" s="117"/>
      <c r="H51" s="117"/>
      <c r="I51" s="117"/>
      <c r="J51" s="117"/>
      <c r="K51" s="117"/>
      <c r="L51" s="117"/>
      <c r="M51" s="117"/>
      <c r="N51" s="117"/>
      <c r="O51" s="117"/>
      <c r="P51" s="117"/>
      <c r="Q51" s="117"/>
      <c r="R51" s="117"/>
      <c r="S51" s="117"/>
      <c r="T51" s="117"/>
      <c r="U51" s="117"/>
      <c r="V51" s="117"/>
      <c r="W51" s="117"/>
      <c r="X51" s="117"/>
      <c r="Y51" s="117"/>
      <c r="Z51" s="117"/>
    </row>
    <row r="52">
      <c r="A52" s="117"/>
      <c r="B52" s="121"/>
      <c r="C52" s="151"/>
      <c r="D52" s="123"/>
      <c r="E52" s="117"/>
      <c r="F52" s="117"/>
      <c r="G52" s="117"/>
      <c r="H52" s="117"/>
      <c r="I52" s="117"/>
      <c r="J52" s="117"/>
      <c r="K52" s="117"/>
      <c r="L52" s="117"/>
      <c r="M52" s="117"/>
      <c r="N52" s="117"/>
      <c r="O52" s="117"/>
      <c r="P52" s="117"/>
      <c r="Q52" s="117"/>
      <c r="R52" s="117"/>
      <c r="S52" s="117"/>
      <c r="T52" s="117"/>
      <c r="U52" s="117"/>
      <c r="V52" s="117"/>
      <c r="W52" s="117"/>
      <c r="X52" s="117"/>
      <c r="Y52" s="117"/>
      <c r="Z52" s="117"/>
    </row>
    <row r="53">
      <c r="A53" s="117"/>
      <c r="B53" s="121"/>
      <c r="C53" s="151"/>
      <c r="D53" s="123"/>
      <c r="E53" s="117"/>
      <c r="F53" s="117"/>
      <c r="G53" s="117"/>
      <c r="H53" s="117"/>
      <c r="I53" s="117"/>
      <c r="J53" s="117"/>
      <c r="K53" s="117"/>
      <c r="L53" s="117"/>
      <c r="M53" s="117"/>
      <c r="N53" s="117"/>
      <c r="O53" s="117"/>
      <c r="P53" s="117"/>
      <c r="Q53" s="117"/>
      <c r="R53" s="117"/>
      <c r="S53" s="117"/>
      <c r="T53" s="117"/>
      <c r="U53" s="117"/>
      <c r="V53" s="117"/>
      <c r="W53" s="117"/>
      <c r="X53" s="117"/>
      <c r="Y53" s="117"/>
      <c r="Z53" s="117"/>
    </row>
    <row r="54">
      <c r="A54" s="117"/>
      <c r="B54" s="121"/>
      <c r="C54" s="151"/>
      <c r="D54" s="123"/>
      <c r="E54" s="117"/>
      <c r="F54" s="117"/>
      <c r="G54" s="117"/>
      <c r="H54" s="117"/>
      <c r="I54" s="117"/>
      <c r="J54" s="117"/>
      <c r="K54" s="117"/>
      <c r="L54" s="117"/>
      <c r="M54" s="117"/>
      <c r="N54" s="117"/>
      <c r="O54" s="117"/>
      <c r="P54" s="117"/>
      <c r="Q54" s="117"/>
      <c r="R54" s="117"/>
      <c r="S54" s="117"/>
      <c r="T54" s="117"/>
      <c r="U54" s="117"/>
      <c r="V54" s="117"/>
      <c r="W54" s="117"/>
      <c r="X54" s="117"/>
      <c r="Y54" s="117"/>
      <c r="Z54" s="117"/>
    </row>
    <row r="55">
      <c r="A55" s="117"/>
      <c r="B55" s="121"/>
      <c r="C55" s="151"/>
      <c r="D55" s="123"/>
      <c r="E55" s="117"/>
      <c r="F55" s="117"/>
      <c r="G55" s="117"/>
      <c r="H55" s="117"/>
      <c r="I55" s="117"/>
      <c r="J55" s="117"/>
      <c r="K55" s="117"/>
      <c r="L55" s="117"/>
      <c r="M55" s="117"/>
      <c r="N55" s="117"/>
      <c r="O55" s="117"/>
      <c r="P55" s="117"/>
      <c r="Q55" s="117"/>
      <c r="R55" s="117"/>
      <c r="S55" s="117"/>
      <c r="T55" s="117"/>
      <c r="U55" s="117"/>
      <c r="V55" s="117"/>
      <c r="W55" s="117"/>
      <c r="X55" s="117"/>
      <c r="Y55" s="117"/>
      <c r="Z55" s="117"/>
    </row>
    <row r="56">
      <c r="A56" s="117"/>
      <c r="B56" s="121"/>
      <c r="C56" s="151"/>
      <c r="D56" s="123"/>
      <c r="E56" s="117"/>
      <c r="F56" s="117"/>
      <c r="G56" s="117"/>
      <c r="H56" s="117"/>
      <c r="I56" s="117"/>
      <c r="J56" s="117"/>
      <c r="K56" s="117"/>
      <c r="L56" s="117"/>
      <c r="M56" s="117"/>
      <c r="N56" s="117"/>
      <c r="O56" s="117"/>
      <c r="P56" s="117"/>
      <c r="Q56" s="117"/>
      <c r="R56" s="117"/>
      <c r="S56" s="117"/>
      <c r="T56" s="117"/>
      <c r="U56" s="117"/>
      <c r="V56" s="117"/>
      <c r="W56" s="117"/>
      <c r="X56" s="117"/>
      <c r="Y56" s="117"/>
      <c r="Z56" s="117"/>
    </row>
    <row r="57">
      <c r="A57" s="117"/>
      <c r="B57" s="121"/>
      <c r="C57" s="151"/>
      <c r="D57" s="123"/>
      <c r="E57" s="117"/>
      <c r="F57" s="117"/>
      <c r="G57" s="117"/>
      <c r="H57" s="117"/>
      <c r="I57" s="117"/>
      <c r="J57" s="117"/>
      <c r="K57" s="117"/>
      <c r="L57" s="117"/>
      <c r="M57" s="117"/>
      <c r="N57" s="117"/>
      <c r="O57" s="117"/>
      <c r="P57" s="117"/>
      <c r="Q57" s="117"/>
      <c r="R57" s="117"/>
      <c r="S57" s="117"/>
      <c r="T57" s="117"/>
      <c r="U57" s="117"/>
      <c r="V57" s="117"/>
      <c r="W57" s="117"/>
      <c r="X57" s="117"/>
      <c r="Y57" s="117"/>
      <c r="Z57" s="117"/>
    </row>
    <row r="58">
      <c r="A58" s="117"/>
      <c r="B58" s="121"/>
      <c r="C58" s="151"/>
      <c r="D58" s="123"/>
      <c r="E58" s="117"/>
      <c r="F58" s="117"/>
      <c r="G58" s="117"/>
      <c r="H58" s="117"/>
      <c r="I58" s="117"/>
      <c r="J58" s="117"/>
      <c r="K58" s="117"/>
      <c r="L58" s="117"/>
      <c r="M58" s="117"/>
      <c r="N58" s="117"/>
      <c r="O58" s="117"/>
      <c r="P58" s="117"/>
      <c r="Q58" s="117"/>
      <c r="R58" s="117"/>
      <c r="S58" s="117"/>
      <c r="T58" s="117"/>
      <c r="U58" s="117"/>
      <c r="V58" s="117"/>
      <c r="W58" s="117"/>
      <c r="X58" s="117"/>
      <c r="Y58" s="117"/>
      <c r="Z58" s="117"/>
    </row>
    <row r="59">
      <c r="A59" s="117"/>
      <c r="B59" s="121"/>
      <c r="C59" s="151"/>
      <c r="D59" s="123"/>
      <c r="E59" s="117"/>
      <c r="F59" s="117"/>
      <c r="G59" s="117"/>
      <c r="H59" s="117"/>
      <c r="I59" s="117"/>
      <c r="J59" s="117"/>
      <c r="K59" s="117"/>
      <c r="L59" s="117"/>
      <c r="M59" s="117"/>
      <c r="N59" s="117"/>
      <c r="O59" s="117"/>
      <c r="P59" s="117"/>
      <c r="Q59" s="117"/>
      <c r="R59" s="117"/>
      <c r="S59" s="117"/>
      <c r="T59" s="117"/>
      <c r="U59" s="117"/>
      <c r="V59" s="117"/>
      <c r="W59" s="117"/>
      <c r="X59" s="117"/>
      <c r="Y59" s="117"/>
      <c r="Z59" s="117"/>
    </row>
    <row r="60">
      <c r="A60" s="117"/>
      <c r="B60" s="121"/>
      <c r="C60" s="151"/>
      <c r="D60" s="123"/>
      <c r="E60" s="117"/>
      <c r="F60" s="117"/>
      <c r="G60" s="117"/>
      <c r="H60" s="117"/>
      <c r="I60" s="117"/>
      <c r="J60" s="117"/>
      <c r="K60" s="117"/>
      <c r="L60" s="117"/>
      <c r="M60" s="117"/>
      <c r="N60" s="117"/>
      <c r="O60" s="117"/>
      <c r="P60" s="117"/>
      <c r="Q60" s="117"/>
      <c r="R60" s="117"/>
      <c r="S60" s="117"/>
      <c r="T60" s="117"/>
      <c r="U60" s="117"/>
      <c r="V60" s="117"/>
      <c r="W60" s="117"/>
      <c r="X60" s="117"/>
      <c r="Y60" s="117"/>
      <c r="Z60" s="117"/>
    </row>
    <row r="61">
      <c r="A61" s="117"/>
      <c r="B61" s="121"/>
      <c r="C61" s="151"/>
      <c r="D61" s="123"/>
      <c r="E61" s="117"/>
      <c r="F61" s="117"/>
      <c r="G61" s="117"/>
      <c r="H61" s="117"/>
      <c r="I61" s="117"/>
      <c r="J61" s="117"/>
      <c r="K61" s="117"/>
      <c r="L61" s="117"/>
      <c r="M61" s="117"/>
      <c r="N61" s="117"/>
      <c r="O61" s="117"/>
      <c r="P61" s="117"/>
      <c r="Q61" s="117"/>
      <c r="R61" s="117"/>
      <c r="S61" s="117"/>
      <c r="T61" s="117"/>
      <c r="U61" s="117"/>
      <c r="V61" s="117"/>
      <c r="W61" s="117"/>
      <c r="X61" s="117"/>
      <c r="Y61" s="117"/>
      <c r="Z61" s="117"/>
    </row>
    <row r="62">
      <c r="A62" s="117"/>
      <c r="B62" s="121"/>
      <c r="C62" s="151"/>
      <c r="D62" s="123"/>
      <c r="E62" s="117"/>
      <c r="F62" s="117"/>
      <c r="G62" s="117"/>
      <c r="H62" s="117"/>
      <c r="I62" s="117"/>
      <c r="J62" s="117"/>
      <c r="K62" s="117"/>
      <c r="L62" s="117"/>
      <c r="M62" s="117"/>
      <c r="N62" s="117"/>
      <c r="O62" s="117"/>
      <c r="P62" s="117"/>
      <c r="Q62" s="117"/>
      <c r="R62" s="117"/>
      <c r="S62" s="117"/>
      <c r="T62" s="117"/>
      <c r="U62" s="117"/>
      <c r="V62" s="117"/>
      <c r="W62" s="117"/>
      <c r="X62" s="117"/>
      <c r="Y62" s="117"/>
      <c r="Z62" s="117"/>
    </row>
    <row r="63">
      <c r="A63" s="117"/>
      <c r="B63" s="121"/>
      <c r="C63" s="151"/>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c r="A64" s="117"/>
      <c r="B64" s="121"/>
      <c r="C64" s="151"/>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c r="A65" s="117"/>
      <c r="B65" s="121"/>
      <c r="C65" s="151"/>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c r="A66" s="117"/>
      <c r="B66" s="121"/>
      <c r="C66" s="151"/>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c r="A67" s="117"/>
      <c r="B67" s="121"/>
      <c r="C67" s="151"/>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c r="A68" s="117"/>
      <c r="B68" s="121"/>
      <c r="C68" s="151"/>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c r="A69" s="117"/>
      <c r="B69" s="121"/>
      <c r="C69" s="151"/>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c r="A70" s="117"/>
      <c r="B70" s="121"/>
      <c r="C70" s="151"/>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c r="A71" s="117"/>
      <c r="B71" s="121"/>
      <c r="C71" s="151"/>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c r="A72" s="117"/>
      <c r="B72" s="121"/>
      <c r="C72" s="151"/>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c r="A73" s="117"/>
      <c r="B73" s="121"/>
      <c r="C73" s="121"/>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c r="A74" s="117"/>
      <c r="B74" s="121"/>
      <c r="C74" s="121"/>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c r="A75" s="117"/>
      <c r="B75" s="121"/>
      <c r="C75" s="121"/>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BC0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23.88"/>
    <col customWidth="1" min="3" max="5" width="29.75"/>
    <col customWidth="1" min="6" max="7" width="10.38"/>
  </cols>
  <sheetData>
    <row r="1">
      <c r="A1" s="1" t="s">
        <v>1</v>
      </c>
      <c r="B1" s="1" t="s">
        <v>2</v>
      </c>
      <c r="C1" s="1" t="s">
        <v>3</v>
      </c>
      <c r="D1" s="1" t="s">
        <v>4</v>
      </c>
      <c r="E1" s="1" t="s">
        <v>5</v>
      </c>
      <c r="F1" s="2" t="s">
        <v>6</v>
      </c>
      <c r="G1" s="2" t="s">
        <v>7</v>
      </c>
    </row>
    <row r="2">
      <c r="A2" s="10" t="s">
        <v>238</v>
      </c>
      <c r="B2" s="11" t="s">
        <v>239</v>
      </c>
      <c r="C2" s="11" t="s">
        <v>240</v>
      </c>
      <c r="D2" s="11" t="s">
        <v>241</v>
      </c>
      <c r="E2" s="12" t="s">
        <v>242</v>
      </c>
      <c r="F2" s="63">
        <v>16.0</v>
      </c>
      <c r="G2" s="63">
        <v>20.0</v>
      </c>
    </row>
    <row r="3">
      <c r="A3" s="10" t="s">
        <v>238</v>
      </c>
      <c r="B3" s="21" t="s">
        <v>243</v>
      </c>
      <c r="C3" s="21" t="s">
        <v>244</v>
      </c>
      <c r="D3" s="21" t="s">
        <v>245</v>
      </c>
      <c r="E3" s="21" t="s">
        <v>246</v>
      </c>
      <c r="F3" s="13">
        <v>6.0</v>
      </c>
      <c r="G3" s="13">
        <v>10.0</v>
      </c>
    </row>
    <row r="4">
      <c r="A4" s="10" t="s">
        <v>238</v>
      </c>
      <c r="B4" s="11" t="s">
        <v>247</v>
      </c>
      <c r="C4" s="11" t="s">
        <v>248</v>
      </c>
      <c r="D4" s="11" t="s">
        <v>249</v>
      </c>
      <c r="E4" s="11" t="s">
        <v>250</v>
      </c>
      <c r="F4" s="63">
        <v>8.0</v>
      </c>
      <c r="G4" s="63">
        <v>12.0</v>
      </c>
    </row>
    <row r="5">
      <c r="A5" s="10" t="s">
        <v>238</v>
      </c>
      <c r="B5" s="11" t="s">
        <v>251</v>
      </c>
      <c r="C5" s="11" t="s">
        <v>252</v>
      </c>
      <c r="D5" s="11" t="s">
        <v>253</v>
      </c>
      <c r="E5" s="27" t="s">
        <v>254</v>
      </c>
      <c r="F5" s="28">
        <v>12.0</v>
      </c>
      <c r="G5" s="28">
        <v>16.0</v>
      </c>
    </row>
    <row r="6">
      <c r="A6" s="10" t="s">
        <v>255</v>
      </c>
      <c r="B6" s="11" t="s">
        <v>256</v>
      </c>
      <c r="C6" s="11" t="s">
        <v>257</v>
      </c>
      <c r="D6" s="11" t="s">
        <v>258</v>
      </c>
      <c r="E6" s="11" t="s">
        <v>259</v>
      </c>
      <c r="F6" s="28">
        <v>18.0</v>
      </c>
      <c r="G6" s="28">
        <v>20.0</v>
      </c>
    </row>
    <row r="7">
      <c r="A7" s="10" t="s">
        <v>255</v>
      </c>
      <c r="B7" s="11" t="s">
        <v>260</v>
      </c>
      <c r="C7" s="11" t="s">
        <v>261</v>
      </c>
      <c r="D7" s="11" t="s">
        <v>262</v>
      </c>
      <c r="E7" s="11" t="s">
        <v>263</v>
      </c>
      <c r="F7" s="28">
        <v>15.0</v>
      </c>
      <c r="G7" s="28">
        <v>20.0</v>
      </c>
    </row>
    <row r="8">
      <c r="A8" s="10" t="s">
        <v>255</v>
      </c>
      <c r="B8" s="11" t="s">
        <v>264</v>
      </c>
      <c r="C8" s="11" t="s">
        <v>265</v>
      </c>
      <c r="D8" s="11" t="s">
        <v>266</v>
      </c>
      <c r="E8" s="11" t="s">
        <v>267</v>
      </c>
      <c r="F8" s="28">
        <v>18.0</v>
      </c>
      <c r="G8" s="28">
        <v>20.0</v>
      </c>
    </row>
    <row r="9">
      <c r="A9" s="10" t="s">
        <v>268</v>
      </c>
      <c r="B9" s="11" t="s">
        <v>269</v>
      </c>
      <c r="C9" s="11" t="s">
        <v>270</v>
      </c>
      <c r="D9" s="11" t="s">
        <v>271</v>
      </c>
      <c r="E9" s="11" t="s">
        <v>272</v>
      </c>
      <c r="F9" s="28">
        <v>12.0</v>
      </c>
      <c r="G9" s="28">
        <v>15.0</v>
      </c>
    </row>
    <row r="10">
      <c r="A10" s="10" t="s">
        <v>268</v>
      </c>
      <c r="B10" s="11" t="s">
        <v>273</v>
      </c>
      <c r="C10" s="11" t="s">
        <v>274</v>
      </c>
      <c r="D10" s="11" t="s">
        <v>275</v>
      </c>
      <c r="E10" s="11" t="s">
        <v>276</v>
      </c>
      <c r="F10" s="28">
        <v>8.0</v>
      </c>
      <c r="G10" s="28">
        <v>10.0</v>
      </c>
    </row>
    <row r="11">
      <c r="A11" s="10" t="s">
        <v>268</v>
      </c>
      <c r="B11" s="11" t="s">
        <v>277</v>
      </c>
      <c r="C11" s="11" t="s">
        <v>278</v>
      </c>
      <c r="D11" s="11" t="s">
        <v>279</v>
      </c>
      <c r="E11" s="11" t="s">
        <v>280</v>
      </c>
      <c r="F11" s="28">
        <v>6.0</v>
      </c>
      <c r="G11" s="28">
        <v>8.0</v>
      </c>
    </row>
    <row r="12">
      <c r="A12" s="10" t="s">
        <v>268</v>
      </c>
      <c r="B12" s="11" t="s">
        <v>281</v>
      </c>
      <c r="C12" s="11" t="s">
        <v>282</v>
      </c>
      <c r="D12" s="11" t="s">
        <v>283</v>
      </c>
      <c r="E12" s="11" t="s">
        <v>284</v>
      </c>
      <c r="F12" s="28">
        <v>10.0</v>
      </c>
      <c r="G12" s="28">
        <v>12.0</v>
      </c>
    </row>
    <row r="13">
      <c r="A13" s="10" t="s">
        <v>268</v>
      </c>
      <c r="B13" s="11" t="s">
        <v>285</v>
      </c>
      <c r="C13" s="11" t="s">
        <v>286</v>
      </c>
      <c r="D13" s="11" t="s">
        <v>287</v>
      </c>
      <c r="E13" s="11" t="s">
        <v>288</v>
      </c>
      <c r="F13" s="28">
        <v>10.0</v>
      </c>
      <c r="G13" s="28">
        <v>15.0</v>
      </c>
    </row>
    <row r="14">
      <c r="A14" s="10" t="s">
        <v>268</v>
      </c>
      <c r="B14" s="11" t="s">
        <v>289</v>
      </c>
      <c r="C14" s="11" t="s">
        <v>290</v>
      </c>
      <c r="D14" s="11" t="s">
        <v>291</v>
      </c>
      <c r="E14" s="11" t="s">
        <v>292</v>
      </c>
      <c r="F14" s="28">
        <v>8.0</v>
      </c>
      <c r="G14" s="28">
        <v>10.0</v>
      </c>
    </row>
    <row r="15">
      <c r="A15" s="10" t="s">
        <v>95</v>
      </c>
      <c r="B15" s="11" t="s">
        <v>95</v>
      </c>
      <c r="C15" s="11" t="s">
        <v>293</v>
      </c>
      <c r="D15" s="11"/>
      <c r="E15" s="11" t="s">
        <v>294</v>
      </c>
      <c r="F15" s="28">
        <v>40.0</v>
      </c>
      <c r="G15" s="28">
        <v>40.0</v>
      </c>
    </row>
    <row r="16">
      <c r="A16" s="10"/>
      <c r="B16" s="11"/>
      <c r="C16" s="11"/>
      <c r="D16" s="11"/>
      <c r="E16" s="11"/>
      <c r="F16" s="28"/>
      <c r="G16" s="28"/>
    </row>
    <row r="17">
      <c r="A17" s="10"/>
      <c r="B17" s="11"/>
      <c r="C17" s="11"/>
      <c r="D17" s="11"/>
      <c r="E17" s="11"/>
      <c r="F17" s="28"/>
      <c r="G17" s="28"/>
    </row>
    <row r="18">
      <c r="A18" s="10"/>
      <c r="B18" s="11"/>
      <c r="C18" s="11"/>
      <c r="D18" s="11"/>
      <c r="E18" s="11"/>
      <c r="F18" s="28"/>
      <c r="G18" s="28"/>
    </row>
    <row r="19">
      <c r="A19" s="10"/>
      <c r="B19" s="11"/>
      <c r="C19" s="11"/>
      <c r="D19" s="11"/>
      <c r="E19" s="11"/>
      <c r="F19" s="28"/>
      <c r="G19" s="28"/>
    </row>
    <row r="20">
      <c r="A20" s="10"/>
      <c r="B20" s="11"/>
      <c r="C20" s="11"/>
      <c r="D20" s="11"/>
      <c r="E20" s="11"/>
      <c r="F20" s="28"/>
      <c r="G20" s="28"/>
    </row>
    <row r="21">
      <c r="A21" s="10"/>
      <c r="B21" s="11"/>
      <c r="C21" s="11"/>
      <c r="D21" s="11"/>
      <c r="E21" s="11"/>
      <c r="F21" s="28"/>
      <c r="G21" s="28"/>
    </row>
    <row r="22">
      <c r="A22" s="10"/>
      <c r="B22" s="11"/>
      <c r="C22" s="11"/>
      <c r="D22" s="11"/>
      <c r="E22" s="11"/>
      <c r="F22" s="28"/>
      <c r="G22" s="28"/>
    </row>
    <row r="23">
      <c r="A23" s="10"/>
      <c r="B23" s="11"/>
      <c r="C23" s="11"/>
      <c r="D23" s="11"/>
      <c r="E23" s="11"/>
      <c r="F23" s="28"/>
      <c r="G23" s="28"/>
    </row>
    <row r="24">
      <c r="A24" s="10"/>
      <c r="B24" s="11"/>
      <c r="C24" s="11"/>
      <c r="D24" s="11"/>
      <c r="E24" s="11"/>
      <c r="F24" s="28"/>
      <c r="G24" s="28"/>
    </row>
    <row r="25">
      <c r="A25" s="10"/>
      <c r="B25" s="60"/>
      <c r="C25" s="60"/>
      <c r="D25" s="61"/>
      <c r="E25" s="61"/>
      <c r="F25" s="28"/>
      <c r="G25" s="28"/>
    </row>
    <row r="26">
      <c r="A26" s="10"/>
      <c r="B26" s="60"/>
      <c r="C26" s="60"/>
      <c r="D26" s="61"/>
      <c r="E26" s="61"/>
      <c r="F26" s="28"/>
      <c r="G26" s="28"/>
    </row>
    <row r="27">
      <c r="A27" s="10"/>
      <c r="B27" s="60"/>
      <c r="C27" s="60"/>
      <c r="D27" s="60"/>
      <c r="E27" s="60"/>
      <c r="F27" s="28"/>
      <c r="G27" s="28"/>
    </row>
    <row r="28">
      <c r="A28" s="10"/>
      <c r="B28" s="11"/>
      <c r="C28" s="11"/>
      <c r="D28" s="11"/>
      <c r="E28" s="11"/>
      <c r="F28" s="63"/>
      <c r="G28" s="63"/>
    </row>
    <row r="29">
      <c r="A29" s="10"/>
      <c r="B29" s="11"/>
      <c r="C29" s="11"/>
      <c r="D29" s="11"/>
      <c r="E29" s="11"/>
      <c r="F29" s="63"/>
      <c r="G29" s="63"/>
    </row>
    <row r="30">
      <c r="A30" s="10"/>
      <c r="B30" s="11"/>
      <c r="C30" s="11"/>
      <c r="D30" s="11"/>
      <c r="E30" s="11"/>
      <c r="F30" s="28"/>
      <c r="G30" s="28"/>
    </row>
    <row r="31">
      <c r="A31" s="10"/>
      <c r="B31" s="11"/>
      <c r="C31" s="11"/>
      <c r="D31" s="11"/>
      <c r="E31" s="11"/>
      <c r="F31" s="28"/>
      <c r="G31" s="28"/>
    </row>
    <row r="32">
      <c r="A32" s="10"/>
      <c r="B32" s="11"/>
      <c r="C32" s="11"/>
      <c r="D32" s="11"/>
      <c r="E32" s="11"/>
      <c r="F32" s="63"/>
      <c r="G32" s="63"/>
    </row>
    <row r="33">
      <c r="A33" s="64"/>
      <c r="B33" s="19"/>
      <c r="C33" s="19"/>
      <c r="D33" s="19"/>
      <c r="E33" s="19"/>
      <c r="F33" s="65"/>
      <c r="G33" s="65"/>
    </row>
    <row r="34">
      <c r="A34" s="64"/>
      <c r="B34" s="19"/>
      <c r="C34" s="19"/>
      <c r="D34" s="19"/>
      <c r="E34" s="19"/>
      <c r="F34" s="65"/>
      <c r="G34" s="65"/>
    </row>
    <row r="35">
      <c r="A35" s="64"/>
      <c r="B35" s="19"/>
      <c r="C35" s="19"/>
      <c r="D35" s="19"/>
      <c r="E35" s="19"/>
      <c r="F35" s="65"/>
      <c r="G35" s="65"/>
    </row>
    <row r="36">
      <c r="A36" s="66"/>
      <c r="B36" s="29"/>
      <c r="C36" s="29"/>
      <c r="D36" s="29"/>
      <c r="E36" s="29"/>
      <c r="F36" s="67"/>
      <c r="G36" s="67"/>
    </row>
    <row r="37">
      <c r="A37" s="66"/>
      <c r="B37" s="29"/>
      <c r="C37" s="29"/>
      <c r="D37" s="29"/>
      <c r="E37" s="29"/>
      <c r="F37" s="67"/>
      <c r="G37" s="67"/>
    </row>
    <row r="38">
      <c r="A38" s="66"/>
      <c r="B38" s="29"/>
      <c r="C38" s="29"/>
      <c r="D38" s="29"/>
      <c r="E38" s="29"/>
      <c r="F38" s="67"/>
      <c r="G38" s="67"/>
    </row>
    <row r="39">
      <c r="A39" s="66"/>
      <c r="B39" s="29"/>
      <c r="C39" s="29"/>
      <c r="D39" s="29"/>
      <c r="E39" s="29"/>
      <c r="F39" s="67"/>
      <c r="G39" s="67"/>
    </row>
    <row r="40">
      <c r="A40" s="66"/>
      <c r="B40" s="29"/>
      <c r="C40" s="29"/>
      <c r="D40" s="29"/>
      <c r="E40" s="29"/>
      <c r="F40" s="67"/>
      <c r="G40" s="67"/>
    </row>
    <row r="41">
      <c r="A41" s="66"/>
      <c r="B41" s="29"/>
      <c r="C41" s="19"/>
      <c r="D41" s="19"/>
      <c r="E41" s="19"/>
      <c r="F41" s="67"/>
      <c r="G41" s="67"/>
    </row>
    <row r="42">
      <c r="A42" s="66"/>
      <c r="B42" s="29"/>
      <c r="C42" s="19"/>
      <c r="D42" s="19"/>
      <c r="E42" s="19"/>
      <c r="F42" s="67"/>
      <c r="G42" s="67"/>
    </row>
    <row r="43">
      <c r="A43" s="66"/>
      <c r="B43" s="29"/>
      <c r="C43" s="19"/>
      <c r="D43" s="19"/>
      <c r="E43" s="19"/>
      <c r="F43" s="67"/>
      <c r="G43" s="67"/>
    </row>
    <row r="44">
      <c r="A44" s="66"/>
      <c r="B44" s="29"/>
      <c r="C44" s="19"/>
      <c r="D44" s="19"/>
      <c r="E44" s="19"/>
      <c r="F44" s="67"/>
      <c r="G44" s="67"/>
    </row>
    <row r="45">
      <c r="A45" s="66"/>
      <c r="B45" s="29"/>
      <c r="C45" s="19"/>
      <c r="D45" s="19"/>
      <c r="E45" s="19"/>
      <c r="F45" s="67"/>
      <c r="G45" s="67"/>
    </row>
    <row r="46">
      <c r="A46" s="66"/>
      <c r="B46" s="29"/>
      <c r="C46" s="19"/>
      <c r="D46" s="19"/>
      <c r="E46" s="19"/>
      <c r="F46" s="67"/>
      <c r="G46" s="67"/>
    </row>
    <row r="47">
      <c r="A47" s="66"/>
      <c r="B47" s="29"/>
      <c r="C47" s="19"/>
      <c r="D47" s="19"/>
      <c r="E47" s="19"/>
      <c r="F47" s="67"/>
      <c r="G47" s="67"/>
    </row>
    <row r="48">
      <c r="A48" s="66"/>
      <c r="B48" s="29"/>
      <c r="C48" s="19"/>
      <c r="D48" s="19"/>
      <c r="E48" s="19"/>
      <c r="F48" s="67"/>
      <c r="G48" s="67"/>
    </row>
    <row r="49">
      <c r="A49" s="66"/>
      <c r="B49" s="29"/>
      <c r="C49" s="19"/>
      <c r="D49" s="19"/>
      <c r="E49" s="19"/>
      <c r="F49" s="67"/>
      <c r="G49" s="67"/>
    </row>
    <row r="50">
      <c r="A50" s="66"/>
      <c r="B50" s="29"/>
      <c r="C50" s="19"/>
      <c r="D50" s="19"/>
      <c r="E50" s="19"/>
      <c r="F50" s="67"/>
      <c r="G50" s="67"/>
    </row>
    <row r="51">
      <c r="A51" s="66"/>
      <c r="B51" s="29"/>
      <c r="C51" s="19"/>
      <c r="D51" s="19"/>
      <c r="E51" s="19"/>
      <c r="F51" s="67"/>
      <c r="G51" s="67"/>
    </row>
    <row r="52">
      <c r="A52" s="66"/>
      <c r="B52" s="29"/>
      <c r="C52" s="19"/>
      <c r="D52" s="19"/>
      <c r="E52" s="19"/>
      <c r="F52" s="67"/>
      <c r="G52" s="67"/>
    </row>
    <row r="53">
      <c r="A53" s="66"/>
      <c r="B53" s="29"/>
      <c r="C53" s="19"/>
      <c r="D53" s="19"/>
      <c r="E53" s="19"/>
      <c r="F53" s="67"/>
      <c r="G53" s="67"/>
    </row>
    <row r="54">
      <c r="A54" s="66"/>
      <c r="B54" s="29"/>
      <c r="C54" s="29"/>
      <c r="D54" s="29"/>
      <c r="E54" s="29"/>
      <c r="F54" s="67"/>
      <c r="G54" s="67"/>
    </row>
    <row r="55">
      <c r="A55" s="66"/>
      <c r="B55" s="29"/>
      <c r="C55" s="29"/>
      <c r="D55" s="29"/>
      <c r="E55" s="29"/>
      <c r="F55" s="67"/>
      <c r="G55" s="67"/>
    </row>
    <row r="56">
      <c r="A56" s="66"/>
      <c r="B56" s="29"/>
      <c r="C56" s="29"/>
      <c r="D56" s="29"/>
      <c r="E56" s="29"/>
      <c r="F56" s="67"/>
      <c r="G56" s="67"/>
    </row>
    <row r="57">
      <c r="A57" s="66"/>
      <c r="B57" s="29"/>
      <c r="C57" s="29"/>
      <c r="D57" s="29"/>
      <c r="E57" s="29"/>
      <c r="F57" s="67"/>
      <c r="G57" s="67"/>
    </row>
    <row r="58">
      <c r="A58" s="66"/>
      <c r="B58" s="29"/>
      <c r="C58" s="29"/>
      <c r="D58" s="29"/>
      <c r="E58" s="29"/>
      <c r="F58" s="67"/>
      <c r="G58" s="67"/>
    </row>
    <row r="59">
      <c r="A59" s="66"/>
      <c r="B59" s="29"/>
      <c r="C59" s="29"/>
      <c r="D59" s="29"/>
      <c r="E59" s="29"/>
      <c r="F59" s="67"/>
      <c r="G59" s="67"/>
    </row>
    <row r="60">
      <c r="A60" s="66"/>
      <c r="B60" s="29"/>
      <c r="C60" s="29"/>
      <c r="D60" s="29"/>
      <c r="E60" s="29"/>
      <c r="F60" s="67"/>
      <c r="G60" s="67"/>
    </row>
    <row r="61">
      <c r="A61" s="66"/>
      <c r="B61" s="29"/>
      <c r="C61" s="29"/>
      <c r="D61" s="29"/>
      <c r="E61" s="29"/>
      <c r="F61" s="67"/>
      <c r="G61" s="67"/>
    </row>
    <row r="62">
      <c r="A62" s="66"/>
      <c r="B62" s="29"/>
      <c r="C62" s="29"/>
      <c r="D62" s="29"/>
      <c r="E62" s="29"/>
      <c r="F62" s="67"/>
      <c r="G62" s="67"/>
    </row>
    <row r="63">
      <c r="A63" s="66"/>
      <c r="B63" s="29"/>
      <c r="C63" s="29"/>
      <c r="D63" s="29"/>
      <c r="E63" s="29"/>
      <c r="F63" s="67"/>
      <c r="G63" s="67"/>
    </row>
    <row r="64">
      <c r="A64" s="66"/>
      <c r="B64" s="29"/>
      <c r="C64" s="29"/>
      <c r="D64" s="29"/>
      <c r="E64" s="29"/>
      <c r="F64" s="67"/>
      <c r="G64" s="67"/>
    </row>
    <row r="65">
      <c r="A65" s="66"/>
      <c r="B65" s="29"/>
      <c r="C65" s="29"/>
      <c r="D65" s="29"/>
      <c r="E65" s="29"/>
      <c r="F65" s="67"/>
      <c r="G65" s="67"/>
    </row>
    <row r="66">
      <c r="A66" s="66"/>
      <c r="B66" s="29"/>
      <c r="C66" s="29"/>
      <c r="D66" s="29"/>
      <c r="E66" s="29"/>
      <c r="F66" s="67"/>
      <c r="G66" s="67"/>
    </row>
    <row r="67">
      <c r="A67" s="66"/>
      <c r="B67" s="29"/>
      <c r="C67" s="29"/>
      <c r="D67" s="29"/>
      <c r="E67" s="29"/>
      <c r="F67" s="67"/>
      <c r="G67" s="67"/>
    </row>
    <row r="68">
      <c r="A68" s="66"/>
      <c r="B68" s="29"/>
      <c r="C68" s="29"/>
      <c r="D68" s="29"/>
      <c r="E68" s="29"/>
      <c r="F68" s="67"/>
      <c r="G68" s="67"/>
    </row>
    <row r="69">
      <c r="A69" s="66"/>
      <c r="B69" s="29"/>
      <c r="C69" s="29"/>
      <c r="D69" s="29"/>
      <c r="E69" s="29"/>
      <c r="F69" s="67"/>
      <c r="G69" s="67"/>
    </row>
    <row r="70">
      <c r="A70" s="66"/>
      <c r="B70" s="29"/>
      <c r="C70" s="29"/>
      <c r="D70" s="29"/>
      <c r="E70" s="29"/>
      <c r="F70" s="67"/>
      <c r="G70" s="67"/>
    </row>
    <row r="71">
      <c r="A71" s="66"/>
      <c r="B71" s="29"/>
      <c r="C71" s="29"/>
      <c r="D71" s="29"/>
      <c r="E71" s="29"/>
      <c r="F71" s="67"/>
      <c r="G71" s="67"/>
    </row>
    <row r="72">
      <c r="A72" s="66"/>
      <c r="B72" s="29"/>
      <c r="C72" s="29"/>
      <c r="D72" s="29"/>
      <c r="E72" s="29"/>
      <c r="F72" s="67"/>
      <c r="G72" s="67"/>
    </row>
    <row r="73">
      <c r="A73" s="66"/>
      <c r="B73" s="29"/>
      <c r="C73" s="29"/>
      <c r="D73" s="29"/>
      <c r="E73" s="29"/>
      <c r="F73" s="67"/>
      <c r="G73" s="67"/>
    </row>
    <row r="74">
      <c r="A74" s="66"/>
      <c r="B74" s="29"/>
      <c r="C74" s="29"/>
      <c r="D74" s="29"/>
      <c r="E74" s="29"/>
      <c r="F74" s="67"/>
      <c r="G74" s="67"/>
    </row>
    <row r="75">
      <c r="A75" s="66"/>
      <c r="B75" s="29"/>
      <c r="C75" s="29"/>
      <c r="D75" s="29"/>
      <c r="E75" s="29"/>
      <c r="F75" s="67"/>
      <c r="G75" s="67"/>
    </row>
    <row r="76">
      <c r="A76" s="66"/>
      <c r="B76" s="29"/>
      <c r="C76" s="29"/>
      <c r="D76" s="29"/>
      <c r="E76" s="29"/>
      <c r="F76" s="67"/>
      <c r="G76" s="67"/>
    </row>
    <row r="77">
      <c r="A77" s="66"/>
      <c r="B77" s="29"/>
      <c r="C77" s="29"/>
      <c r="D77" s="29"/>
      <c r="E77" s="29"/>
      <c r="F77" s="67"/>
      <c r="G77" s="67"/>
    </row>
    <row r="78">
      <c r="A78" s="66"/>
      <c r="B78" s="29"/>
      <c r="C78" s="29"/>
      <c r="D78" s="29"/>
      <c r="E78" s="29"/>
      <c r="F78" s="67"/>
      <c r="G78" s="67"/>
    </row>
    <row r="79">
      <c r="A79" s="66"/>
      <c r="B79" s="29"/>
      <c r="C79" s="29"/>
      <c r="D79" s="29"/>
      <c r="E79" s="29"/>
      <c r="F79" s="67"/>
      <c r="G79" s="67"/>
    </row>
    <row r="80">
      <c r="A80" s="66"/>
      <c r="B80" s="29"/>
      <c r="C80" s="29"/>
      <c r="D80" s="29"/>
      <c r="E80" s="29"/>
      <c r="F80" s="67"/>
      <c r="G80" s="67"/>
    </row>
    <row r="81">
      <c r="A81" s="66"/>
      <c r="B81" s="29"/>
      <c r="C81" s="29"/>
      <c r="D81" s="29"/>
      <c r="E81" s="29"/>
      <c r="F81" s="67"/>
      <c r="G81" s="67"/>
    </row>
    <row r="82">
      <c r="A82" s="66"/>
      <c r="B82" s="29"/>
      <c r="C82" s="29"/>
      <c r="D82" s="29"/>
      <c r="E82" s="29"/>
      <c r="F82" s="67"/>
      <c r="G82" s="67"/>
    </row>
    <row r="83">
      <c r="A83" s="66"/>
      <c r="B83" s="29"/>
      <c r="C83" s="29"/>
      <c r="D83" s="29"/>
      <c r="E83" s="29"/>
      <c r="F83" s="67"/>
      <c r="G83" s="67"/>
    </row>
    <row r="84">
      <c r="A84" s="66"/>
      <c r="B84" s="29"/>
      <c r="C84" s="29"/>
      <c r="D84" s="29"/>
      <c r="E84" s="29"/>
      <c r="F84" s="67"/>
      <c r="G84" s="67"/>
    </row>
    <row r="85">
      <c r="A85" s="66"/>
      <c r="B85" s="29"/>
      <c r="C85" s="29"/>
      <c r="D85" s="29"/>
      <c r="E85" s="29"/>
      <c r="F85" s="67"/>
      <c r="G85" s="67"/>
    </row>
    <row r="86">
      <c r="A86" s="66"/>
      <c r="B86" s="29"/>
      <c r="C86" s="29"/>
      <c r="D86" s="29"/>
      <c r="E86" s="29"/>
      <c r="F86" s="67"/>
      <c r="G86" s="67"/>
    </row>
    <row r="87">
      <c r="A87" s="66"/>
      <c r="B87" s="29"/>
      <c r="C87" s="29"/>
      <c r="D87" s="29"/>
      <c r="E87" s="29"/>
      <c r="F87" s="67"/>
      <c r="G87" s="67"/>
    </row>
    <row r="88">
      <c r="A88" s="66"/>
      <c r="B88" s="29"/>
      <c r="C88" s="29"/>
      <c r="D88" s="29"/>
      <c r="E88" s="29"/>
      <c r="F88" s="67"/>
      <c r="G88" s="67"/>
    </row>
    <row r="89">
      <c r="A89" s="66"/>
      <c r="B89" s="29"/>
      <c r="C89" s="29"/>
      <c r="D89" s="29"/>
      <c r="E89" s="29"/>
      <c r="F89" s="67"/>
      <c r="G89" s="67"/>
    </row>
    <row r="90">
      <c r="A90" s="66"/>
      <c r="B90" s="29"/>
      <c r="C90" s="29"/>
      <c r="D90" s="29"/>
      <c r="E90" s="29"/>
      <c r="F90" s="67"/>
      <c r="G90" s="67"/>
    </row>
    <row r="91">
      <c r="A91" s="66"/>
      <c r="B91" s="29"/>
      <c r="C91" s="29"/>
      <c r="D91" s="29"/>
      <c r="E91" s="29"/>
      <c r="F91" s="67"/>
      <c r="G91" s="67"/>
    </row>
    <row r="92">
      <c r="A92" s="66"/>
      <c r="B92" s="29"/>
      <c r="C92" s="29"/>
      <c r="D92" s="29"/>
      <c r="E92" s="29"/>
      <c r="F92" s="67"/>
      <c r="G92" s="67"/>
    </row>
    <row r="93">
      <c r="A93" s="66"/>
      <c r="B93" s="29"/>
      <c r="C93" s="29"/>
      <c r="D93" s="29"/>
      <c r="E93" s="29"/>
      <c r="F93" s="67"/>
      <c r="G93" s="67"/>
    </row>
    <row r="94">
      <c r="A94" s="66"/>
      <c r="B94" s="29"/>
      <c r="C94" s="29"/>
      <c r="D94" s="29"/>
      <c r="E94" s="29"/>
      <c r="F94" s="67"/>
      <c r="G94" s="67"/>
    </row>
    <row r="95">
      <c r="A95" s="66"/>
      <c r="B95" s="29"/>
      <c r="C95" s="29"/>
      <c r="D95" s="29"/>
      <c r="E95" s="29"/>
      <c r="F95" s="67"/>
      <c r="G95" s="67"/>
    </row>
    <row r="96">
      <c r="A96" s="66"/>
      <c r="B96" s="29"/>
      <c r="C96" s="29"/>
      <c r="D96" s="29"/>
      <c r="E96" s="29"/>
      <c r="F96" s="67"/>
      <c r="G96" s="67"/>
    </row>
    <row r="97">
      <c r="A97" s="66"/>
      <c r="B97" s="29"/>
      <c r="C97" s="29"/>
      <c r="D97" s="29"/>
      <c r="E97" s="29"/>
      <c r="F97" s="67"/>
      <c r="G97" s="67"/>
    </row>
    <row r="98">
      <c r="A98" s="66"/>
      <c r="B98" s="29"/>
      <c r="C98" s="29"/>
      <c r="D98" s="29"/>
      <c r="E98" s="29"/>
      <c r="F98" s="67"/>
      <c r="G98" s="67"/>
    </row>
    <row r="99">
      <c r="A99" s="66"/>
      <c r="B99" s="29"/>
      <c r="C99" s="29"/>
      <c r="D99" s="29"/>
      <c r="E99" s="29"/>
      <c r="F99" s="67"/>
      <c r="G99" s="67"/>
    </row>
    <row r="100">
      <c r="A100" s="66"/>
      <c r="B100" s="29"/>
      <c r="C100" s="29"/>
      <c r="D100" s="29"/>
      <c r="E100" s="29"/>
      <c r="F100" s="67"/>
      <c r="G100" s="67"/>
    </row>
    <row r="101">
      <c r="A101" s="66"/>
      <c r="B101" s="29"/>
      <c r="C101" s="29"/>
      <c r="D101" s="29"/>
      <c r="E101" s="29"/>
      <c r="F101" s="67"/>
      <c r="G101" s="67"/>
    </row>
    <row r="102">
      <c r="A102" s="66"/>
      <c r="B102" s="29"/>
      <c r="C102" s="29"/>
      <c r="D102" s="29"/>
      <c r="E102" s="29"/>
      <c r="F102" s="67"/>
      <c r="G102" s="67"/>
    </row>
    <row r="103">
      <c r="A103" s="66"/>
      <c r="B103" s="29"/>
      <c r="C103" s="29"/>
      <c r="D103" s="29"/>
      <c r="E103" s="29"/>
      <c r="F103" s="67"/>
      <c r="G103" s="67"/>
    </row>
    <row r="104">
      <c r="A104" s="66"/>
      <c r="B104" s="29"/>
      <c r="C104" s="29"/>
      <c r="D104" s="29"/>
      <c r="E104" s="29"/>
      <c r="F104" s="67"/>
      <c r="G104" s="67"/>
    </row>
    <row r="105">
      <c r="A105" s="66"/>
      <c r="B105" s="29"/>
      <c r="C105" s="29"/>
      <c r="D105" s="29"/>
      <c r="E105" s="29"/>
      <c r="F105" s="67"/>
      <c r="G105" s="67"/>
    </row>
    <row r="106">
      <c r="A106" s="66"/>
      <c r="B106" s="29"/>
      <c r="C106" s="29"/>
      <c r="D106" s="29"/>
      <c r="E106" s="29"/>
      <c r="F106" s="67"/>
      <c r="G106" s="67"/>
    </row>
    <row r="107">
      <c r="A107" s="66"/>
      <c r="B107" s="29"/>
      <c r="C107" s="29"/>
      <c r="D107" s="29"/>
      <c r="E107" s="29"/>
      <c r="F107" s="67"/>
      <c r="G107" s="67"/>
    </row>
    <row r="108">
      <c r="A108" s="66"/>
      <c r="B108" s="29"/>
      <c r="C108" s="29"/>
      <c r="D108" s="29"/>
      <c r="E108" s="29"/>
      <c r="F108" s="67"/>
      <c r="G108" s="67"/>
    </row>
    <row r="109">
      <c r="A109" s="66"/>
      <c r="B109" s="29"/>
      <c r="C109" s="29"/>
      <c r="D109" s="29"/>
      <c r="E109" s="29"/>
      <c r="F109" s="67"/>
      <c r="G109" s="67"/>
    </row>
    <row r="110">
      <c r="A110" s="66"/>
      <c r="B110" s="29"/>
      <c r="C110" s="29"/>
      <c r="D110" s="29"/>
      <c r="E110" s="29"/>
      <c r="F110" s="67"/>
      <c r="G110" s="67"/>
    </row>
    <row r="111">
      <c r="A111" s="66"/>
      <c r="B111" s="29"/>
      <c r="C111" s="29"/>
      <c r="D111" s="29"/>
      <c r="E111" s="29"/>
      <c r="F111" s="67"/>
      <c r="G111" s="67"/>
    </row>
    <row r="112">
      <c r="A112" s="66"/>
      <c r="B112" s="29"/>
      <c r="C112" s="29"/>
      <c r="D112" s="29"/>
      <c r="E112" s="29"/>
      <c r="F112" s="67"/>
      <c r="G112" s="67"/>
    </row>
    <row r="113">
      <c r="A113" s="66"/>
      <c r="B113" s="29"/>
      <c r="C113" s="29"/>
      <c r="D113" s="29"/>
      <c r="E113" s="29"/>
      <c r="F113" s="67"/>
      <c r="G113" s="67"/>
    </row>
    <row r="114">
      <c r="A114" s="66"/>
      <c r="B114" s="29"/>
      <c r="C114" s="29"/>
      <c r="D114" s="29"/>
      <c r="E114" s="29"/>
      <c r="F114" s="67"/>
      <c r="G114" s="67"/>
    </row>
    <row r="115">
      <c r="A115" s="66"/>
      <c r="B115" s="29"/>
      <c r="C115" s="29"/>
      <c r="D115" s="29"/>
      <c r="E115" s="29"/>
      <c r="F115" s="67"/>
      <c r="G115" s="67"/>
    </row>
    <row r="116">
      <c r="A116" s="66"/>
      <c r="B116" s="29"/>
      <c r="C116" s="29"/>
      <c r="D116" s="29"/>
      <c r="E116" s="29"/>
      <c r="F116" s="67"/>
      <c r="G116" s="67"/>
    </row>
    <row r="117">
      <c r="A117" s="66"/>
      <c r="B117" s="29"/>
      <c r="C117" s="29"/>
      <c r="D117" s="29"/>
      <c r="E117" s="29"/>
      <c r="F117" s="67"/>
      <c r="G117" s="67"/>
    </row>
    <row r="118">
      <c r="A118" s="66"/>
      <c r="B118" s="29"/>
      <c r="C118" s="29"/>
      <c r="D118" s="29"/>
      <c r="E118" s="29"/>
      <c r="F118" s="67"/>
      <c r="G118" s="67"/>
    </row>
    <row r="119">
      <c r="A119" s="66"/>
      <c r="B119" s="29"/>
      <c r="C119" s="29"/>
      <c r="D119" s="29"/>
      <c r="E119" s="29"/>
      <c r="F119" s="67"/>
      <c r="G119" s="67"/>
    </row>
    <row r="120">
      <c r="A120" s="66"/>
      <c r="B120" s="29"/>
      <c r="C120" s="29"/>
      <c r="D120" s="29"/>
      <c r="E120" s="29"/>
      <c r="F120" s="67"/>
      <c r="G120" s="67"/>
    </row>
    <row r="121">
      <c r="A121" s="66"/>
      <c r="B121" s="29"/>
      <c r="C121" s="29"/>
      <c r="D121" s="29"/>
      <c r="E121" s="29"/>
      <c r="F121" s="67"/>
      <c r="G121" s="67"/>
    </row>
    <row r="122">
      <c r="A122" s="66"/>
      <c r="B122" s="29"/>
      <c r="C122" s="29"/>
      <c r="D122" s="29"/>
      <c r="E122" s="29"/>
      <c r="F122" s="67"/>
      <c r="G122" s="67"/>
    </row>
    <row r="123">
      <c r="A123" s="66"/>
      <c r="B123" s="29"/>
      <c r="C123" s="29"/>
      <c r="D123" s="29"/>
      <c r="E123" s="29"/>
      <c r="F123" s="67"/>
      <c r="G123" s="67"/>
    </row>
    <row r="124">
      <c r="A124" s="66"/>
      <c r="B124" s="29"/>
      <c r="C124" s="29"/>
      <c r="D124" s="29"/>
      <c r="E124" s="29"/>
      <c r="F124" s="67"/>
      <c r="G124" s="67"/>
    </row>
    <row r="125">
      <c r="A125" s="66"/>
      <c r="B125" s="29"/>
      <c r="C125" s="29"/>
      <c r="D125" s="29"/>
      <c r="E125" s="29"/>
      <c r="F125" s="67"/>
      <c r="G125" s="67"/>
    </row>
    <row r="126">
      <c r="A126" s="66"/>
      <c r="B126" s="29"/>
      <c r="C126" s="29"/>
      <c r="D126" s="29"/>
      <c r="E126" s="29"/>
      <c r="F126" s="67"/>
      <c r="G126" s="67"/>
    </row>
    <row r="127">
      <c r="A127" s="66"/>
      <c r="B127" s="29"/>
      <c r="C127" s="29"/>
      <c r="D127" s="29"/>
      <c r="E127" s="29"/>
      <c r="F127" s="67"/>
      <c r="G127" s="67"/>
    </row>
    <row r="128">
      <c r="A128" s="66"/>
      <c r="B128" s="29"/>
      <c r="C128" s="29"/>
      <c r="D128" s="29"/>
      <c r="E128" s="29"/>
      <c r="F128" s="67"/>
      <c r="G128" s="67"/>
    </row>
    <row r="129">
      <c r="A129" s="66"/>
      <c r="B129" s="29"/>
      <c r="C129" s="29"/>
      <c r="D129" s="29"/>
      <c r="E129" s="29"/>
      <c r="F129" s="67"/>
      <c r="G129" s="67"/>
    </row>
    <row r="130">
      <c r="A130" s="66"/>
      <c r="B130" s="29"/>
      <c r="C130" s="29"/>
      <c r="D130" s="29"/>
      <c r="E130" s="29"/>
      <c r="F130" s="67"/>
      <c r="G130" s="67"/>
    </row>
    <row r="131">
      <c r="A131" s="66"/>
      <c r="B131" s="29"/>
      <c r="C131" s="29"/>
      <c r="D131" s="29"/>
      <c r="E131" s="29"/>
      <c r="F131" s="67"/>
      <c r="G131" s="67"/>
    </row>
    <row r="132">
      <c r="A132" s="66"/>
      <c r="B132" s="29"/>
      <c r="C132" s="29"/>
      <c r="D132" s="29"/>
      <c r="E132" s="29"/>
      <c r="F132" s="67"/>
      <c r="G132" s="67"/>
    </row>
    <row r="133">
      <c r="A133" s="66"/>
      <c r="B133" s="29"/>
      <c r="C133" s="29"/>
      <c r="D133" s="29"/>
      <c r="E133" s="29"/>
      <c r="F133" s="67"/>
      <c r="G133" s="67"/>
    </row>
    <row r="134">
      <c r="A134" s="66"/>
      <c r="B134" s="29"/>
      <c r="C134" s="29"/>
      <c r="D134" s="29"/>
      <c r="E134" s="29"/>
      <c r="F134" s="67"/>
      <c r="G134" s="67"/>
    </row>
    <row r="135">
      <c r="A135" s="66"/>
      <c r="B135" s="29"/>
      <c r="C135" s="29"/>
      <c r="D135" s="29"/>
      <c r="E135" s="29"/>
      <c r="F135" s="67"/>
      <c r="G135" s="67"/>
    </row>
    <row r="136">
      <c r="A136" s="66"/>
      <c r="B136" s="29"/>
      <c r="C136" s="29"/>
      <c r="D136" s="29"/>
      <c r="E136" s="29"/>
      <c r="F136" s="67"/>
      <c r="G136" s="67"/>
    </row>
    <row r="137">
      <c r="A137" s="66"/>
      <c r="B137" s="29"/>
      <c r="C137" s="29"/>
      <c r="D137" s="29"/>
      <c r="E137" s="29"/>
      <c r="F137" s="67"/>
      <c r="G137" s="67"/>
    </row>
    <row r="138">
      <c r="A138" s="66"/>
      <c r="B138" s="29"/>
      <c r="C138" s="29"/>
      <c r="D138" s="29"/>
      <c r="E138" s="29"/>
      <c r="F138" s="67"/>
      <c r="G138" s="67"/>
    </row>
    <row r="139">
      <c r="A139" s="66"/>
      <c r="B139" s="29"/>
      <c r="C139" s="29"/>
      <c r="D139" s="29"/>
      <c r="E139" s="29"/>
      <c r="F139" s="67"/>
      <c r="G139" s="67"/>
    </row>
    <row r="140">
      <c r="A140" s="66"/>
      <c r="B140" s="29"/>
      <c r="C140" s="29"/>
      <c r="D140" s="29"/>
      <c r="E140" s="29"/>
      <c r="F140" s="67"/>
      <c r="G140" s="67"/>
    </row>
    <row r="141">
      <c r="A141" s="66"/>
      <c r="B141" s="29"/>
      <c r="C141" s="29"/>
      <c r="D141" s="29"/>
      <c r="E141" s="29"/>
      <c r="F141" s="67"/>
      <c r="G141" s="67"/>
    </row>
    <row r="142">
      <c r="A142" s="66"/>
      <c r="B142" s="29"/>
      <c r="C142" s="29"/>
      <c r="D142" s="29"/>
      <c r="E142" s="29"/>
      <c r="F142" s="67"/>
      <c r="G142" s="67"/>
    </row>
    <row r="143">
      <c r="A143" s="66"/>
      <c r="B143" s="29"/>
      <c r="C143" s="29"/>
      <c r="D143" s="29"/>
      <c r="E143" s="29"/>
      <c r="F143" s="67"/>
      <c r="G143" s="67"/>
    </row>
    <row r="144">
      <c r="A144" s="66"/>
      <c r="B144" s="29"/>
      <c r="C144" s="29"/>
      <c r="D144" s="29"/>
      <c r="E144" s="29"/>
      <c r="F144" s="67"/>
      <c r="G144" s="67"/>
    </row>
    <row r="145">
      <c r="A145" s="66"/>
      <c r="B145" s="29"/>
      <c r="C145" s="29"/>
      <c r="D145" s="29"/>
      <c r="E145" s="29"/>
      <c r="F145" s="67"/>
      <c r="G145" s="67"/>
    </row>
    <row r="146">
      <c r="A146" s="66"/>
      <c r="B146" s="29"/>
      <c r="C146" s="29"/>
      <c r="D146" s="29"/>
      <c r="E146" s="29"/>
      <c r="F146" s="67"/>
      <c r="G146" s="67"/>
    </row>
    <row r="147">
      <c r="A147" s="66"/>
      <c r="B147" s="29"/>
      <c r="C147" s="29"/>
      <c r="D147" s="29"/>
      <c r="E147" s="29"/>
      <c r="F147" s="67"/>
      <c r="G147" s="67"/>
    </row>
    <row r="148">
      <c r="A148" s="66"/>
      <c r="B148" s="29"/>
      <c r="C148" s="29"/>
      <c r="D148" s="29"/>
      <c r="E148" s="29"/>
      <c r="F148" s="67"/>
      <c r="G148" s="67"/>
    </row>
    <row r="149">
      <c r="A149" s="66"/>
      <c r="B149" s="29"/>
      <c r="C149" s="29"/>
      <c r="D149" s="29"/>
      <c r="E149" s="29"/>
      <c r="F149" s="67"/>
      <c r="G149" s="67"/>
    </row>
    <row r="150">
      <c r="A150" s="66"/>
      <c r="B150" s="29"/>
      <c r="C150" s="29"/>
      <c r="D150" s="29"/>
      <c r="E150" s="29"/>
      <c r="F150" s="67"/>
      <c r="G150" s="6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BC04"/>
    <outlinePr summaryBelow="0" summaryRight="0"/>
  </sheetPr>
  <sheetViews>
    <sheetView workbookViewId="0"/>
  </sheetViews>
  <sheetFormatPr customHeight="1" defaultColWidth="12.63" defaultRowHeight="15.75"/>
  <sheetData>
    <row r="1">
      <c r="A1" s="74" t="s">
        <v>1</v>
      </c>
      <c r="B1" s="74" t="s">
        <v>2</v>
      </c>
      <c r="C1" s="74" t="s">
        <v>3</v>
      </c>
      <c r="D1" s="74" t="s">
        <v>4</v>
      </c>
      <c r="E1" s="74" t="s">
        <v>5</v>
      </c>
      <c r="F1" s="74" t="s">
        <v>6</v>
      </c>
      <c r="G1" s="74" t="s">
        <v>7</v>
      </c>
    </row>
    <row r="2">
      <c r="A2" s="74" t="s">
        <v>295</v>
      </c>
      <c r="B2" s="74" t="s">
        <v>296</v>
      </c>
      <c r="C2" s="74" t="s">
        <v>297</v>
      </c>
      <c r="D2" s="74" t="s">
        <v>298</v>
      </c>
      <c r="E2" s="74" t="s">
        <v>299</v>
      </c>
      <c r="F2" s="74">
        <v>10.0</v>
      </c>
      <c r="G2" s="74">
        <v>14.0</v>
      </c>
    </row>
    <row r="3">
      <c r="A3" s="74" t="s">
        <v>295</v>
      </c>
      <c r="B3" s="74" t="s">
        <v>300</v>
      </c>
      <c r="C3" s="74" t="s">
        <v>301</v>
      </c>
      <c r="D3" s="74" t="s">
        <v>302</v>
      </c>
      <c r="E3" s="74" t="s">
        <v>303</v>
      </c>
      <c r="F3" s="74">
        <v>22.0</v>
      </c>
      <c r="G3" s="74">
        <v>30.0</v>
      </c>
    </row>
    <row r="4">
      <c r="A4" s="74" t="s">
        <v>295</v>
      </c>
      <c r="B4" s="74" t="s">
        <v>304</v>
      </c>
      <c r="C4" s="74" t="s">
        <v>305</v>
      </c>
      <c r="D4" s="74" t="s">
        <v>306</v>
      </c>
      <c r="E4" s="74" t="s">
        <v>307</v>
      </c>
      <c r="F4" s="74">
        <v>10.0</v>
      </c>
      <c r="G4" s="74">
        <v>15.0</v>
      </c>
    </row>
    <row r="5">
      <c r="A5" s="74" t="s">
        <v>308</v>
      </c>
      <c r="B5" s="74" t="s">
        <v>309</v>
      </c>
      <c r="C5" s="74" t="s">
        <v>310</v>
      </c>
      <c r="D5" s="74" t="s">
        <v>311</v>
      </c>
      <c r="E5" s="74" t="s">
        <v>312</v>
      </c>
      <c r="F5" s="74">
        <v>8.0</v>
      </c>
      <c r="G5" s="74">
        <v>12.0</v>
      </c>
    </row>
    <row r="6">
      <c r="A6" s="74" t="s">
        <v>308</v>
      </c>
      <c r="B6" s="74" t="s">
        <v>313</v>
      </c>
      <c r="C6" s="74" t="s">
        <v>314</v>
      </c>
      <c r="D6" s="74" t="s">
        <v>315</v>
      </c>
      <c r="E6" s="74" t="s">
        <v>316</v>
      </c>
      <c r="F6" s="74">
        <v>20.0</v>
      </c>
      <c r="G6" s="74">
        <v>24.0</v>
      </c>
    </row>
    <row r="7">
      <c r="A7" s="74" t="s">
        <v>308</v>
      </c>
      <c r="B7" s="74" t="s">
        <v>317</v>
      </c>
      <c r="C7" s="74" t="s">
        <v>318</v>
      </c>
      <c r="D7" s="74" t="s">
        <v>319</v>
      </c>
      <c r="E7" s="74" t="s">
        <v>320</v>
      </c>
      <c r="F7" s="74">
        <v>15.0</v>
      </c>
      <c r="G7" s="74">
        <v>18.0</v>
      </c>
    </row>
    <row r="8">
      <c r="A8" s="74" t="s">
        <v>321</v>
      </c>
      <c r="B8" s="74" t="s">
        <v>322</v>
      </c>
      <c r="C8" s="74" t="s">
        <v>323</v>
      </c>
      <c r="D8" s="74" t="s">
        <v>324</v>
      </c>
      <c r="E8" s="74" t="s">
        <v>325</v>
      </c>
      <c r="F8" s="74">
        <v>8.0</v>
      </c>
      <c r="G8" s="74">
        <v>10.0</v>
      </c>
    </row>
    <row r="9">
      <c r="A9" s="74" t="s">
        <v>321</v>
      </c>
      <c r="B9" s="74" t="s">
        <v>326</v>
      </c>
      <c r="C9" s="74" t="s">
        <v>327</v>
      </c>
      <c r="D9" s="74" t="s">
        <v>328</v>
      </c>
      <c r="E9" s="74" t="s">
        <v>329</v>
      </c>
      <c r="F9" s="74">
        <v>10.0</v>
      </c>
      <c r="G9" s="74">
        <v>12.0</v>
      </c>
    </row>
    <row r="10">
      <c r="A10" s="74" t="s">
        <v>330</v>
      </c>
      <c r="B10" s="74" t="s">
        <v>331</v>
      </c>
      <c r="C10" s="74" t="s">
        <v>332</v>
      </c>
      <c r="D10" s="74" t="s">
        <v>333</v>
      </c>
      <c r="E10" s="74" t="s">
        <v>334</v>
      </c>
      <c r="F10" s="74">
        <v>10.0</v>
      </c>
      <c r="G10" s="74">
        <v>14.0</v>
      </c>
    </row>
    <row r="11">
      <c r="A11" s="74" t="s">
        <v>335</v>
      </c>
      <c r="B11" s="74" t="s">
        <v>336</v>
      </c>
      <c r="C11" s="74" t="s">
        <v>337</v>
      </c>
      <c r="D11" s="74" t="s">
        <v>338</v>
      </c>
      <c r="E11" s="74" t="s">
        <v>339</v>
      </c>
      <c r="F11" s="74">
        <v>16.0</v>
      </c>
      <c r="G11" s="74">
        <v>24.0</v>
      </c>
    </row>
    <row r="12">
      <c r="A12" s="74" t="s">
        <v>335</v>
      </c>
      <c r="B12" s="74" t="s">
        <v>340</v>
      </c>
      <c r="C12" s="74" t="s">
        <v>341</v>
      </c>
      <c r="D12" s="74" t="s">
        <v>342</v>
      </c>
      <c r="E12" s="74" t="s">
        <v>343</v>
      </c>
      <c r="F12" s="74">
        <v>8.0</v>
      </c>
      <c r="G12" s="74">
        <v>10.0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9" t="s">
        <v>344</v>
      </c>
      <c r="B3" s="10" t="s">
        <v>345</v>
      </c>
      <c r="C3" s="11" t="s">
        <v>346</v>
      </c>
      <c r="D3" s="11" t="s">
        <v>347</v>
      </c>
      <c r="E3" s="11" t="s">
        <v>348</v>
      </c>
      <c r="F3" s="11" t="s">
        <v>349</v>
      </c>
      <c r="G3" s="28">
        <v>15.0</v>
      </c>
      <c r="H3" s="28">
        <v>22.0</v>
      </c>
      <c r="I3" s="14">
        <f t="shared" ref="I3:I6" si="1">IF(AND(G3&lt;&gt;"",H3&lt;&gt;""),ROUNDUP(AVERAGE(G3:H3),0),"")</f>
        <v>19</v>
      </c>
      <c r="J3" s="9" t="b">
        <v>0</v>
      </c>
      <c r="K3" s="15"/>
      <c r="L3" s="16"/>
      <c r="M3" s="17"/>
      <c r="N3" s="30"/>
      <c r="O3" s="29"/>
      <c r="P3" s="26"/>
      <c r="Q3" s="26"/>
    </row>
    <row r="4">
      <c r="A4" s="9" t="s">
        <v>344</v>
      </c>
      <c r="B4" s="10" t="s">
        <v>69</v>
      </c>
      <c r="C4" s="11" t="s">
        <v>350</v>
      </c>
      <c r="D4" s="11" t="s">
        <v>351</v>
      </c>
      <c r="E4" s="11" t="s">
        <v>352</v>
      </c>
      <c r="F4" s="11" t="s">
        <v>353</v>
      </c>
      <c r="G4" s="28">
        <v>8.0</v>
      </c>
      <c r="H4" s="28">
        <v>15.0</v>
      </c>
      <c r="I4" s="14">
        <f t="shared" si="1"/>
        <v>12</v>
      </c>
      <c r="J4" s="9" t="b">
        <v>0</v>
      </c>
      <c r="K4" s="62"/>
      <c r="L4" s="16"/>
      <c r="M4" s="17"/>
      <c r="N4" s="30"/>
      <c r="O4" s="29"/>
      <c r="P4" s="26"/>
      <c r="Q4" s="26"/>
    </row>
    <row r="5">
      <c r="A5" s="152" t="s">
        <v>344</v>
      </c>
      <c r="B5" s="153" t="s">
        <v>268</v>
      </c>
      <c r="C5" s="154" t="s">
        <v>354</v>
      </c>
      <c r="D5" s="154" t="s">
        <v>355</v>
      </c>
      <c r="E5" s="154" t="s">
        <v>356</v>
      </c>
      <c r="F5" s="154" t="s">
        <v>357</v>
      </c>
      <c r="G5" s="155">
        <v>15.0</v>
      </c>
      <c r="H5" s="155">
        <v>22.0</v>
      </c>
      <c r="I5" s="156">
        <f t="shared" si="1"/>
        <v>19</v>
      </c>
      <c r="J5" s="152" t="b">
        <v>0</v>
      </c>
      <c r="K5" s="157"/>
      <c r="L5" s="158"/>
      <c r="M5" s="159"/>
      <c r="N5" s="160"/>
      <c r="O5" s="161"/>
      <c r="P5" s="162"/>
      <c r="Q5" s="162"/>
    </row>
    <row r="6">
      <c r="A6" s="152" t="s">
        <v>344</v>
      </c>
      <c r="B6" s="153" t="s">
        <v>345</v>
      </c>
      <c r="C6" s="154" t="s">
        <v>358</v>
      </c>
      <c r="D6" s="154" t="s">
        <v>359</v>
      </c>
      <c r="E6" s="154" t="s">
        <v>360</v>
      </c>
      <c r="F6" s="154" t="s">
        <v>361</v>
      </c>
      <c r="G6" s="155">
        <v>12.0</v>
      </c>
      <c r="H6" s="155">
        <v>16.0</v>
      </c>
      <c r="I6" s="156">
        <f t="shared" si="1"/>
        <v>14</v>
      </c>
      <c r="J6" s="152" t="b">
        <v>0</v>
      </c>
      <c r="K6" s="163"/>
      <c r="L6" s="158"/>
      <c r="M6" s="159"/>
      <c r="N6" s="160"/>
      <c r="O6" s="161"/>
      <c r="P6" s="162"/>
      <c r="Q6" s="162"/>
    </row>
  </sheetData>
  <conditionalFormatting sqref="I5:I6">
    <cfRule type="containsBlanks" dxfId="0" priority="1">
      <formula>LEN(TRIM(I5))=0</formula>
    </cfRule>
  </conditionalFormatting>
  <conditionalFormatting sqref="I4">
    <cfRule type="containsBlanks" dxfId="0" priority="2">
      <formula>LEN(TRIM(I4))=0</formula>
    </cfRule>
  </conditionalFormatting>
  <conditionalFormatting sqref="I3">
    <cfRule type="containsBlanks" dxfId="0" priority="3">
      <formula>LEN(TRIM(I3))=0</formula>
    </cfRule>
  </conditionalFormatting>
  <dataValidations>
    <dataValidation type="list" allowBlank="1" showErrorMessage="1" sqref="A3:A6">
      <formula1>"Now,Later,Hide"</formula1>
    </dataValidation>
    <dataValidation type="list" allowBlank="1" showErrorMessage="1" sqref="L3:L6">
      <formula1>"Low,Standard,High"</formula1>
    </dataValidation>
    <dataValidation type="list" allowBlank="1" showErrorMessage="1" sqref="K3:K6">
      <formula1>"Consulting,Development,Solutions Engineering,Strategy"</formula1>
    </dataValidation>
  </dataValidations>
  <drawing r:id="rId1"/>
</worksheet>
</file>